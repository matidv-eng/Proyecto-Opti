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cac02bc69bb28e6/Desktop/U/opti/"/>
    </mc:Choice>
  </mc:AlternateContent>
  <xr:revisionPtr revIDLastSave="0" documentId="8_{3C8FF4EF-8FFE-4E33-AE5B-13A7CB2CE988}" xr6:coauthVersionLast="47" xr6:coauthVersionMax="47" xr10:uidLastSave="{00000000-0000-0000-0000-000000000000}"/>
  <bookViews>
    <workbookView xWindow="-120" yWindow="-120" windowWidth="29040" windowHeight="16440" activeTab="13" xr2:uid="{00000000-000D-0000-FFFF-FFFF00000000}"/>
  </bookViews>
  <sheets>
    <sheet name="LEEME" sheetId="1" r:id="rId1"/>
    <sheet name="Sectores" sheetId="2" r:id="rId2"/>
    <sheet name="Sitios" sheetId="3" r:id="rId3"/>
    <sheet name="PuntosActuales" sheetId="4" r:id="rId4"/>
    <sheet name="Materiales" sheetId="5" r:id="rId5"/>
    <sheet name="TiposContenedor" sheetId="6" r:id="rId6"/>
    <sheet name="DotacionActual" sheetId="7" r:id="rId7"/>
    <sheet name="Generacion" sheetId="8" r:id="rId8"/>
    <sheet name="Semanas" sheetId="9" r:id="rId9"/>
    <sheet name="AtractivoSitios" sheetId="10" r:id="rId10"/>
    <sheet name="Alternativas" sheetId="11" r:id="rId11"/>
    <sheet name="AtractivoAlternativas" sheetId="12" r:id="rId12"/>
    <sheet name="Camiones" sheetId="13" r:id="rId13"/>
    <sheet name="Costos" sheetId="14" r:id="rId14"/>
    <sheet name="Coordenadas" sheetId="15" r:id="rId15"/>
    <sheet name="Fuentes_Metodologia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6" l="1"/>
  <c r="B10" i="16" s="1"/>
  <c r="J19" i="16"/>
  <c r="B15" i="16"/>
  <c r="B16" i="16" s="1"/>
  <c r="B14" i="16"/>
  <c r="B13" i="16"/>
  <c r="B6" i="16"/>
  <c r="B9" i="16" s="1"/>
  <c r="F12" i="6"/>
  <c r="F11" i="6"/>
  <c r="F10" i="6"/>
  <c r="F9" i="6"/>
  <c r="F8" i="6"/>
  <c r="F7" i="6"/>
  <c r="F6" i="6"/>
  <c r="F5" i="6"/>
  <c r="F4" i="6"/>
  <c r="F3" i="6"/>
  <c r="F2" i="6"/>
  <c r="E20" i="16" l="1"/>
  <c r="F20" i="16" s="1"/>
  <c r="E23" i="16"/>
  <c r="F23" i="16" s="1"/>
  <c r="E19" i="16"/>
  <c r="E22" i="16"/>
  <c r="F22" i="16" s="1"/>
  <c r="E21" i="16"/>
  <c r="F21" i="16" s="1"/>
  <c r="B8" i="16"/>
  <c r="E24" i="16" l="1"/>
  <c r="B11" i="16" s="1"/>
  <c r="F19" i="16"/>
  <c r="F24" i="16" s="1"/>
  <c r="B12" i="16" s="1"/>
</calcChain>
</file>

<file path=xl/sharedStrings.xml><?xml version="1.0" encoding="utf-8"?>
<sst xmlns="http://schemas.openxmlformats.org/spreadsheetml/2006/main" count="2648" uniqueCount="412">
  <si>
    <t>hoja</t>
  </si>
  <si>
    <t>descripcion</t>
  </si>
  <si>
    <t>Sectores (falta el atractivo_no_reciclar)</t>
  </si>
  <si>
    <t>Un sector por fila (zona censal). macrozona: distrito al que pertenece (cada sector en una sola). atractivo_no_reciclar: se calibra con las toneladas 2023.</t>
  </si>
  <si>
    <t>Sitios (falta que el liu calcule contenedores por punto limpio, para poner bien la superficie para contenedores)</t>
  </si>
  <si>
    <t>Ubicaciones candidatas (incluye las actuales). macrozona: dónde está el sitio. superficie: espacio para contenedores.</t>
  </si>
  <si>
    <t>PuntosActuales</t>
  </si>
  <si>
    <t>Los puntos limpios que existen hoy y el sitio donde están.</t>
  </si>
  <si>
    <t>Materiales</t>
  </si>
  <si>
    <t>Las 5 categorías del DS 12.</t>
  </si>
  <si>
    <t>TiposContenedor</t>
  </si>
  <si>
    <t>Cada tipo recibe un solo material. capacidad en toneladas (volumen x densidad aparente del material).</t>
  </si>
  <si>
    <t>DotacionActual</t>
  </si>
  <si>
    <t>Dotación estándar: contenedores que tiene hoy cada punto actual (igual para todos). Si el punto se mueve, se trasladan con él.</t>
  </si>
  <si>
    <t>Generacion</t>
  </si>
  <si>
    <t>Generación anual por habitante de cada material en cada sector.</t>
  </si>
  <si>
    <t>Semanas</t>
  </si>
  <si>
    <t>Una fila por semana del horizonte. fraccion_generacion: parte de la generación anual que ocurre esa semana. temporada solo se usa para gráficos.</t>
  </si>
  <si>
    <t>AtractivoSitios</t>
  </si>
  <si>
    <t>Solo pares sector-sitio dentro de la distancia máxima; el resto se asume 0.</t>
  </si>
  <si>
    <t>Alternativas</t>
  </si>
  <si>
    <t>Una fila por cada material que recibe cada alternativa de terceros.</t>
  </si>
  <si>
    <t>AtractivoAlternativas</t>
  </si>
  <si>
    <t>Atractivo de cada alternativa para cada sector (pares fuera de distancia se omiten).</t>
  </si>
  <si>
    <t>Camiones</t>
  </si>
  <si>
    <t>Camiones asignados a la red de puntos limpios (no los domiciliarios).</t>
  </si>
  <si>
    <t>Costos</t>
  </si>
  <si>
    <t>Parámetros escalares. No cambiar los nombres de la columna parametro.</t>
  </si>
  <si>
    <t>Coordenadas</t>
  </si>
  <si>
    <t>Solo para mapas; el modelo no las usa.</t>
  </si>
  <si>
    <t>AVISO</t>
  </si>
  <si>
    <t>TODOS LOS DATOS DE ESTE ARCHIVO SON INVENTADOS. Solo sirven de plantilla y para probar el código.</t>
  </si>
  <si>
    <t>sector</t>
  </si>
  <si>
    <t>macrozona</t>
  </si>
  <si>
    <t>poblacion [hab]</t>
  </si>
  <si>
    <t>atractivo_no_reciclar [-]</t>
  </si>
  <si>
    <t>Z1</t>
  </si>
  <si>
    <t>Sur Oriente</t>
  </si>
  <si>
    <t>Z2</t>
  </si>
  <si>
    <t>Z3</t>
  </si>
  <si>
    <t>Z4</t>
  </si>
  <si>
    <t>Z5</t>
  </si>
  <si>
    <t>Z6</t>
  </si>
  <si>
    <t>Z7</t>
  </si>
  <si>
    <t>Norte Oriente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</si>
  <si>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</si>
  <si>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</si>
  <si>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</si>
  <si>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</si>
  <si>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</si>
  <si>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</si>
  <si>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</si>
  <si>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</si>
  <si>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</si>
  <si>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</si>
  <si>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</si>
  <si>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</si>
  <si>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</si>
  <si>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</si>
  <si>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</si>
  <si>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</si>
  <si>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</si>
  <si>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</si>
  <si>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</si>
  <si>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</si>
  <si>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</si>
  <si>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</si>
  <si>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</si>
  <si>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</si>
  <si>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</si>
  <si>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</si>
  <si>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Sur Poniente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</si>
  <si>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</si>
  <si>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</si>
  <si>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</si>
  <si>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</si>
  <si>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</si>
  <si>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</si>
  <si>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</si>
  <si>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</si>
  <si>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</si>
  <si>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</si>
  <si>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</si>
  <si>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</si>
  <si>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</si>
  <si>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</si>
  <si>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</si>
  <si>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</si>
  <si>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</si>
  <si>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</si>
  <si>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Norte Poniente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</si>
  <si>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</si>
  <si>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</si>
  <si>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</si>
  <si>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</si>
  <si>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</si>
  <si>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</si>
  <si>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</si>
  <si>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</si>
  <si>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</si>
  <si>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</si>
  <si>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</si>
  <si>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</si>
  <si>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</si>
  <si>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</si>
  <si>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</si>
  <si>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</si>
  <si>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</si>
  <si>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</si>
  <si>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</si>
  <si>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</si>
  <si>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</si>
  <si>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</si>
  <si>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</si>
  <si>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</si>
  <si>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</si>
  <si>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</si>
  <si>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</si>
  <si>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</si>
  <si>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</si>
  <si>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</si>
  <si>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</si>
  <si>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</si>
  <si>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</si>
  <si>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</si>
  <si>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</si>
  <si>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</si>
  <si>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</si>
  <si>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</si>
  <si>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</si>
  <si>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</si>
  <si>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</si>
  <si>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</si>
  <si>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</si>
  <si>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</si>
  <si>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</si>
  <si>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</si>
  <si>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</si>
  <si>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</si>
  <si>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Z100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</si>
  <si>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</si>
  <si>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</si>
  <si>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</si>
  <si>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</si>
  <si>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</si>
  <si>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</si>
  <si>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</si>
  <si>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</si>
  <si>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</si>
  <si>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</si>
  <si>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</si>
  <si>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</si>
  <si>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</si>
  <si>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</si>
  <si>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</si>
  <si>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</si>
  <si>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</si>
  <si>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</si>
  <si>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</si>
  <si>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</si>
  <si>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</si>
  <si>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</si>
  <si>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</si>
  <si>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</si>
  <si>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</si>
  <si>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</si>
  <si>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</si>
  <si>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</si>
  <si>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</si>
  <si>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</si>
  <si>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</si>
  <si>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</si>
  <si>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</si>
  <si>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</si>
  <si>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</si>
  <si>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</si>
  <si>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</si>
  <si>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</si>
  <si>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</si>
  <si>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Z140</t>
  </si>
  <si>
    <t>Z141</t>
  </si>
  <si>
    <t>Z142</t>
  </si>
  <si>
    <t>sitio</t>
  </si>
  <si>
    <t>superficie [m2]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</si>
  <si>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</si>
  <si>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</si>
  <si>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</si>
  <si>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</si>
  <si>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</si>
  <si>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</si>
  <si>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</si>
  <si>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</si>
  <si>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</si>
  <si>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</si>
  <si>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</si>
  <si>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</si>
  <si>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</si>
  <si>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</si>
  <si>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</si>
  <si>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</si>
  <si>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</si>
  <si>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</si>
  <si>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</si>
  <si>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</si>
  <si>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punto</t>
  </si>
  <si>
    <t>sitio_actual</t>
  </si>
  <si>
    <t>P1</t>
  </si>
  <si>
    <t>P2</t>
  </si>
  <si>
    <t>P3</t>
  </si>
  <si>
    <t>P4</t>
  </si>
  <si>
    <t>P5</t>
  </si>
  <si>
    <t>P6</t>
  </si>
  <si>
    <t>P7</t>
  </si>
  <si>
    <t>material</t>
  </si>
  <si>
    <t>papel_carton</t>
  </si>
  <si>
    <t>plastico</t>
  </si>
  <si>
    <t>vidrio</t>
  </si>
  <si>
    <t>metal</t>
  </si>
  <si>
    <t>carton_liquidos</t>
  </si>
  <si>
    <t>tipo</t>
  </si>
  <si>
    <t>capacidad [ton/cont]</t>
  </si>
  <si>
    <t>superficie [m2/cont]</t>
  </si>
  <si>
    <t>costo_mantencion [CLP/cont/año]</t>
  </si>
  <si>
    <t>generacion [ton/hab/año]</t>
  </si>
  <si>
    <t>semana</t>
  </si>
  <si>
    <t>temporada</t>
  </si>
  <si>
    <t>fraccion_generacion [-]</t>
  </si>
  <si>
    <t>verano</t>
  </si>
  <si>
    <t>resto</t>
  </si>
  <si>
    <t>atractivo [-]</t>
  </si>
  <si>
    <t>alternativa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</si>
  <si>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</si>
  <si>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</si>
  <si>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</si>
  <si>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</si>
  <si>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</si>
  <si>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</si>
  <si>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</si>
  <si>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</si>
  <si>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</si>
  <si>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</si>
  <si>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</si>
  <si>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</si>
  <si>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</si>
  <si>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</si>
  <si>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</si>
  <si>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</si>
  <si>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</si>
  <si>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</si>
  <si>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</si>
  <si>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</si>
  <si>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</si>
  <si>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</si>
  <si>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</si>
  <si>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</si>
  <si>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</si>
  <si>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</si>
  <si>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</si>
  <si>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</si>
  <si>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</si>
  <si>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</si>
  <si>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</si>
  <si>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</si>
  <si>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</si>
  <si>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</si>
  <si>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</si>
  <si>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</si>
  <si>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</si>
  <si>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</si>
  <si>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</si>
  <si>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</si>
  <si>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parametro</t>
  </si>
  <si>
    <t>valor</t>
  </si>
  <si>
    <t>unidad</t>
  </si>
  <si>
    <t>elemento</t>
  </si>
  <si>
    <t>x [km]</t>
  </si>
  <si>
    <t>y [km]</t>
  </si>
  <si>
    <t>GENERACION 2023  |  BASE Y TRAZABILIDAD  |  V1</t>
  </si>
  <si>
    <t>Generación ajustada a 560.695 habitantes del Excel; tasas numéricas en Generacion para compatibilidad con código.</t>
  </si>
  <si>
    <t>Población de instancia</t>
  </si>
  <si>
    <t>hab</t>
  </si>
  <si>
    <t>Fijada por el equipo; igual a suma de Sectores</t>
  </si>
  <si>
    <t>RSD 2023 - suma de meses</t>
  </si>
  <si>
    <t>ton</t>
  </si>
  <si>
    <t>Dato base anual de recolección domiciliaria; sumar detalle mensual</t>
  </si>
  <si>
    <t>Mes (2023)</t>
  </si>
  <si>
    <t>RSD recolectado [ton]</t>
  </si>
  <si>
    <t>RSD 2023 - total indicado</t>
  </si>
  <si>
    <t>Discrepancia pendiente de revisar en RSD_2023.xlsx</t>
  </si>
  <si>
    <t>Enero</t>
  </si>
  <si>
    <t>Diferencia suma - total</t>
  </si>
  <si>
    <t>Control del dato anual</t>
  </si>
  <si>
    <t>Febrero</t>
  </si>
  <si>
    <t>Tasa anual RSD ajustada</t>
  </si>
  <si>
    <t>ton/hab/año</t>
  </si>
  <si>
    <t>198.449 / 560.695, no es tasa oficial por habitante</t>
  </si>
  <si>
    <t>Marzo</t>
  </si>
  <si>
    <t>Fracción estimada 5 materiales</t>
  </si>
  <si>
    <t>[-]</t>
  </si>
  <si>
    <t>Suma de composición de los cinco materiales</t>
  </si>
  <si>
    <t>Abril</t>
  </si>
  <si>
    <t>Tasa anual 5 materiales</t>
  </si>
  <si>
    <t>Suma de tasas anuales estimadas</t>
  </si>
  <si>
    <t>Mayo</t>
  </si>
  <si>
    <t>Toneladas estimadas 5 materiales</t>
  </si>
  <si>
    <t>ton/año</t>
  </si>
  <si>
    <t>Estimación de generación de cinco materiales</t>
  </si>
  <si>
    <t>Junio</t>
  </si>
  <si>
    <t>Población en Sectores</t>
  </si>
  <si>
    <t>Verificación independiente contra hoja Sectores</t>
  </si>
  <si>
    <t>Julio</t>
  </si>
  <si>
    <t>Suma fracciones en Semanas</t>
  </si>
  <si>
    <t>Debe ser 1 para no duplicar estacionalidad</t>
  </si>
  <si>
    <t>Agosto</t>
  </si>
  <si>
    <t>Registros de Generacion</t>
  </si>
  <si>
    <t>filas</t>
  </si>
  <si>
    <t>142 sectores x 5 materiales = 710</t>
  </si>
  <si>
    <t>Septiembre</t>
  </si>
  <si>
    <t>Diferencia vs 710</t>
  </si>
  <si>
    <t>Debe ser 0</t>
  </si>
  <si>
    <t>Octubre</t>
  </si>
  <si>
    <t>Noviembre</t>
  </si>
  <si>
    <t>Material</t>
  </si>
  <si>
    <t>Proporción [% de RSD]</t>
  </si>
  <si>
    <t>Origen</t>
  </si>
  <si>
    <t>Año referencia</t>
  </si>
  <si>
    <t>Tasa [ton/hab/año]</t>
  </si>
  <si>
    <t>Estimado [ton/año]</t>
  </si>
  <si>
    <t>URL fuente</t>
  </si>
  <si>
    <t>Diciembre</t>
  </si>
  <si>
    <t>Papel y cartón</t>
  </si>
  <si>
    <t>MMA / Catastro SUBDERE 2017</t>
  </si>
  <si>
    <t>2017</t>
  </si>
  <si>
    <t>https://snichile.mma.gob.cl/wp-content/uploads/2023/04/2022_IIN_CL.pdf</t>
  </si>
  <si>
    <t>SUMA MENSUAL</t>
  </si>
  <si>
    <t>Plástico</t>
  </si>
  <si>
    <t>Vidrio</t>
  </si>
  <si>
    <t>Metales</t>
  </si>
  <si>
    <t>Cartón para líquidos</t>
  </si>
  <si>
    <t>CONAMA-PUCV / Sector residencial RM</t>
  </si>
  <si>
    <t>2005</t>
  </si>
  <si>
    <t>https://metadatos.mma.gob.cl/sinia/articles-39508_pdf_informeF.pdf</t>
  </si>
  <si>
    <t>TOTAL CINCO MATERIALES</t>
  </si>
  <si>
    <t>METODOLOGÍA Y LIMITACIONES PARA EL REPORTE DEL EQUIPO</t>
  </si>
  <si>
    <t>Alcance: las 710 filas (142 sectores x 5 materiales) en Generacion fueron completadas. No se alteraron las 15 hojas originales restantes.</t>
  </si>
  <si>
    <t>Fórmula: g_m = (RSD_2023 / P_instancia) x q_m; RSD_2023=198.449 ton (suma mensual) y P_instancia=560.695 hab.</t>
  </si>
  <si>
    <t>La misma tasa per cápita de cada material se aplica a todos los sectores; las cantidades totales difieren según la población sectorial.</t>
  </si>
  <si>
    <t>La generación total se aproxima a partir de residuos domiciliarios RECOLECTADOS. No equivale a generación medida de envases elegibles.</t>
  </si>
  <si>
    <t>Composición: porcentajes regionales SUBDERE 2017 para papel-cartón, plástico, vidrio y metales. Tetrapack = 0,70 % de CONAMA-PUCV residencial 2005.</t>
  </si>
  <si>
    <t>Los valores de composición son supuestos respaldados por caracterizaciones históricas de la RM, NO mediciones comunales de 2023.</t>
  </si>
  <si>
    <t>Papel/cartón y Tetrapack se separan como categorías diferentes. Al mezclar dos caracterizaciones distintas subsiste incertidumbre metodológica.</t>
  </si>
  <si>
    <t>Discrepancia: el total 2023 citado previamente es 198.446 ton y la suma de las cifras mensuales anotadas es 198.449 ton (3 ton). Verificar descarga municipal.</t>
  </si>
  <si>
    <t>La hoja Semanas queda intacta. Sus 52 fracciones suman 1; NO aplicar nuevamente un factor adicional de verano.</t>
  </si>
  <si>
    <t>IMPORTANTE: tasa per cápita ajustada a población georreferenciada de 2024; NO publicitarla como tasa oficial per cápita observada para 2023.</t>
  </si>
  <si>
    <t>Valores de Generacion son NÚMEROS y no fórmulas para facilitar lectura desde código externo; las fórmulas de respaldo están en esta hoja.</t>
  </si>
  <si>
    <t>PENDIENTE: comprobar el detalle mensual directamente desde RSD_2023.xlsx, no disponible para descarga automática en esta sesión.</t>
  </si>
  <si>
    <t>RESTO DE LA INSTANCIA: las hojas TiposContenedor, DotacionActual, Camiones, Costos y atractivos aún requieren trabajo/validación.</t>
  </si>
  <si>
    <t>ENLACES Y DOCUMENTOS PARA TRAZABILIDAD</t>
  </si>
  <si>
    <t>Residuos 2023</t>
  </si>
  <si>
    <t>Municipalidad de Puente Alto; serie mensual RSD 2023</t>
  </si>
  <si>
    <t>https://datos.mpuentealto.cl/datasets/201106/residuos-solidos-domiciliarios-en-toneladas-enero-a-diciembre-2023/</t>
  </si>
  <si>
    <t>Composición regional 2017</t>
  </si>
  <si>
    <t>MMA; Informe inventario GEI 2022, tabla 7-8</t>
  </si>
  <si>
    <t>Tetrapack RM</t>
  </si>
  <si>
    <t>CONAMA-PUCV; estudio caracterización residencial, tabla 29</t>
  </si>
  <si>
    <t>142 sectores del Excel original; documentación de compañero</t>
  </si>
  <si>
    <t>Archivo ICS1113-E3-texto-informe.md.pdf</t>
  </si>
  <si>
    <t>Estacionalidad</t>
  </si>
  <si>
    <t>52 factores en hoja Semanas; investigación de compañero</t>
  </si>
  <si>
    <t>costo_compra [CLP/cont]</t>
  </si>
  <si>
    <t>PC_770</t>
  </si>
  <si>
    <t>PC_1100</t>
  </si>
  <si>
    <t>PL_240</t>
  </si>
  <si>
    <t>PL_770</t>
  </si>
  <si>
    <t>PL_1100</t>
  </si>
  <si>
    <t>VI_240</t>
  </si>
  <si>
    <t>VI_3000</t>
  </si>
  <si>
    <t>ME_240</t>
  </si>
  <si>
    <t>ME_770</t>
  </si>
  <si>
    <t>CL_770</t>
  </si>
  <si>
    <t>CL_1100</t>
  </si>
  <si>
    <t>tipo_existente</t>
  </si>
  <si>
    <t>cantidad [cont/punto]</t>
  </si>
  <si>
    <t>capacidad_util [ton/cont]</t>
  </si>
  <si>
    <t>Los Toros</t>
  </si>
  <si>
    <t>EX_JAULA_PC_6400</t>
  </si>
  <si>
    <t>EX_PL_770</t>
  </si>
  <si>
    <t>EX_VI_CAMP_3000</t>
  </si>
  <si>
    <t>EX_ME_770</t>
  </si>
  <si>
    <t>EX_CL_770</t>
  </si>
  <si>
    <t>Juan de Dios Malebrán</t>
  </si>
  <si>
    <t>Creta</t>
  </si>
  <si>
    <t>Santa Faustina</t>
  </si>
  <si>
    <t>Don Ramón</t>
  </si>
  <si>
    <t>Madre Tierra</t>
  </si>
  <si>
    <t>Los Evangelistas</t>
  </si>
  <si>
    <t>camion</t>
  </si>
  <si>
    <t>capacidad [ton/recorrido]</t>
  </si>
  <si>
    <t>costo_recorrido [CLP/recorrido]</t>
  </si>
  <si>
    <t>volumen [m3/recorrido]</t>
  </si>
  <si>
    <t>compatible_campana [0/1]</t>
  </si>
  <si>
    <t>H1</t>
  </si>
  <si>
    <t>H2</t>
  </si>
  <si>
    <t>H3</t>
  </si>
  <si>
    <t>F</t>
  </si>
  <si>
    <t>visitas/semana</t>
  </si>
  <si>
    <t>B</t>
  </si>
  <si>
    <t>CLP/año</t>
  </si>
  <si>
    <t>cH</t>
  </si>
  <si>
    <t>CLP/ubicación habilitada</t>
  </si>
  <si>
    <t>tasa_mantencion</t>
  </si>
  <si>
    <t>1/año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</si>
</sst>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0000"/>
    <numFmt numFmtId="165" formatCode="#,##0.00000"/>
    <numFmt numFmtId="166" formatCode="0.0%"/>
    <numFmt numFmtId="167" formatCode="#,##0.000"/>
    <numFmt numFmtId="168" formatCode="0.00000"/>
    <numFmt numFmtId="169" formatCode="#,##0;[Red]\(#,##0\);\-"/>
    <numFmt numFmtId="170" formatCode="0.0"/>
  </numFmts>
  <fonts count="9" x14ac:knownFonts="1">
    <font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22545B"/>
      <name val="Calibri"/>
    </font>
    <font>
      <b/>
      <sz val="11"/>
      <color rgb="FF145A64"/>
      <name val="Calibri"/>
    </font>
    <font>
      <b/>
      <sz val="11"/>
      <color theme="1"/>
      <name val="Calibri"/>
    </font>
    <font>
      <sz val="11"/>
      <color rgb="FF2154A6"/>
      <name val="Calibri"/>
    </font>
    <font>
      <sz val="11"/>
      <color rgb="FF153452"/>
      <name val="Calibri"/>
    </font>
    <font>
      <b/>
      <sz val="11"/>
      <color rgb="FF153452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00"/>
      </patternFill>
    </fill>
    <fill>
      <patternFill patternType="solid">
        <fgColor rgb="FF145A64"/>
      </patternFill>
    </fill>
    <fill>
      <patternFill patternType="solid">
        <fgColor rgb="FFE2F1F1"/>
      </patternFill>
    </fill>
    <fill>
      <patternFill patternType="solid">
        <fgColor rgb="FFF0F5F5"/>
      </patternFill>
    </fill>
    <fill>
      <patternFill patternType="solid">
        <fgColor rgb="FFFFFFFF"/>
      </patternFill>
    </fill>
    <fill>
      <patternFill patternType="solid">
        <fgColor rgb="FF115E68"/>
      </patternFill>
    </fill>
    <fill>
      <patternFill patternType="solid">
        <fgColor rgb="FF164E63"/>
      </patternFill>
    </fill>
    <fill>
      <patternFill patternType="solid">
        <fgColor rgb="FF1534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vertical="center"/>
    </xf>
    <xf numFmtId="4" fontId="0" fillId="0" borderId="0" xfId="0" applyNumberFormat="1"/>
    <xf numFmtId="165" fontId="0" fillId="0" borderId="0" xfId="0" applyNumberFormat="1"/>
    <xf numFmtId="0" fontId="1" fillId="4" borderId="0" xfId="0" applyFont="1" applyFill="1" applyAlignment="1">
      <alignment wrapText="1"/>
    </xf>
    <xf numFmtId="0" fontId="4" fillId="5" borderId="0" xfId="0" applyFont="1" applyFill="1"/>
    <xf numFmtId="166" fontId="0" fillId="0" borderId="0" xfId="0" applyNumberFormat="1"/>
    <xf numFmtId="166" fontId="4" fillId="5" borderId="0" xfId="0" applyNumberFormat="1" applyFont="1" applyFill="1"/>
    <xf numFmtId="164" fontId="4" fillId="5" borderId="0" xfId="0" applyNumberFormat="1" applyFont="1" applyFill="1"/>
    <xf numFmtId="167" fontId="0" fillId="0" borderId="0" xfId="0" applyNumberFormat="1"/>
    <xf numFmtId="167" fontId="4" fillId="5" borderId="0" xfId="0" applyNumberFormat="1" applyFont="1" applyFill="1"/>
    <xf numFmtId="0" fontId="5" fillId="5" borderId="0" xfId="0" applyFont="1" applyFill="1"/>
    <xf numFmtId="3" fontId="0" fillId="0" borderId="0" xfId="0" applyNumberFormat="1"/>
    <xf numFmtId="3" fontId="5" fillId="5" borderId="0" xfId="0" applyNumberFormat="1" applyFont="1" applyFill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1" fillId="8" borderId="0" xfId="0" applyFont="1" applyFill="1" applyAlignment="1">
      <alignment wrapText="1"/>
    </xf>
    <xf numFmtId="1" fontId="0" fillId="0" borderId="0" xfId="0" applyNumberFormat="1"/>
    <xf numFmtId="168" fontId="0" fillId="0" borderId="0" xfId="0" applyNumberFormat="1"/>
    <xf numFmtId="0" fontId="1" fillId="9" borderId="0" xfId="0" applyFont="1" applyFill="1" applyAlignment="1">
      <alignment wrapText="1"/>
    </xf>
    <xf numFmtId="169" fontId="0" fillId="0" borderId="0" xfId="0" applyNumberFormat="1"/>
    <xf numFmtId="169" fontId="6" fillId="0" borderId="0" xfId="0" applyNumberFormat="1" applyFont="1"/>
    <xf numFmtId="9" fontId="6" fillId="0" borderId="0" xfId="0" applyNumberFormat="1" applyFont="1"/>
    <xf numFmtId="0" fontId="1" fillId="10" borderId="0" xfId="0" applyFont="1" applyFill="1" applyAlignment="1">
      <alignment vertical="center" wrapText="1"/>
    </xf>
    <xf numFmtId="3" fontId="7" fillId="0" borderId="0" xfId="0" applyNumberFormat="1" applyFont="1"/>
    <xf numFmtId="0" fontId="8" fillId="0" borderId="0" xfId="0" applyFont="1"/>
    <xf numFmtId="170" fontId="7" fillId="0" borderId="0" xfId="0" applyNumberFormat="1" applyFont="1"/>
    <xf numFmtId="1" fontId="7" fillId="0" borderId="0" xfId="0" applyNumberFormat="1" applyFont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1" fillId="4" borderId="0" xfId="0" applyFont="1" applyFill="1"/>
    <xf numFmtId="0" fontId="0" fillId="0" borderId="0" xfId="0"/>
    <xf numFmtId="0" fontId="2" fillId="4" borderId="0" xfId="0" applyFont="1" applyFill="1" applyAlignment="1">
      <alignment vertic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baseColWidth="10" defaultColWidth="8.7109375" defaultRowHeight="15" x14ac:dyDescent="0.25"/>
  <cols>
    <col min="1" max="1" width="10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s="1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3"/>
  <sheetViews>
    <sheetView workbookViewId="0"/>
  </sheetViews>
  <sheetFormatPr baseColWidth="10" defaultColWidth="8.7109375" defaultRowHeight="15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 t="s">
        <v>36</v>
      </c>
      <c r="B2" t="s">
        <v>37</v>
      </c>
      <c r="C2">
        <v>2849</v>
      </c>
    </row>
    <row r="3" spans="1:4" x14ac:dyDescent="0.25">
      <c r="A3" t="s">
        <v>38</v>
      </c>
      <c r="B3" t="s">
        <v>37</v>
      </c>
      <c r="C3">
        <v>5671</v>
      </c>
    </row>
    <row r="4" spans="1:4" x14ac:dyDescent="0.25">
      <c r="A4" t="s">
        <v>39</v>
      </c>
      <c r="B4" t="s">
        <v>37</v>
      </c>
      <c r="C4">
        <v>2170</v>
      </c>
    </row>
    <row r="5" spans="1:4" x14ac:dyDescent="0.25">
      <c r="A5" t="s">
        <v>40</v>
      </c>
      <c r="B5" t="s">
        <v>37</v>
      </c>
      <c r="C5">
        <v>1868</v>
      </c>
    </row>
    <row r="6" spans="1:4" x14ac:dyDescent="0.25">
      <c r="A6" t="s">
        <v>41</v>
      </c>
      <c r="B6" t="s">
        <v>37</v>
      </c>
      <c r="C6">
        <v>1511</v>
      </c>
    </row>
    <row r="7" spans="1:4" x14ac:dyDescent="0.25">
      <c r="A7" t="s">
        <v>42</v>
      </c>
      <c r="B7" t="s">
        <v>37</v>
      </c>
      <c r="C7">
        <v>3068</v>
      </c>
    </row>
    <row r="8" spans="1:4" x14ac:dyDescent="0.25">
      <c r="A8" t="s">
        <v>43</v>
      </c>
      <c r="B8" t="s">
        <v>44</v>
      </c>
      <c r="C8">
        <v>3975</v>
      </c>
    </row>
    <row r="9" spans="1:4" x14ac:dyDescent="0.25">
      <c r="A9" t="s">
        <v>45</v>
      </c>
      <c r="B9" t="s">
        <v>44</v>
      </c>
      <c r="C9">
        <v>3739</v>
      </c>
    </row>
    <row r="10" spans="1:4" x14ac:dyDescent="0.25">
      <c r="A10" t="s">
        <v>46</v>
      </c>
      <c r="B10" t="s">
        <v>44</v>
      </c>
      <c r="C10">
        <v>1825</v>
      </c>
    </row>
    <row r="11" spans="1:4" x14ac:dyDescent="0.25">
      <c r="A11" t="s">
        <v>47</v>
      </c>
      <c r="B11" t="s">
        <v>44</v>
      </c>
      <c r="C11">
        <v>4171</v>
      </c>
    </row>
    <row r="12" spans="1:4" x14ac:dyDescent="0.25">
      <c r="A12" t="s">
        <v>48</v>
      </c>
      <c r="B12" t="s">
        <v>44</v>
      </c>
      <c r="C12">
        <v>2572</v>
      </c>
    </row>
    <row r="13" spans="1:4" x14ac:dyDescent="0.25">
      <c r="A13" t="s">
        <v>49</v>
      </c>
      <c r="B13" t="s">
        <v>44</v>
      </c>
      <c r="C13">
        <v>5622</v>
      </c>
    </row>
    <row r="14" spans="1:4" x14ac:dyDescent="0.25">
      <c r="A14" t="s">
        <v>50</v>
      </c>
      <c r="B14" t="s">
        <v>44</v>
      </c>
      <c r="C14">
        <v>2139</v>
      </c>
    </row>
    <row r="15" spans="1:4" x14ac:dyDescent="0.25">
      <c r="A15" t="s">
        <v>51</v>
      </c>
      <c r="B15" t="s">
        <v>44</v>
      </c>
      <c r="C15">
        <v>5940</v>
      </c>
    </row>
    <row r="16" spans="1:4" x14ac:dyDescent="0.25">
      <c r="A16" t="s">
        <v>52</v>
      </c>
      <c r="B16" t="s">
        <v>44</v>
      </c>
      <c r="C16">
        <v>3093</v>
      </c>
    </row>
    <row r="17" spans="1:3" x14ac:dyDescent="0.25">
      <c r="A17" t="s">
        <v>53</v>
      </c>
      <c r="B17" t="s">
        <v>37</v>
      </c>
      <c r="C17">
        <v>4980</v>
      </c>
    </row>
    <row r="18" spans="1:3" x14ac:dyDescent="0.25">
      <c r="A18" t="s">
        <v>54</v>
      </c>
      <c r="B18" t="s">
        <v>37</v>
      </c>
      <c r="C18">
        <v>4837</v>
      </c>
    </row>
    <row r="19" spans="1:3" x14ac:dyDescent="0.25">
      <c r="A19" t="s">
        <v>55</v>
      </c>
      <c r="B19" t="s">
        <v>37</v>
      </c>
      <c r="C19">
        <v>9872</v>
      </c>
    </row>
    <row r="20" spans="1:3" x14ac:dyDescent="0.25">
      <c r="A20" t="s">
        <v>56</v>
      </c>
      <c r="B20" t="s">
        <v>37</v>
      </c>
      <c r="C20">
        <v>8592</v>
      </c>
    </row>
    <row r="21" spans="1:3" x14ac:dyDescent="0.25">
      <c r="A21" t="s">
        <v>57</v>
      </c>
      <c r="B21" t="s">
        <v>37</v>
      </c>
      <c r="C21">
        <v>5694</v>
      </c>
    </row>
    <row r="22" spans="1:3" x14ac:dyDescent="0.25">
      <c r="A22" t="s">
        <v>58</v>
      </c>
      <c r="B22" t="s">
        <v>37</v>
      </c>
      <c r="C22">
        <v>4952</v>
      </c>
    </row>
    <row r="23" spans="1:3" x14ac:dyDescent="0.25">
      <c r="A23" t="s">
        <v>59</v>
      </c>
      <c r="B23" t="s">
        <v>37</v>
      </c>
      <c r="C23">
        <v>9683</v>
      </c>
    </row>
    <row r="24" spans="1:3" x14ac:dyDescent="0.25">
      <c r="A24" t="s">
        <v>60</v>
      </c>
      <c r="B24" t="s">
        <v>37</v>
      </c>
      <c r="C24">
        <v>3406</v>
      </c>
    </row>
    <row r="25" spans="1:3" x14ac:dyDescent="0.25">
      <c r="A25" t="s">
        <v>61</v>
      </c>
      <c r="B25" t="s">
        <v>37</v>
      </c>
      <c r="C25">
        <v>9275</v>
      </c>
    </row>
    <row r="26" spans="1:3" x14ac:dyDescent="0.25">
      <c r="A26" t="s">
        <v>62</v>
      </c>
      <c r="B26" t="s">
        <v>37</v>
      </c>
      <c r="C26">
        <v>1341</v>
      </c>
    </row>
    <row r="27" spans="1:3" x14ac:dyDescent="0.25">
      <c r="A27" t="s">
        <v>63</v>
      </c>
      <c r="B27" t="s">
        <v>37</v>
      </c>
      <c r="C27">
        <v>2373</v>
      </c>
    </row>
    <row r="28" spans="1:3" x14ac:dyDescent="0.25">
      <c r="A28" t="s">
        <v>64</v>
      </c>
      <c r="B28" t="s">
        <v>37</v>
      </c>
      <c r="C28">
        <v>2279</v>
      </c>
    </row>
    <row r="29" spans="1:3" x14ac:dyDescent="0.25">
      <c r="A29" t="s">
        <v>65</v>
      </c>
      <c r="B29" t="s">
        <v>37</v>
      </c>
      <c r="C29">
        <v>4252</v>
      </c>
    </row>
    <row r="30" spans="1:3" x14ac:dyDescent="0.25">
      <c r="A30" t="s">
        <v>66</v>
      </c>
      <c r="B30" t="s">
        <v>37</v>
      </c>
      <c r="C30">
        <v>2790</v>
      </c>
    </row>
    <row r="31" spans="1:3" x14ac:dyDescent="0.25">
      <c r="A31" t="s">
        <v>67</v>
      </c>
      <c r="B31" t="s">
        <v>37</v>
      </c>
      <c r="C31">
        <v>4569</v>
      </c>
    </row>
    <row r="32" spans="1:3" x14ac:dyDescent="0.25">
      <c r="A32" t="s">
        <v>68</v>
      </c>
      <c r="B32" t="s">
        <v>37</v>
      </c>
      <c r="C32">
        <v>4583</v>
      </c>
    </row>
    <row r="33" spans="1:3" x14ac:dyDescent="0.25">
      <c r="A33" t="s">
        <v>69</v>
      </c>
      <c r="B33" t="s">
        <v>37</v>
      </c>
      <c r="C33">
        <v>3445</v>
      </c>
    </row>
    <row r="34" spans="1:3" x14ac:dyDescent="0.25">
      <c r="A34" t="s">
        <v>70</v>
      </c>
      <c r="B34" t="s">
        <v>71</v>
      </c>
      <c r="C34">
        <v>2671</v>
      </c>
    </row>
    <row r="35" spans="1:3" x14ac:dyDescent="0.25">
      <c r="A35" t="s">
        <v>72</v>
      </c>
      <c r="B35" t="s">
        <v>71</v>
      </c>
      <c r="C35">
        <v>3710</v>
      </c>
    </row>
    <row r="36" spans="1:3" x14ac:dyDescent="0.25">
      <c r="A36" t="s">
        <v>73</v>
      </c>
      <c r="B36" t="s">
        <v>71</v>
      </c>
      <c r="C36">
        <v>4926</v>
      </c>
    </row>
    <row r="37" spans="1:3" x14ac:dyDescent="0.25">
      <c r="A37" t="s">
        <v>74</v>
      </c>
      <c r="B37" t="s">
        <v>71</v>
      </c>
      <c r="C37">
        <v>0</v>
      </c>
    </row>
    <row r="38" spans="1:3" x14ac:dyDescent="0.25">
      <c r="A38" t="s">
        <v>75</v>
      </c>
      <c r="B38" t="s">
        <v>71</v>
      </c>
      <c r="C38">
        <v>7363</v>
      </c>
    </row>
    <row r="39" spans="1:3" x14ac:dyDescent="0.25">
      <c r="A39" t="s">
        <v>76</v>
      </c>
      <c r="B39" t="s">
        <v>71</v>
      </c>
      <c r="C39">
        <v>4784</v>
      </c>
    </row>
    <row r="40" spans="1:3" x14ac:dyDescent="0.25">
      <c r="A40" t="s">
        <v>77</v>
      </c>
      <c r="B40" t="s">
        <v>71</v>
      </c>
      <c r="C40">
        <v>7345</v>
      </c>
    </row>
    <row r="41" spans="1:3" x14ac:dyDescent="0.25">
      <c r="A41" t="s">
        <v>78</v>
      </c>
      <c r="B41" t="s">
        <v>71</v>
      </c>
      <c r="C41">
        <v>3603</v>
      </c>
    </row>
    <row r="42" spans="1:3" x14ac:dyDescent="0.25">
      <c r="A42" t="s">
        <v>79</v>
      </c>
      <c r="B42" t="s">
        <v>71</v>
      </c>
      <c r="C42">
        <v>3128</v>
      </c>
    </row>
    <row r="43" spans="1:3" x14ac:dyDescent="0.25">
      <c r="A43" t="s">
        <v>80</v>
      </c>
      <c r="B43" t="s">
        <v>71</v>
      </c>
      <c r="C43">
        <v>4065</v>
      </c>
    </row>
    <row r="44" spans="1:3" x14ac:dyDescent="0.25">
      <c r="A44" t="s">
        <v>81</v>
      </c>
      <c r="B44" t="s">
        <v>71</v>
      </c>
      <c r="C44">
        <v>3988</v>
      </c>
    </row>
    <row r="45" spans="1:3" x14ac:dyDescent="0.25">
      <c r="A45" t="s">
        <v>82</v>
      </c>
      <c r="B45" t="s">
        <v>71</v>
      </c>
      <c r="C45">
        <v>5003</v>
      </c>
    </row>
    <row r="46" spans="1:3" x14ac:dyDescent="0.25">
      <c r="A46" t="s">
        <v>83</v>
      </c>
      <c r="B46" t="s">
        <v>71</v>
      </c>
      <c r="C46">
        <v>4481</v>
      </c>
    </row>
    <row r="47" spans="1:3" x14ac:dyDescent="0.25">
      <c r="A47" t="s">
        <v>84</v>
      </c>
      <c r="B47" t="s">
        <v>71</v>
      </c>
      <c r="C47">
        <v>2988</v>
      </c>
    </row>
    <row r="48" spans="1:3" x14ac:dyDescent="0.25">
      <c r="A48" t="s">
        <v>85</v>
      </c>
      <c r="B48" t="s">
        <v>71</v>
      </c>
      <c r="C48">
        <v>4219</v>
      </c>
    </row>
    <row r="49" spans="1:3" x14ac:dyDescent="0.25">
      <c r="A49" t="s">
        <v>86</v>
      </c>
      <c r="B49" t="s">
        <v>71</v>
      </c>
      <c r="C49">
        <v>4001</v>
      </c>
    </row>
    <row r="50" spans="1:3" x14ac:dyDescent="0.25">
      <c r="A50" t="s">
        <v>87</v>
      </c>
      <c r="B50" t="s">
        <v>71</v>
      </c>
      <c r="C50">
        <v>5507</v>
      </c>
    </row>
    <row r="51" spans="1:3" x14ac:dyDescent="0.25">
      <c r="A51" t="s">
        <v>88</v>
      </c>
      <c r="B51" t="s">
        <v>71</v>
      </c>
      <c r="C51">
        <v>3798</v>
      </c>
    </row>
    <row r="52" spans="1:3" x14ac:dyDescent="0.25">
      <c r="A52" t="s">
        <v>89</v>
      </c>
      <c r="B52" t="s">
        <v>90</v>
      </c>
      <c r="C52">
        <v>3897</v>
      </c>
    </row>
    <row r="53" spans="1:3" x14ac:dyDescent="0.25">
      <c r="A53" t="s">
        <v>91</v>
      </c>
      <c r="B53" t="s">
        <v>90</v>
      </c>
      <c r="C53">
        <v>3645</v>
      </c>
    </row>
    <row r="54" spans="1:3" x14ac:dyDescent="0.25">
      <c r="A54" t="s">
        <v>92</v>
      </c>
      <c r="B54" t="s">
        <v>90</v>
      </c>
      <c r="C54">
        <v>4028</v>
      </c>
    </row>
    <row r="55" spans="1:3" x14ac:dyDescent="0.25">
      <c r="A55" t="s">
        <v>93</v>
      </c>
      <c r="B55" t="s">
        <v>90</v>
      </c>
      <c r="C55">
        <v>4247</v>
      </c>
    </row>
    <row r="56" spans="1:3" x14ac:dyDescent="0.25">
      <c r="A56" t="s">
        <v>94</v>
      </c>
      <c r="B56" t="s">
        <v>90</v>
      </c>
      <c r="C56">
        <v>4493</v>
      </c>
    </row>
    <row r="57" spans="1:3" x14ac:dyDescent="0.25">
      <c r="A57" t="s">
        <v>95</v>
      </c>
      <c r="B57" t="s">
        <v>90</v>
      </c>
      <c r="C57">
        <v>5041</v>
      </c>
    </row>
    <row r="58" spans="1:3" x14ac:dyDescent="0.25">
      <c r="A58" t="s">
        <v>96</v>
      </c>
      <c r="B58" t="s">
        <v>90</v>
      </c>
      <c r="C58">
        <v>9208</v>
      </c>
    </row>
    <row r="59" spans="1:3" x14ac:dyDescent="0.25">
      <c r="A59" t="s">
        <v>97</v>
      </c>
      <c r="B59" t="s">
        <v>90</v>
      </c>
      <c r="C59">
        <v>3432</v>
      </c>
    </row>
    <row r="60" spans="1:3" x14ac:dyDescent="0.25">
      <c r="A60" t="s">
        <v>98</v>
      </c>
      <c r="B60" t="s">
        <v>44</v>
      </c>
      <c r="C60">
        <v>4393</v>
      </c>
    </row>
    <row r="61" spans="1:3" x14ac:dyDescent="0.25">
      <c r="A61" t="s">
        <v>99</v>
      </c>
      <c r="B61" t="s">
        <v>44</v>
      </c>
      <c r="C61">
        <v>2812</v>
      </c>
    </row>
    <row r="62" spans="1:3" x14ac:dyDescent="0.25">
      <c r="A62" t="s">
        <v>100</v>
      </c>
      <c r="B62" t="s">
        <v>44</v>
      </c>
      <c r="C62">
        <v>4686</v>
      </c>
    </row>
    <row r="63" spans="1:3" x14ac:dyDescent="0.25">
      <c r="A63" t="s">
        <v>101</v>
      </c>
      <c r="B63" t="s">
        <v>44</v>
      </c>
      <c r="C63">
        <v>3857</v>
      </c>
    </row>
    <row r="64" spans="1:3" x14ac:dyDescent="0.25">
      <c r="A64" t="s">
        <v>102</v>
      </c>
      <c r="B64" t="s">
        <v>44</v>
      </c>
      <c r="C64">
        <v>4425</v>
      </c>
    </row>
    <row r="65" spans="1:3" x14ac:dyDescent="0.25">
      <c r="A65" t="s">
        <v>103</v>
      </c>
      <c r="B65" t="s">
        <v>44</v>
      </c>
      <c r="C65">
        <v>3803</v>
      </c>
    </row>
    <row r="66" spans="1:3" x14ac:dyDescent="0.25">
      <c r="A66" t="s">
        <v>104</v>
      </c>
      <c r="B66" t="s">
        <v>44</v>
      </c>
      <c r="C66">
        <v>3899</v>
      </c>
    </row>
    <row r="67" spans="1:3" x14ac:dyDescent="0.25">
      <c r="A67" t="s">
        <v>105</v>
      </c>
      <c r="B67" t="s">
        <v>44</v>
      </c>
      <c r="C67">
        <v>3348</v>
      </c>
    </row>
    <row r="68" spans="1:3" x14ac:dyDescent="0.25">
      <c r="A68" t="s">
        <v>106</v>
      </c>
      <c r="B68" t="s">
        <v>44</v>
      </c>
      <c r="C68">
        <v>3343</v>
      </c>
    </row>
    <row r="69" spans="1:3" x14ac:dyDescent="0.25">
      <c r="A69" t="s">
        <v>107</v>
      </c>
      <c r="B69" t="s">
        <v>44</v>
      </c>
      <c r="C69">
        <v>4108</v>
      </c>
    </row>
    <row r="70" spans="1:3" x14ac:dyDescent="0.25">
      <c r="A70" t="s">
        <v>108</v>
      </c>
      <c r="B70" t="s">
        <v>44</v>
      </c>
      <c r="C70">
        <v>2900</v>
      </c>
    </row>
    <row r="71" spans="1:3" x14ac:dyDescent="0.25">
      <c r="A71" t="s">
        <v>109</v>
      </c>
      <c r="B71" t="s">
        <v>44</v>
      </c>
      <c r="C71">
        <v>3344</v>
      </c>
    </row>
    <row r="72" spans="1:3" x14ac:dyDescent="0.25">
      <c r="A72" t="s">
        <v>110</v>
      </c>
      <c r="B72" t="s">
        <v>44</v>
      </c>
      <c r="C72">
        <v>2223</v>
      </c>
    </row>
    <row r="73" spans="1:3" x14ac:dyDescent="0.25">
      <c r="A73" t="s">
        <v>111</v>
      </c>
      <c r="B73" t="s">
        <v>44</v>
      </c>
      <c r="C73">
        <v>3462</v>
      </c>
    </row>
    <row r="74" spans="1:3" x14ac:dyDescent="0.25">
      <c r="A74" t="s">
        <v>112</v>
      </c>
      <c r="B74" t="s">
        <v>44</v>
      </c>
      <c r="C74">
        <v>4017</v>
      </c>
    </row>
    <row r="75" spans="1:3" x14ac:dyDescent="0.25">
      <c r="A75" t="s">
        <v>113</v>
      </c>
      <c r="B75" t="s">
        <v>44</v>
      </c>
      <c r="C75">
        <v>3473</v>
      </c>
    </row>
    <row r="76" spans="1:3" x14ac:dyDescent="0.25">
      <c r="A76" t="s">
        <v>114</v>
      </c>
      <c r="B76" t="s">
        <v>44</v>
      </c>
      <c r="C76">
        <v>2867</v>
      </c>
    </row>
    <row r="77" spans="1:3" x14ac:dyDescent="0.25">
      <c r="A77" t="s">
        <v>115</v>
      </c>
      <c r="B77" t="s">
        <v>44</v>
      </c>
      <c r="C77">
        <v>2043</v>
      </c>
    </row>
    <row r="78" spans="1:3" x14ac:dyDescent="0.25">
      <c r="A78" t="s">
        <v>116</v>
      </c>
      <c r="B78" t="s">
        <v>44</v>
      </c>
      <c r="C78">
        <v>2931</v>
      </c>
    </row>
    <row r="79" spans="1:3" x14ac:dyDescent="0.25">
      <c r="A79" t="s">
        <v>117</v>
      </c>
      <c r="B79" t="s">
        <v>44</v>
      </c>
      <c r="C79">
        <v>2771</v>
      </c>
    </row>
    <row r="80" spans="1:3" x14ac:dyDescent="0.25">
      <c r="A80" t="s">
        <v>118</v>
      </c>
      <c r="B80" t="s">
        <v>44</v>
      </c>
      <c r="C80">
        <v>3714</v>
      </c>
    </row>
    <row r="81" spans="1:3" x14ac:dyDescent="0.25">
      <c r="A81" t="s">
        <v>119</v>
      </c>
      <c r="B81" t="s">
        <v>44</v>
      </c>
      <c r="C81">
        <v>2125</v>
      </c>
    </row>
    <row r="82" spans="1:3" x14ac:dyDescent="0.25">
      <c r="A82" t="s">
        <v>120</v>
      </c>
      <c r="B82" t="s">
        <v>44</v>
      </c>
      <c r="C82">
        <v>2961</v>
      </c>
    </row>
    <row r="83" spans="1:3" x14ac:dyDescent="0.25">
      <c r="A83" t="s">
        <v>121</v>
      </c>
      <c r="B83" t="s">
        <v>44</v>
      </c>
      <c r="C83">
        <v>4117</v>
      </c>
    </row>
    <row r="84" spans="1:3" x14ac:dyDescent="0.25">
      <c r="A84" t="s">
        <v>122</v>
      </c>
      <c r="B84" t="s">
        <v>44</v>
      </c>
      <c r="C84">
        <v>3877</v>
      </c>
    </row>
    <row r="85" spans="1:3" x14ac:dyDescent="0.25">
      <c r="A85" t="s">
        <v>123</v>
      </c>
      <c r="B85" t="s">
        <v>44</v>
      </c>
      <c r="C85">
        <v>3710</v>
      </c>
    </row>
    <row r="86" spans="1:3" x14ac:dyDescent="0.25">
      <c r="A86" t="s">
        <v>124</v>
      </c>
      <c r="B86" t="s">
        <v>44</v>
      </c>
      <c r="C86">
        <v>4212</v>
      </c>
    </row>
    <row r="87" spans="1:3" x14ac:dyDescent="0.25">
      <c r="A87" t="s">
        <v>125</v>
      </c>
      <c r="B87" t="s">
        <v>44</v>
      </c>
      <c r="C87">
        <v>1912</v>
      </c>
    </row>
    <row r="88" spans="1:3" x14ac:dyDescent="0.25">
      <c r="A88" t="s">
        <v>126</v>
      </c>
      <c r="B88" t="s">
        <v>71</v>
      </c>
      <c r="C88">
        <v>1726</v>
      </c>
    </row>
    <row r="89" spans="1:3" x14ac:dyDescent="0.25">
      <c r="A89" t="s">
        <v>127</v>
      </c>
      <c r="B89" t="s">
        <v>71</v>
      </c>
      <c r="C89">
        <v>3573</v>
      </c>
    </row>
    <row r="90" spans="1:3" x14ac:dyDescent="0.25">
      <c r="A90" t="s">
        <v>128</v>
      </c>
      <c r="B90" t="s">
        <v>71</v>
      </c>
      <c r="C90">
        <v>4580</v>
      </c>
    </row>
    <row r="91" spans="1:3" x14ac:dyDescent="0.25">
      <c r="A91" t="s">
        <v>129</v>
      </c>
      <c r="B91" t="s">
        <v>71</v>
      </c>
      <c r="C91">
        <v>3112</v>
      </c>
    </row>
    <row r="92" spans="1:3" x14ac:dyDescent="0.25">
      <c r="A92" t="s">
        <v>130</v>
      </c>
      <c r="B92" t="s">
        <v>71</v>
      </c>
      <c r="C92">
        <v>2961</v>
      </c>
    </row>
    <row r="93" spans="1:3" x14ac:dyDescent="0.25">
      <c r="A93" t="s">
        <v>131</v>
      </c>
      <c r="B93" t="s">
        <v>71</v>
      </c>
      <c r="C93">
        <v>3926</v>
      </c>
    </row>
    <row r="94" spans="1:3" x14ac:dyDescent="0.25">
      <c r="A94" t="s">
        <v>132</v>
      </c>
      <c r="B94" t="s">
        <v>71</v>
      </c>
      <c r="C94">
        <v>4352</v>
      </c>
    </row>
    <row r="95" spans="1:3" x14ac:dyDescent="0.25">
      <c r="A95" t="s">
        <v>133</v>
      </c>
      <c r="B95" t="s">
        <v>71</v>
      </c>
      <c r="C95">
        <v>3555</v>
      </c>
    </row>
    <row r="96" spans="1:3" x14ac:dyDescent="0.25">
      <c r="A96" t="s">
        <v>134</v>
      </c>
      <c r="B96" t="s">
        <v>71</v>
      </c>
      <c r="C96">
        <v>5192</v>
      </c>
    </row>
    <row r="97" spans="1:3" x14ac:dyDescent="0.25">
      <c r="A97" t="s">
        <v>135</v>
      </c>
      <c r="B97" t="s">
        <v>71</v>
      </c>
      <c r="C97">
        <v>4664</v>
      </c>
    </row>
    <row r="98" spans="1:3" x14ac:dyDescent="0.25">
      <c r="A98" t="s">
        <v>136</v>
      </c>
      <c r="B98" t="s">
        <v>71</v>
      </c>
      <c r="C98">
        <v>3681</v>
      </c>
    </row>
    <row r="99" spans="1:3" x14ac:dyDescent="0.25">
      <c r="A99" t="s">
        <v>137</v>
      </c>
      <c r="B99" t="s">
        <v>71</v>
      </c>
      <c r="C99">
        <v>3850</v>
      </c>
    </row>
    <row r="100" spans="1:3" x14ac:dyDescent="0.25">
      <c r="A100" t="s">
        <v>138</v>
      </c>
      <c r="B100" t="s">
        <v>71</v>
      </c>
      <c r="C100">
        <v>5150</v>
      </c>
    </row>
    <row r="101" spans="1:3" x14ac:dyDescent="0.25">
      <c r="A101" t="s">
        <v>139</v>
      </c>
      <c r="B101" t="s">
        <v>71</v>
      </c>
      <c r="C101">
        <v>5165</v>
      </c>
    </row>
    <row r="102" spans="1:3" x14ac:dyDescent="0.25">
      <c r="A102" t="s">
        <v>140</v>
      </c>
      <c r="B102" t="s">
        <v>71</v>
      </c>
      <c r="C102">
        <v>3012</v>
      </c>
    </row>
    <row r="103" spans="1:3" x14ac:dyDescent="0.25">
      <c r="A103" t="s">
        <v>141</v>
      </c>
      <c r="B103" t="s">
        <v>71</v>
      </c>
      <c r="C103">
        <v>4281</v>
      </c>
    </row>
    <row r="104" spans="1:3" x14ac:dyDescent="0.25">
      <c r="A104" t="s">
        <v>142</v>
      </c>
      <c r="B104" t="s">
        <v>90</v>
      </c>
      <c r="C104">
        <v>4591</v>
      </c>
    </row>
    <row r="105" spans="1:3" x14ac:dyDescent="0.25">
      <c r="A105" t="s">
        <v>143</v>
      </c>
      <c r="B105" t="s">
        <v>90</v>
      </c>
      <c r="C105">
        <v>3786</v>
      </c>
    </row>
    <row r="106" spans="1:3" x14ac:dyDescent="0.25">
      <c r="A106" t="s">
        <v>144</v>
      </c>
      <c r="B106" t="s">
        <v>90</v>
      </c>
      <c r="C106">
        <v>3885</v>
      </c>
    </row>
    <row r="107" spans="1:3" x14ac:dyDescent="0.25">
      <c r="A107" t="s">
        <v>145</v>
      </c>
      <c r="B107" t="s">
        <v>90</v>
      </c>
      <c r="C107">
        <v>2967</v>
      </c>
    </row>
    <row r="108" spans="1:3" x14ac:dyDescent="0.25">
      <c r="A108" t="s">
        <v>146</v>
      </c>
      <c r="B108" t="s">
        <v>90</v>
      </c>
      <c r="C108">
        <v>3490</v>
      </c>
    </row>
    <row r="109" spans="1:3" x14ac:dyDescent="0.25">
      <c r="A109" t="s">
        <v>147</v>
      </c>
      <c r="B109" t="s">
        <v>90</v>
      </c>
      <c r="C109">
        <v>4208</v>
      </c>
    </row>
    <row r="110" spans="1:3" x14ac:dyDescent="0.25">
      <c r="A110" t="s">
        <v>148</v>
      </c>
      <c r="B110" t="s">
        <v>90</v>
      </c>
      <c r="C110">
        <v>5545</v>
      </c>
    </row>
    <row r="111" spans="1:3" x14ac:dyDescent="0.25">
      <c r="A111" t="s">
        <v>149</v>
      </c>
      <c r="B111" t="s">
        <v>90</v>
      </c>
      <c r="C111">
        <v>1541</v>
      </c>
    </row>
    <row r="112" spans="1:3" x14ac:dyDescent="0.25">
      <c r="A112" t="s">
        <v>150</v>
      </c>
      <c r="B112" t="s">
        <v>90</v>
      </c>
      <c r="C112">
        <v>2388</v>
      </c>
    </row>
    <row r="113" spans="1:3" x14ac:dyDescent="0.25">
      <c r="A113" t="s">
        <v>151</v>
      </c>
      <c r="B113" t="s">
        <v>90</v>
      </c>
      <c r="C113">
        <v>2515</v>
      </c>
    </row>
    <row r="114" spans="1:3" x14ac:dyDescent="0.25">
      <c r="A114" t="s">
        <v>152</v>
      </c>
      <c r="B114" t="s">
        <v>90</v>
      </c>
      <c r="C114">
        <v>3726</v>
      </c>
    </row>
    <row r="115" spans="1:3" x14ac:dyDescent="0.25">
      <c r="A115" t="s">
        <v>153</v>
      </c>
      <c r="B115" t="s">
        <v>90</v>
      </c>
      <c r="C115">
        <v>3481</v>
      </c>
    </row>
    <row r="116" spans="1:3" x14ac:dyDescent="0.25">
      <c r="A116" t="s">
        <v>154</v>
      </c>
      <c r="B116" t="s">
        <v>90</v>
      </c>
      <c r="C116">
        <v>5054</v>
      </c>
    </row>
    <row r="117" spans="1:3" x14ac:dyDescent="0.25">
      <c r="A117" t="s">
        <v>155</v>
      </c>
      <c r="B117" t="s">
        <v>90</v>
      </c>
      <c r="C117">
        <v>4565</v>
      </c>
    </row>
    <row r="118" spans="1:3" x14ac:dyDescent="0.25">
      <c r="A118" t="s">
        <v>156</v>
      </c>
      <c r="B118" t="s">
        <v>90</v>
      </c>
      <c r="C118">
        <v>4302</v>
      </c>
    </row>
    <row r="119" spans="1:3" x14ac:dyDescent="0.25">
      <c r="A119" t="s">
        <v>157</v>
      </c>
      <c r="B119" t="s">
        <v>90</v>
      </c>
      <c r="C119">
        <v>4114</v>
      </c>
    </row>
    <row r="120" spans="1:3" x14ac:dyDescent="0.25">
      <c r="A120" t="s">
        <v>158</v>
      </c>
      <c r="B120" t="s">
        <v>90</v>
      </c>
      <c r="C120">
        <v>4648</v>
      </c>
    </row>
    <row r="121" spans="1:3" x14ac:dyDescent="0.25">
      <c r="A121" t="s">
        <v>159</v>
      </c>
      <c r="B121" t="s">
        <v>90</v>
      </c>
      <c r="C121">
        <v>3892</v>
      </c>
    </row>
    <row r="122" spans="1:3" x14ac:dyDescent="0.25">
      <c r="A122" t="s">
        <v>160</v>
      </c>
      <c r="B122" t="s">
        <v>90</v>
      </c>
      <c r="C122">
        <v>2779</v>
      </c>
    </row>
    <row r="123" spans="1:3" x14ac:dyDescent="0.25">
      <c r="A123" t="s">
        <v>161</v>
      </c>
      <c r="B123" t="s">
        <v>71</v>
      </c>
      <c r="C123">
        <v>7145</v>
      </c>
    </row>
    <row r="124" spans="1:3" x14ac:dyDescent="0.25">
      <c r="A124" t="s">
        <v>162</v>
      </c>
      <c r="B124" t="s">
        <v>71</v>
      </c>
      <c r="C124">
        <v>3382</v>
      </c>
    </row>
    <row r="125" spans="1:3" x14ac:dyDescent="0.25">
      <c r="A125" t="s">
        <v>163</v>
      </c>
      <c r="B125" t="s">
        <v>71</v>
      </c>
      <c r="C125">
        <v>4835</v>
      </c>
    </row>
    <row r="126" spans="1:3" x14ac:dyDescent="0.25">
      <c r="A126" t="s">
        <v>164</v>
      </c>
      <c r="B126" t="s">
        <v>71</v>
      </c>
      <c r="C126">
        <v>1931</v>
      </c>
    </row>
    <row r="127" spans="1:3" x14ac:dyDescent="0.25">
      <c r="A127" t="s">
        <v>165</v>
      </c>
      <c r="B127" t="s">
        <v>71</v>
      </c>
      <c r="C127">
        <v>4371</v>
      </c>
    </row>
    <row r="128" spans="1:3" x14ac:dyDescent="0.25">
      <c r="A128" t="s">
        <v>166</v>
      </c>
      <c r="B128" t="s">
        <v>71</v>
      </c>
      <c r="C128">
        <v>26</v>
      </c>
    </row>
    <row r="129" spans="1:3" x14ac:dyDescent="0.25">
      <c r="A129" t="s">
        <v>167</v>
      </c>
      <c r="B129" t="s">
        <v>71</v>
      </c>
      <c r="C129">
        <v>4012</v>
      </c>
    </row>
    <row r="130" spans="1:3" x14ac:dyDescent="0.25">
      <c r="A130" t="s">
        <v>168</v>
      </c>
      <c r="B130" t="s">
        <v>71</v>
      </c>
      <c r="C130">
        <v>2361</v>
      </c>
    </row>
    <row r="131" spans="1:3" x14ac:dyDescent="0.25">
      <c r="A131" t="s">
        <v>169</v>
      </c>
      <c r="B131" t="s">
        <v>71</v>
      </c>
      <c r="C131">
        <v>4419</v>
      </c>
    </row>
    <row r="132" spans="1:3" x14ac:dyDescent="0.25">
      <c r="A132" t="s">
        <v>170</v>
      </c>
      <c r="B132" t="s">
        <v>37</v>
      </c>
      <c r="C132">
        <v>4825</v>
      </c>
    </row>
    <row r="133" spans="1:3" x14ac:dyDescent="0.25">
      <c r="A133" t="s">
        <v>171</v>
      </c>
      <c r="B133" t="s">
        <v>37</v>
      </c>
      <c r="C133">
        <v>2895</v>
      </c>
    </row>
    <row r="134" spans="1:3" x14ac:dyDescent="0.25">
      <c r="A134" t="s">
        <v>172</v>
      </c>
      <c r="B134" t="s">
        <v>37</v>
      </c>
      <c r="C134">
        <v>3025</v>
      </c>
    </row>
    <row r="135" spans="1:3" x14ac:dyDescent="0.25">
      <c r="A135" t="s">
        <v>173</v>
      </c>
      <c r="B135" t="s">
        <v>37</v>
      </c>
      <c r="C135">
        <v>4092</v>
      </c>
    </row>
    <row r="136" spans="1:3" x14ac:dyDescent="0.25">
      <c r="A136" t="s">
        <v>174</v>
      </c>
      <c r="B136" t="s">
        <v>37</v>
      </c>
      <c r="C136">
        <v>2888</v>
      </c>
    </row>
    <row r="137" spans="1:3" x14ac:dyDescent="0.25">
      <c r="A137" t="s">
        <v>175</v>
      </c>
      <c r="B137" t="s">
        <v>37</v>
      </c>
      <c r="C137">
        <v>4611</v>
      </c>
    </row>
    <row r="138" spans="1:3" x14ac:dyDescent="0.25">
      <c r="A138" t="s">
        <v>176</v>
      </c>
      <c r="B138" t="s">
        <v>37</v>
      </c>
      <c r="C138">
        <v>4793</v>
      </c>
    </row>
    <row r="139" spans="1:3" x14ac:dyDescent="0.25">
      <c r="A139" t="s">
        <v>177</v>
      </c>
      <c r="B139" t="s">
        <v>37</v>
      </c>
      <c r="C139">
        <v>4908</v>
      </c>
    </row>
    <row r="140" spans="1:3" x14ac:dyDescent="0.25">
      <c r="A140" t="s">
        <v>178</v>
      </c>
      <c r="B140" t="s">
        <v>37</v>
      </c>
      <c r="C140">
        <v>3866</v>
      </c>
    </row>
    <row r="141" spans="1:3" x14ac:dyDescent="0.25">
      <c r="A141" t="s">
        <v>179</v>
      </c>
      <c r="B141" t="s">
        <v>37</v>
      </c>
      <c r="C141">
        <v>4056</v>
      </c>
    </row>
    <row r="142" spans="1:3" x14ac:dyDescent="0.25">
      <c r="A142" t="s">
        <v>180</v>
      </c>
      <c r="B142" t="s">
        <v>37</v>
      </c>
      <c r="C142">
        <v>3791</v>
      </c>
    </row>
    <row r="143" spans="1:3" x14ac:dyDescent="0.25">
      <c r="A143" t="s">
        <v>181</v>
      </c>
      <c r="B143" t="s">
        <v>37</v>
      </c>
      <c r="C143">
        <v>4166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7109375" defaultRowHeight="15" x14ac:dyDescent="0.25"/>
  <sheetData>
    <row r="1" spans="1:3" x14ac:dyDescent="0.25">
      <c r="A1" t="s">
        <v>182</v>
      </c>
      <c r="B1" t="s">
        <v>33</v>
      </c>
      <c r="C1" t="s">
        <v>183</v>
      </c>
    </row>
    <row r="2" spans="1:3" x14ac:dyDescent="0.25">
      <c r="A2" t="s">
        <v>184</v>
      </c>
      <c r="B2" t="s">
        <v>71</v>
      </c>
      <c r="C2">
        <v>420</v>
      </c>
    </row>
    <row r="3" spans="1:3" x14ac:dyDescent="0.25">
      <c r="A3" t="s">
        <v>185</v>
      </c>
      <c r="B3" t="s">
        <v>44</v>
      </c>
      <c r="C3">
        <v>480</v>
      </c>
    </row>
    <row r="4" spans="1:3" x14ac:dyDescent="0.25">
      <c r="A4" t="s">
        <v>186</v>
      </c>
      <c r="B4" t="s">
        <v>90</v>
      </c>
      <c r="C4">
        <v>640</v>
      </c>
    </row>
    <row r="5" spans="1:3" x14ac:dyDescent="0.25">
      <c r="A5" t="s">
        <v>187</v>
      </c>
      <c r="B5" t="s">
        <v>71</v>
      </c>
      <c r="C5">
        <v>440</v>
      </c>
    </row>
    <row r="6" spans="1:3" x14ac:dyDescent="0.25">
      <c r="A6" t="s">
        <v>188</v>
      </c>
      <c r="B6" t="s">
        <v>44</v>
      </c>
      <c r="C6">
        <v>490</v>
      </c>
    </row>
    <row r="7" spans="1:3" x14ac:dyDescent="0.25">
      <c r="A7" t="s">
        <v>189</v>
      </c>
      <c r="B7" t="s">
        <v>71</v>
      </c>
      <c r="C7">
        <v>500</v>
      </c>
    </row>
    <row r="8" spans="1:3" x14ac:dyDescent="0.25">
      <c r="A8" t="s">
        <v>190</v>
      </c>
      <c r="B8" t="s">
        <v>71</v>
      </c>
      <c r="C8">
        <v>640</v>
      </c>
    </row>
    <row r="9" spans="1:3" x14ac:dyDescent="0.25">
      <c r="A9" t="s">
        <v>191</v>
      </c>
      <c r="B9" t="s">
        <v>37</v>
      </c>
      <c r="C9">
        <v>550</v>
      </c>
    </row>
    <row r="10" spans="1:3" x14ac:dyDescent="0.25">
      <c r="A10" t="s">
        <v>192</v>
      </c>
      <c r="B10" t="s">
        <v>37</v>
      </c>
      <c r="C10">
        <v>420</v>
      </c>
    </row>
    <row r="11" spans="1:3" x14ac:dyDescent="0.25">
      <c r="A11" t="s">
        <v>193</v>
      </c>
      <c r="B11" t="s">
        <v>90</v>
      </c>
      <c r="C11">
        <v>440</v>
      </c>
    </row>
    <row r="12" spans="1:3" x14ac:dyDescent="0.25">
      <c r="A12" t="s">
        <v>194</v>
      </c>
      <c r="B12" t="s">
        <v>37</v>
      </c>
      <c r="C12">
        <v>540</v>
      </c>
    </row>
    <row r="13" spans="1:3" x14ac:dyDescent="0.25">
      <c r="A13" t="s">
        <v>195</v>
      </c>
      <c r="B13" t="s">
        <v>90</v>
      </c>
      <c r="C13">
        <v>450</v>
      </c>
    </row>
    <row r="14" spans="1:3" x14ac:dyDescent="0.25">
      <c r="A14" t="s">
        <v>196</v>
      </c>
      <c r="B14" t="s">
        <v>44</v>
      </c>
      <c r="C14">
        <v>540</v>
      </c>
    </row>
    <row r="15" spans="1:3" x14ac:dyDescent="0.25">
      <c r="A15" t="s">
        <v>197</v>
      </c>
      <c r="B15" t="s">
        <v>44</v>
      </c>
      <c r="C15">
        <v>520</v>
      </c>
    </row>
    <row r="16" spans="1:3" x14ac:dyDescent="0.25">
      <c r="A16" t="s">
        <v>198</v>
      </c>
      <c r="B16" t="s">
        <v>37</v>
      </c>
      <c r="C16">
        <v>640</v>
      </c>
    </row>
    <row r="17" spans="1:3" x14ac:dyDescent="0.25">
      <c r="A17" t="s">
        <v>199</v>
      </c>
      <c r="B17" t="s">
        <v>71</v>
      </c>
      <c r="C17">
        <v>620</v>
      </c>
    </row>
    <row r="18" spans="1:3" x14ac:dyDescent="0.25">
      <c r="A18" t="s">
        <v>200</v>
      </c>
      <c r="B18" t="s">
        <v>37</v>
      </c>
      <c r="C18">
        <v>520</v>
      </c>
    </row>
    <row r="19" spans="1:3" x14ac:dyDescent="0.25">
      <c r="A19" t="s">
        <v>201</v>
      </c>
      <c r="B19" t="s">
        <v>71</v>
      </c>
      <c r="C19">
        <v>590</v>
      </c>
    </row>
    <row r="20" spans="1:3" x14ac:dyDescent="0.25">
      <c r="A20" t="s">
        <v>202</v>
      </c>
      <c r="B20" t="s">
        <v>90</v>
      </c>
      <c r="C20">
        <v>610</v>
      </c>
    </row>
    <row r="21" spans="1:3" x14ac:dyDescent="0.25">
      <c r="A21" t="s">
        <v>203</v>
      </c>
      <c r="B21" t="s">
        <v>90</v>
      </c>
      <c r="C21">
        <v>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7109375" defaultRowHeight="15" x14ac:dyDescent="0.25"/>
  <sheetData>
    <row r="1" spans="1:2" x14ac:dyDescent="0.25">
      <c r="A1" t="s">
        <v>204</v>
      </c>
      <c r="B1" t="s">
        <v>205</v>
      </c>
    </row>
    <row r="2" spans="1:2" x14ac:dyDescent="0.25">
      <c r="A2" t="s">
        <v>206</v>
      </c>
      <c r="B2" t="s">
        <v>184</v>
      </c>
    </row>
    <row r="3" spans="1:2" x14ac:dyDescent="0.25">
      <c r="A3" t="s">
        <v>207</v>
      </c>
      <c r="B3" t="s">
        <v>185</v>
      </c>
    </row>
    <row r="4" spans="1:2" x14ac:dyDescent="0.25">
      <c r="A4" t="s">
        <v>208</v>
      </c>
      <c r="B4" t="s">
        <v>186</v>
      </c>
    </row>
    <row r="5" spans="1:2" x14ac:dyDescent="0.25">
      <c r="A5" t="s">
        <v>209</v>
      </c>
      <c r="B5" t="s">
        <v>187</v>
      </c>
    </row>
    <row r="6" spans="1:2" x14ac:dyDescent="0.25">
      <c r="A6" t="s">
        <v>210</v>
      </c>
      <c r="B6" t="s">
        <v>188</v>
      </c>
    </row>
    <row r="7" spans="1:2" x14ac:dyDescent="0.25">
      <c r="A7" t="s">
        <v>211</v>
      </c>
      <c r="B7" t="s">
        <v>189</v>
      </c>
    </row>
    <row r="8" spans="1:2" x14ac:dyDescent="0.25">
      <c r="A8" t="s">
        <v>212</v>
      </c>
      <c r="B8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213</v>
      </c>
    </row>
    <row r="2" spans="1:1" x14ac:dyDescent="0.25">
      <c r="A2" t="s">
        <v>214</v>
      </c>
    </row>
    <row r="3" spans="1:1" x14ac:dyDescent="0.25">
      <c r="A3" t="s">
        <v>215</v>
      </c>
    </row>
    <row r="4" spans="1:1" x14ac:dyDescent="0.25">
      <c r="A4" t="s">
        <v>216</v>
      </c>
    </row>
    <row r="5" spans="1:1" x14ac:dyDescent="0.25">
      <c r="A5" t="s">
        <v>217</v>
      </c>
    </row>
    <row r="6" spans="1:1" x14ac:dyDescent="0.25">
      <c r="A6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5" customWidth="1"/>
    <col min="2" max="2" width="21" customWidth="1"/>
    <col min="3" max="4" width="23" customWidth="1"/>
    <col min="5" max="5" width="24" customWidth="1"/>
    <col min="6" max="6" width="27" customWidth="1"/>
  </cols>
  <sheetData>
    <row r="1" spans="1:6" ht="26.1" customHeight="1" x14ac:dyDescent="0.25">
      <c r="A1" s="23" t="s">
        <v>219</v>
      </c>
      <c r="B1" s="23" t="s">
        <v>213</v>
      </c>
      <c r="C1" s="23" t="s">
        <v>220</v>
      </c>
      <c r="D1" s="23" t="s">
        <v>221</v>
      </c>
      <c r="E1" s="23" t="s">
        <v>369</v>
      </c>
      <c r="F1" s="23" t="s">
        <v>222</v>
      </c>
    </row>
    <row r="2" spans="1:6" x14ac:dyDescent="0.25">
      <c r="A2" t="s">
        <v>370</v>
      </c>
      <c r="B2" t="s">
        <v>214</v>
      </c>
      <c r="C2" s="22">
        <v>4.4044E-2</v>
      </c>
      <c r="D2" s="22">
        <v>1.0164</v>
      </c>
      <c r="E2" s="16">
        <v>442150</v>
      </c>
      <c r="F2" s="24">
        <f>ROUND(E2*Costos!$B$5,0)</f>
        <v>22108</v>
      </c>
    </row>
    <row r="3" spans="1:6" x14ac:dyDescent="0.25">
      <c r="A3" t="s">
        <v>371</v>
      </c>
      <c r="B3" t="s">
        <v>214</v>
      </c>
      <c r="C3" s="22">
        <v>6.2920000000000004E-2</v>
      </c>
      <c r="D3" s="22">
        <v>1.4659</v>
      </c>
      <c r="E3" s="16">
        <v>527043</v>
      </c>
      <c r="F3" s="24">
        <f>ROUND(E3*Costos!$B$5,0)</f>
        <v>26352</v>
      </c>
    </row>
    <row r="4" spans="1:6" x14ac:dyDescent="0.25">
      <c r="A4" t="s">
        <v>372</v>
      </c>
      <c r="B4" t="s">
        <v>215</v>
      </c>
      <c r="C4" s="22">
        <v>7.6800000000000002E-3</v>
      </c>
      <c r="D4" s="22">
        <v>0.42703000000000002</v>
      </c>
      <c r="E4" s="16">
        <v>96334</v>
      </c>
      <c r="F4" s="24">
        <f>ROUND(E4*Costos!$B$5,0)</f>
        <v>4817</v>
      </c>
    </row>
    <row r="5" spans="1:6" x14ac:dyDescent="0.25">
      <c r="A5" t="s">
        <v>373</v>
      </c>
      <c r="B5" t="s">
        <v>215</v>
      </c>
      <c r="C5" s="22">
        <v>2.4639999999999999E-2</v>
      </c>
      <c r="D5" s="22">
        <v>1.0164</v>
      </c>
      <c r="E5" s="16">
        <v>442150</v>
      </c>
      <c r="F5" s="24">
        <f>ROUND(E5*Costos!$B$5,0)</f>
        <v>22108</v>
      </c>
    </row>
    <row r="6" spans="1:6" x14ac:dyDescent="0.25">
      <c r="A6" t="s">
        <v>374</v>
      </c>
      <c r="B6" t="s">
        <v>215</v>
      </c>
      <c r="C6" s="22">
        <v>3.5200000000000002E-2</v>
      </c>
      <c r="D6" s="22">
        <v>1.4659</v>
      </c>
      <c r="E6" s="16">
        <v>527043</v>
      </c>
      <c r="F6" s="24">
        <f>ROUND(E6*Costos!$B$5,0)</f>
        <v>26352</v>
      </c>
    </row>
    <row r="7" spans="1:6" x14ac:dyDescent="0.25">
      <c r="A7" t="s">
        <v>375</v>
      </c>
      <c r="B7" t="s">
        <v>216</v>
      </c>
      <c r="C7" s="22">
        <v>7.6799999999999993E-2</v>
      </c>
      <c r="D7" s="22">
        <v>0.42703000000000002</v>
      </c>
      <c r="E7" s="16">
        <v>96334</v>
      </c>
      <c r="F7" s="24">
        <f>ROUND(E7*Costos!$B$5,0)</f>
        <v>4817</v>
      </c>
    </row>
    <row r="8" spans="1:6" x14ac:dyDescent="0.25">
      <c r="A8" t="s">
        <v>376</v>
      </c>
      <c r="B8" t="s">
        <v>216</v>
      </c>
      <c r="C8" s="22">
        <v>1.2</v>
      </c>
      <c r="D8" s="22">
        <v>2.64</v>
      </c>
      <c r="E8" s="16">
        <v>1500000</v>
      </c>
      <c r="F8" s="24">
        <f>ROUND(E8*Costos!$B$5,0)</f>
        <v>75000</v>
      </c>
    </row>
    <row r="9" spans="1:6" x14ac:dyDescent="0.25">
      <c r="A9" t="s">
        <v>377</v>
      </c>
      <c r="B9" t="s">
        <v>217</v>
      </c>
      <c r="C9" s="22">
        <v>6.9119999999999997E-3</v>
      </c>
      <c r="D9" s="22">
        <v>0.42703000000000002</v>
      </c>
      <c r="E9" s="16">
        <v>96334</v>
      </c>
      <c r="F9" s="24">
        <f>ROUND(E9*Costos!$B$5,0)</f>
        <v>4817</v>
      </c>
    </row>
    <row r="10" spans="1:6" x14ac:dyDescent="0.25">
      <c r="A10" t="s">
        <v>378</v>
      </c>
      <c r="B10" t="s">
        <v>217</v>
      </c>
      <c r="C10" s="22">
        <v>2.2176000000000001E-2</v>
      </c>
      <c r="D10" s="22">
        <v>1.0164</v>
      </c>
      <c r="E10" s="16">
        <v>442150</v>
      </c>
      <c r="F10" s="24">
        <f>ROUND(E10*Costos!$B$5,0)</f>
        <v>22108</v>
      </c>
    </row>
    <row r="11" spans="1:6" x14ac:dyDescent="0.25">
      <c r="A11" t="s">
        <v>379</v>
      </c>
      <c r="B11" t="s">
        <v>218</v>
      </c>
      <c r="C11" s="22">
        <v>1.6015999999999999E-2</v>
      </c>
      <c r="D11" s="22">
        <v>1.0164</v>
      </c>
      <c r="E11" s="16">
        <v>442150</v>
      </c>
      <c r="F11" s="24">
        <f>ROUND(E11*Costos!$B$5,0)</f>
        <v>22108</v>
      </c>
    </row>
    <row r="12" spans="1:6" x14ac:dyDescent="0.25">
      <c r="A12" t="s">
        <v>380</v>
      </c>
      <c r="B12" t="s">
        <v>218</v>
      </c>
      <c r="C12" s="22">
        <v>2.2880000000000001E-2</v>
      </c>
      <c r="D12" s="22">
        <v>1.4659</v>
      </c>
      <c r="E12" s="16">
        <v>527043</v>
      </c>
      <c r="F12" s="24">
        <f>ROUND(E12*Costos!$B$5,0)</f>
        <v>26352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5" customWidth="1"/>
    <col min="2" max="2" width="24" customWidth="1"/>
    <col min="3" max="3" width="22" customWidth="1"/>
    <col min="4" max="4" width="23" customWidth="1"/>
    <col min="5" max="5" width="26" customWidth="1"/>
    <col min="6" max="6" width="23" customWidth="1"/>
  </cols>
  <sheetData>
    <row r="1" spans="1:6" ht="29.1" customHeight="1" x14ac:dyDescent="0.25">
      <c r="A1" s="20" t="s">
        <v>204</v>
      </c>
      <c r="B1" s="20" t="s">
        <v>381</v>
      </c>
      <c r="C1" s="20" t="s">
        <v>213</v>
      </c>
      <c r="D1" s="20" t="s">
        <v>382</v>
      </c>
      <c r="E1" s="20" t="s">
        <v>383</v>
      </c>
      <c r="F1" s="20" t="s">
        <v>221</v>
      </c>
    </row>
    <row r="2" spans="1:6" x14ac:dyDescent="0.25">
      <c r="A2" t="s">
        <v>384</v>
      </c>
      <c r="B2" t="s">
        <v>385</v>
      </c>
      <c r="C2" t="s">
        <v>214</v>
      </c>
      <c r="D2" s="21">
        <v>2</v>
      </c>
      <c r="E2" s="22">
        <v>0.36608000000000002</v>
      </c>
      <c r="F2" s="22">
        <v>3.2</v>
      </c>
    </row>
    <row r="3" spans="1:6" x14ac:dyDescent="0.25">
      <c r="A3" t="s">
        <v>384</v>
      </c>
      <c r="B3" t="s">
        <v>386</v>
      </c>
      <c r="C3" t="s">
        <v>215</v>
      </c>
      <c r="D3" s="21">
        <v>5</v>
      </c>
      <c r="E3" s="22">
        <v>2.4639999999999999E-2</v>
      </c>
      <c r="F3" s="22">
        <v>1.0608</v>
      </c>
    </row>
    <row r="4" spans="1:6" x14ac:dyDescent="0.25">
      <c r="A4" t="s">
        <v>384</v>
      </c>
      <c r="B4" t="s">
        <v>387</v>
      </c>
      <c r="C4" t="s">
        <v>216</v>
      </c>
      <c r="D4" s="21">
        <v>1</v>
      </c>
      <c r="E4" s="22">
        <v>1.2</v>
      </c>
      <c r="F4" s="22">
        <v>2.64</v>
      </c>
    </row>
    <row r="5" spans="1:6" x14ac:dyDescent="0.25">
      <c r="A5" t="s">
        <v>384</v>
      </c>
      <c r="B5" t="s">
        <v>388</v>
      </c>
      <c r="C5" t="s">
        <v>217</v>
      </c>
      <c r="D5" s="21">
        <v>1</v>
      </c>
      <c r="E5" s="22">
        <v>3.6676652999999997E-2</v>
      </c>
      <c r="F5" s="22">
        <v>1.0608</v>
      </c>
    </row>
    <row r="6" spans="1:6" x14ac:dyDescent="0.25">
      <c r="A6" t="s">
        <v>384</v>
      </c>
      <c r="B6" t="s">
        <v>389</v>
      </c>
      <c r="C6" t="s">
        <v>218</v>
      </c>
      <c r="D6" s="21">
        <v>2</v>
      </c>
      <c r="E6" s="22">
        <v>1.6015999999999999E-2</v>
      </c>
      <c r="F6" s="22">
        <v>1.0608</v>
      </c>
    </row>
    <row r="7" spans="1:6" x14ac:dyDescent="0.25">
      <c r="A7" t="s">
        <v>390</v>
      </c>
      <c r="B7" t="s">
        <v>385</v>
      </c>
      <c r="C7" t="s">
        <v>214</v>
      </c>
      <c r="D7" s="21">
        <v>2</v>
      </c>
      <c r="E7" s="22">
        <v>0.36608000000000002</v>
      </c>
      <c r="F7" s="22">
        <v>3.2</v>
      </c>
    </row>
    <row r="8" spans="1:6" x14ac:dyDescent="0.25">
      <c r="A8" t="s">
        <v>390</v>
      </c>
      <c r="B8" t="s">
        <v>386</v>
      </c>
      <c r="C8" t="s">
        <v>215</v>
      </c>
      <c r="D8" s="21">
        <v>6</v>
      </c>
      <c r="E8" s="22">
        <v>2.4639999999999999E-2</v>
      </c>
      <c r="F8" s="22">
        <v>1.0608</v>
      </c>
    </row>
    <row r="9" spans="1:6" x14ac:dyDescent="0.25">
      <c r="A9" t="s">
        <v>390</v>
      </c>
      <c r="B9" t="s">
        <v>387</v>
      </c>
      <c r="C9" t="s">
        <v>216</v>
      </c>
      <c r="D9" s="21">
        <v>1</v>
      </c>
      <c r="E9" s="22">
        <v>1.2</v>
      </c>
      <c r="F9" s="22">
        <v>2.64</v>
      </c>
    </row>
    <row r="10" spans="1:6" x14ac:dyDescent="0.25">
      <c r="A10" t="s">
        <v>390</v>
      </c>
      <c r="B10" t="s">
        <v>388</v>
      </c>
      <c r="C10" t="s">
        <v>217</v>
      </c>
      <c r="D10" s="21">
        <v>2</v>
      </c>
      <c r="E10" s="22">
        <v>3.5530346999999997E-2</v>
      </c>
      <c r="F10" s="22">
        <v>1.0608</v>
      </c>
    </row>
    <row r="11" spans="1:6" x14ac:dyDescent="0.25">
      <c r="A11" t="s">
        <v>390</v>
      </c>
      <c r="B11" t="s">
        <v>389</v>
      </c>
      <c r="C11" t="s">
        <v>218</v>
      </c>
      <c r="D11" s="21">
        <v>2</v>
      </c>
      <c r="E11" s="22">
        <v>1.6015999999999999E-2</v>
      </c>
      <c r="F11" s="22">
        <v>1.0608</v>
      </c>
    </row>
    <row r="12" spans="1:6" x14ac:dyDescent="0.25">
      <c r="A12" t="s">
        <v>391</v>
      </c>
      <c r="B12" t="s">
        <v>385</v>
      </c>
      <c r="C12" t="s">
        <v>214</v>
      </c>
      <c r="D12" s="21">
        <v>1</v>
      </c>
      <c r="E12" s="22">
        <v>0.36608000000000002</v>
      </c>
      <c r="F12" s="22">
        <v>3.2</v>
      </c>
    </row>
    <row r="13" spans="1:6" x14ac:dyDescent="0.25">
      <c r="A13" t="s">
        <v>391</v>
      </c>
      <c r="B13" t="s">
        <v>386</v>
      </c>
      <c r="C13" t="s">
        <v>215</v>
      </c>
      <c r="D13" s="21">
        <v>3</v>
      </c>
      <c r="E13" s="22">
        <v>2.4639999999999999E-2</v>
      </c>
      <c r="F13" s="22">
        <v>1.0608</v>
      </c>
    </row>
    <row r="14" spans="1:6" x14ac:dyDescent="0.25">
      <c r="A14" t="s">
        <v>391</v>
      </c>
      <c r="B14" t="s">
        <v>387</v>
      </c>
      <c r="C14" t="s">
        <v>216</v>
      </c>
      <c r="D14" s="21">
        <v>1</v>
      </c>
      <c r="E14" s="22">
        <v>1.2</v>
      </c>
      <c r="F14" s="22">
        <v>2.64</v>
      </c>
    </row>
    <row r="15" spans="1:6" x14ac:dyDescent="0.25">
      <c r="A15" t="s">
        <v>391</v>
      </c>
      <c r="B15" t="s">
        <v>388</v>
      </c>
      <c r="C15" t="s">
        <v>217</v>
      </c>
      <c r="D15" s="21">
        <v>1</v>
      </c>
      <c r="E15" s="22">
        <v>4.6181100000000003E-2</v>
      </c>
      <c r="F15" s="22">
        <v>1.0608</v>
      </c>
    </row>
    <row r="16" spans="1:6" x14ac:dyDescent="0.25">
      <c r="A16" t="s">
        <v>391</v>
      </c>
      <c r="B16" t="s">
        <v>389</v>
      </c>
      <c r="C16" t="s">
        <v>218</v>
      </c>
      <c r="D16" s="21">
        <v>1</v>
      </c>
      <c r="E16" s="22">
        <v>1.6015999999999999E-2</v>
      </c>
      <c r="F16" s="22">
        <v>1.0608</v>
      </c>
    </row>
    <row r="17" spans="1:6" x14ac:dyDescent="0.25">
      <c r="A17" t="s">
        <v>392</v>
      </c>
      <c r="B17" t="s">
        <v>385</v>
      </c>
      <c r="C17" t="s">
        <v>214</v>
      </c>
      <c r="D17" s="21">
        <v>1</v>
      </c>
      <c r="E17" s="22">
        <v>0.36608000000000002</v>
      </c>
      <c r="F17" s="22">
        <v>3.2</v>
      </c>
    </row>
    <row r="18" spans="1:6" x14ac:dyDescent="0.25">
      <c r="A18" t="s">
        <v>392</v>
      </c>
      <c r="B18" t="s">
        <v>386</v>
      </c>
      <c r="C18" t="s">
        <v>215</v>
      </c>
      <c r="D18" s="21">
        <v>1</v>
      </c>
      <c r="E18" s="22">
        <v>2.4639999999999999E-2</v>
      </c>
      <c r="F18" s="22">
        <v>1.0608</v>
      </c>
    </row>
    <row r="19" spans="1:6" x14ac:dyDescent="0.25">
      <c r="A19" t="s">
        <v>392</v>
      </c>
      <c r="B19" t="s">
        <v>387</v>
      </c>
      <c r="C19" t="s">
        <v>216</v>
      </c>
      <c r="D19" s="21">
        <v>1</v>
      </c>
      <c r="E19" s="22">
        <v>1.2</v>
      </c>
      <c r="F19" s="22">
        <v>2.64</v>
      </c>
    </row>
    <row r="20" spans="1:6" x14ac:dyDescent="0.25">
      <c r="A20" t="s">
        <v>392</v>
      </c>
      <c r="B20" t="s">
        <v>388</v>
      </c>
      <c r="C20" t="s">
        <v>217</v>
      </c>
      <c r="D20" s="21">
        <v>1</v>
      </c>
      <c r="E20" s="22">
        <v>3.6701592999999998E-2</v>
      </c>
      <c r="F20" s="22">
        <v>1.0608</v>
      </c>
    </row>
    <row r="21" spans="1:6" x14ac:dyDescent="0.25">
      <c r="A21" t="s">
        <v>392</v>
      </c>
      <c r="B21" t="s">
        <v>389</v>
      </c>
      <c r="C21" t="s">
        <v>218</v>
      </c>
      <c r="D21" s="21">
        <v>1</v>
      </c>
      <c r="E21" s="22">
        <v>1.6015999999999999E-2</v>
      </c>
      <c r="F21" s="22">
        <v>1.0608</v>
      </c>
    </row>
    <row r="22" spans="1:6" x14ac:dyDescent="0.25">
      <c r="A22" t="s">
        <v>393</v>
      </c>
      <c r="B22" t="s">
        <v>385</v>
      </c>
      <c r="C22" t="s">
        <v>214</v>
      </c>
      <c r="D22" s="21">
        <v>1</v>
      </c>
      <c r="E22" s="22">
        <v>0.36608000000000002</v>
      </c>
      <c r="F22" s="22">
        <v>3.2</v>
      </c>
    </row>
    <row r="23" spans="1:6" x14ac:dyDescent="0.25">
      <c r="A23" t="s">
        <v>393</v>
      </c>
      <c r="B23" t="s">
        <v>386</v>
      </c>
      <c r="C23" t="s">
        <v>215</v>
      </c>
      <c r="D23" s="21">
        <v>4</v>
      </c>
      <c r="E23" s="22">
        <v>2.4639999999999999E-2</v>
      </c>
      <c r="F23" s="22">
        <v>1.0608</v>
      </c>
    </row>
    <row r="24" spans="1:6" x14ac:dyDescent="0.25">
      <c r="A24" t="s">
        <v>393</v>
      </c>
      <c r="B24" t="s">
        <v>387</v>
      </c>
      <c r="C24" t="s">
        <v>216</v>
      </c>
      <c r="D24" s="21">
        <v>1</v>
      </c>
      <c r="E24" s="22">
        <v>1.2</v>
      </c>
      <c r="F24" s="22">
        <v>2.64</v>
      </c>
    </row>
    <row r="25" spans="1:6" x14ac:dyDescent="0.25">
      <c r="A25" t="s">
        <v>393</v>
      </c>
      <c r="B25" t="s">
        <v>388</v>
      </c>
      <c r="C25" t="s">
        <v>217</v>
      </c>
      <c r="D25" s="21">
        <v>1</v>
      </c>
      <c r="E25" s="22">
        <v>3.7349802000000001E-2</v>
      </c>
      <c r="F25" s="22">
        <v>1.0608</v>
      </c>
    </row>
    <row r="26" spans="1:6" x14ac:dyDescent="0.25">
      <c r="A26" t="s">
        <v>393</v>
      </c>
      <c r="B26" t="s">
        <v>389</v>
      </c>
      <c r="C26" t="s">
        <v>218</v>
      </c>
      <c r="D26" s="21">
        <v>1</v>
      </c>
      <c r="E26" s="22">
        <v>1.6015999999999999E-2</v>
      </c>
      <c r="F26" s="22">
        <v>1.0608</v>
      </c>
    </row>
    <row r="27" spans="1:6" x14ac:dyDescent="0.25">
      <c r="A27" t="s">
        <v>394</v>
      </c>
      <c r="B27" t="s">
        <v>385</v>
      </c>
      <c r="C27" t="s">
        <v>214</v>
      </c>
      <c r="D27" s="21">
        <v>1</v>
      </c>
      <c r="E27" s="22">
        <v>0.36608000000000002</v>
      </c>
      <c r="F27" s="22">
        <v>3.2</v>
      </c>
    </row>
    <row r="28" spans="1:6" x14ac:dyDescent="0.25">
      <c r="A28" t="s">
        <v>394</v>
      </c>
      <c r="B28" t="s">
        <v>386</v>
      </c>
      <c r="C28" t="s">
        <v>215</v>
      </c>
      <c r="D28" s="21">
        <v>3</v>
      </c>
      <c r="E28" s="22">
        <v>2.4639999999999999E-2</v>
      </c>
      <c r="F28" s="22">
        <v>1.0608</v>
      </c>
    </row>
    <row r="29" spans="1:6" x14ac:dyDescent="0.25">
      <c r="A29" t="s">
        <v>394</v>
      </c>
      <c r="B29" t="s">
        <v>387</v>
      </c>
      <c r="C29" t="s">
        <v>216</v>
      </c>
      <c r="D29" s="21">
        <v>1</v>
      </c>
      <c r="E29" s="22">
        <v>1.2</v>
      </c>
      <c r="F29" s="22">
        <v>2.64</v>
      </c>
    </row>
    <row r="30" spans="1:6" x14ac:dyDescent="0.25">
      <c r="A30" t="s">
        <v>394</v>
      </c>
      <c r="B30" t="s">
        <v>388</v>
      </c>
      <c r="C30" t="s">
        <v>217</v>
      </c>
      <c r="D30" s="21">
        <v>1</v>
      </c>
      <c r="E30" s="22">
        <v>3.4789592000000001E-2</v>
      </c>
      <c r="F30" s="22">
        <v>1.0608</v>
      </c>
    </row>
    <row r="31" spans="1:6" x14ac:dyDescent="0.25">
      <c r="A31" t="s">
        <v>394</v>
      </c>
      <c r="B31" t="s">
        <v>389</v>
      </c>
      <c r="C31" t="s">
        <v>218</v>
      </c>
      <c r="D31" s="21">
        <v>1</v>
      </c>
      <c r="E31" s="22">
        <v>1.6015999999999999E-2</v>
      </c>
      <c r="F31" s="22">
        <v>1.0608</v>
      </c>
    </row>
    <row r="32" spans="1:6" x14ac:dyDescent="0.25">
      <c r="A32" t="s">
        <v>395</v>
      </c>
      <c r="B32" t="s">
        <v>385</v>
      </c>
      <c r="C32" t="s">
        <v>214</v>
      </c>
      <c r="D32" s="21">
        <v>1</v>
      </c>
      <c r="E32" s="22">
        <v>0.36608000000000002</v>
      </c>
      <c r="F32" s="22">
        <v>3.2</v>
      </c>
    </row>
    <row r="33" spans="1:6" x14ac:dyDescent="0.25">
      <c r="A33" t="s">
        <v>395</v>
      </c>
      <c r="B33" t="s">
        <v>386</v>
      </c>
      <c r="C33" t="s">
        <v>215</v>
      </c>
      <c r="D33" s="21">
        <v>2</v>
      </c>
      <c r="E33" s="22">
        <v>2.4639999999999999E-2</v>
      </c>
      <c r="F33" s="22">
        <v>1.0608</v>
      </c>
    </row>
    <row r="34" spans="1:6" x14ac:dyDescent="0.25">
      <c r="A34" t="s">
        <v>395</v>
      </c>
      <c r="B34" t="s">
        <v>387</v>
      </c>
      <c r="C34" t="s">
        <v>216</v>
      </c>
      <c r="D34" s="21">
        <v>1</v>
      </c>
      <c r="E34" s="22">
        <v>1.2</v>
      </c>
      <c r="F34" s="22">
        <v>2.64</v>
      </c>
    </row>
    <row r="35" spans="1:6" x14ac:dyDescent="0.25">
      <c r="A35" t="s">
        <v>395</v>
      </c>
      <c r="B35" t="s">
        <v>388</v>
      </c>
      <c r="C35" t="s">
        <v>217</v>
      </c>
      <c r="D35" s="21">
        <v>1</v>
      </c>
      <c r="E35" s="22">
        <v>3.6882918000000001E-2</v>
      </c>
      <c r="F35" s="22">
        <v>1.0608</v>
      </c>
    </row>
    <row r="36" spans="1:6" x14ac:dyDescent="0.25">
      <c r="A36" t="s">
        <v>395</v>
      </c>
      <c r="B36" t="s">
        <v>389</v>
      </c>
      <c r="C36" t="s">
        <v>218</v>
      </c>
      <c r="D36" s="21">
        <v>1</v>
      </c>
      <c r="E36" s="22">
        <v>1.6015999999999999E-2</v>
      </c>
      <c r="F36" s="22">
        <v>1.0608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11"/>
  <sheetViews>
    <sheetView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22" customWidth="1"/>
    <col min="3" max="3" width="29" customWidth="1"/>
  </cols>
  <sheetData>
    <row r="1" spans="1:3" ht="26.1" customHeight="1" x14ac:dyDescent="0.25">
      <c r="A1" s="5" t="s">
        <v>32</v>
      </c>
      <c r="B1" s="5" t="s">
        <v>213</v>
      </c>
      <c r="C1" s="5" t="s">
        <v>223</v>
      </c>
    </row>
    <row r="2" spans="1:3" x14ac:dyDescent="0.25">
      <c r="A2" t="s">
        <v>36</v>
      </c>
      <c r="B2" t="s">
        <v>214</v>
      </c>
      <c r="C2" s="3">
        <v>4.3533876706587357E-2</v>
      </c>
    </row>
    <row r="3" spans="1:3" x14ac:dyDescent="0.25">
      <c r="A3" t="s">
        <v>36</v>
      </c>
      <c r="B3" t="s">
        <v>215</v>
      </c>
      <c r="C3" s="3">
        <v>3.7870933395161364E-2</v>
      </c>
    </row>
    <row r="4" spans="1:3" x14ac:dyDescent="0.25">
      <c r="A4" t="s">
        <v>36</v>
      </c>
      <c r="B4" t="s">
        <v>216</v>
      </c>
      <c r="C4" s="3">
        <v>1.3449490364636746E-2</v>
      </c>
    </row>
    <row r="5" spans="1:3" x14ac:dyDescent="0.25">
      <c r="A5" t="s">
        <v>36</v>
      </c>
      <c r="B5" t="s">
        <v>217</v>
      </c>
      <c r="C5" s="3">
        <v>3.539339569641249E-3</v>
      </c>
    </row>
    <row r="6" spans="1:3" x14ac:dyDescent="0.25">
      <c r="A6" t="s">
        <v>36</v>
      </c>
      <c r="B6" t="s">
        <v>218</v>
      </c>
      <c r="C6" s="3">
        <v>2.4775376987488744E-3</v>
      </c>
    </row>
    <row r="7" spans="1:3" x14ac:dyDescent="0.25">
      <c r="A7" t="s">
        <v>38</v>
      </c>
      <c r="B7" t="s">
        <v>214</v>
      </c>
      <c r="C7" s="3">
        <v>4.3533876706587357E-2</v>
      </c>
    </row>
    <row r="8" spans="1:3" x14ac:dyDescent="0.25">
      <c r="A8" t="s">
        <v>38</v>
      </c>
      <c r="B8" t="s">
        <v>215</v>
      </c>
      <c r="C8" s="3">
        <v>3.7870933395161364E-2</v>
      </c>
    </row>
    <row r="9" spans="1:3" x14ac:dyDescent="0.25">
      <c r="A9" t="s">
        <v>38</v>
      </c>
      <c r="B9" t="s">
        <v>216</v>
      </c>
      <c r="C9" s="3">
        <v>1.3449490364636746E-2</v>
      </c>
    </row>
    <row r="10" spans="1:3" x14ac:dyDescent="0.25">
      <c r="A10" t="s">
        <v>38</v>
      </c>
      <c r="B10" t="s">
        <v>217</v>
      </c>
      <c r="C10" s="3">
        <v>3.539339569641249E-3</v>
      </c>
    </row>
    <row r="11" spans="1:3" x14ac:dyDescent="0.25">
      <c r="A11" t="s">
        <v>38</v>
      </c>
      <c r="B11" t="s">
        <v>218</v>
      </c>
      <c r="C11" s="3">
        <v>2.4775376987488744E-3</v>
      </c>
    </row>
    <row r="12" spans="1:3" x14ac:dyDescent="0.25">
      <c r="A12" t="s">
        <v>39</v>
      </c>
      <c r="B12" t="s">
        <v>214</v>
      </c>
      <c r="C12" s="3">
        <v>4.3533876706587357E-2</v>
      </c>
    </row>
    <row r="13" spans="1:3" x14ac:dyDescent="0.25">
      <c r="A13" t="s">
        <v>39</v>
      </c>
      <c r="B13" t="s">
        <v>215</v>
      </c>
      <c r="C13" s="3">
        <v>3.7870933395161364E-2</v>
      </c>
    </row>
    <row r="14" spans="1:3" x14ac:dyDescent="0.25">
      <c r="A14" t="s">
        <v>39</v>
      </c>
      <c r="B14" t="s">
        <v>216</v>
      </c>
      <c r="C14" s="3">
        <v>1.3449490364636746E-2</v>
      </c>
    </row>
    <row r="15" spans="1:3" x14ac:dyDescent="0.25">
      <c r="A15" t="s">
        <v>39</v>
      </c>
      <c r="B15" t="s">
        <v>217</v>
      </c>
      <c r="C15" s="3">
        <v>3.539339569641249E-3</v>
      </c>
    </row>
    <row r="16" spans="1:3" x14ac:dyDescent="0.25">
      <c r="A16" t="s">
        <v>39</v>
      </c>
      <c r="B16" t="s">
        <v>218</v>
      </c>
      <c r="C16" s="3">
        <v>2.4775376987488744E-3</v>
      </c>
    </row>
    <row r="17" spans="1:3" x14ac:dyDescent="0.25">
      <c r="A17" t="s">
        <v>40</v>
      </c>
      <c r="B17" t="s">
        <v>214</v>
      </c>
      <c r="C17" s="3">
        <v>4.3533876706587357E-2</v>
      </c>
    </row>
    <row r="18" spans="1:3" x14ac:dyDescent="0.25">
      <c r="A18" t="s">
        <v>40</v>
      </c>
      <c r="B18" t="s">
        <v>215</v>
      </c>
      <c r="C18" s="3">
        <v>3.7870933395161364E-2</v>
      </c>
    </row>
    <row r="19" spans="1:3" x14ac:dyDescent="0.25">
      <c r="A19" t="s">
        <v>40</v>
      </c>
      <c r="B19" t="s">
        <v>216</v>
      </c>
      <c r="C19" s="3">
        <v>1.3449490364636746E-2</v>
      </c>
    </row>
    <row r="20" spans="1:3" x14ac:dyDescent="0.25">
      <c r="A20" t="s">
        <v>40</v>
      </c>
      <c r="B20" t="s">
        <v>217</v>
      </c>
      <c r="C20" s="3">
        <v>3.539339569641249E-3</v>
      </c>
    </row>
    <row r="21" spans="1:3" x14ac:dyDescent="0.25">
      <c r="A21" t="s">
        <v>40</v>
      </c>
      <c r="B21" t="s">
        <v>218</v>
      </c>
      <c r="C21" s="3">
        <v>2.4775376987488744E-3</v>
      </c>
    </row>
    <row r="22" spans="1:3" x14ac:dyDescent="0.25">
      <c r="A22" t="s">
        <v>41</v>
      </c>
      <c r="B22" t="s">
        <v>214</v>
      </c>
      <c r="C22" s="3">
        <v>4.3533876706587357E-2</v>
      </c>
    </row>
    <row r="23" spans="1:3" x14ac:dyDescent="0.25">
      <c r="A23" t="s">
        <v>41</v>
      </c>
      <c r="B23" t="s">
        <v>215</v>
      </c>
      <c r="C23" s="3">
        <v>3.7870933395161364E-2</v>
      </c>
    </row>
    <row r="24" spans="1:3" x14ac:dyDescent="0.25">
      <c r="A24" t="s">
        <v>41</v>
      </c>
      <c r="B24" t="s">
        <v>216</v>
      </c>
      <c r="C24" s="3">
        <v>1.3449490364636746E-2</v>
      </c>
    </row>
    <row r="25" spans="1:3" x14ac:dyDescent="0.25">
      <c r="A25" t="s">
        <v>41</v>
      </c>
      <c r="B25" t="s">
        <v>217</v>
      </c>
      <c r="C25" s="3">
        <v>3.539339569641249E-3</v>
      </c>
    </row>
    <row r="26" spans="1:3" x14ac:dyDescent="0.25">
      <c r="A26" t="s">
        <v>41</v>
      </c>
      <c r="B26" t="s">
        <v>218</v>
      </c>
      <c r="C26" s="3">
        <v>2.4775376987488744E-3</v>
      </c>
    </row>
    <row r="27" spans="1:3" x14ac:dyDescent="0.25">
      <c r="A27" t="s">
        <v>42</v>
      </c>
      <c r="B27" t="s">
        <v>214</v>
      </c>
      <c r="C27" s="3">
        <v>4.3533876706587357E-2</v>
      </c>
    </row>
    <row r="28" spans="1:3" x14ac:dyDescent="0.25">
      <c r="A28" t="s">
        <v>42</v>
      </c>
      <c r="B28" t="s">
        <v>215</v>
      </c>
      <c r="C28" s="3">
        <v>3.7870933395161364E-2</v>
      </c>
    </row>
    <row r="29" spans="1:3" x14ac:dyDescent="0.25">
      <c r="A29" t="s">
        <v>42</v>
      </c>
      <c r="B29" t="s">
        <v>216</v>
      </c>
      <c r="C29" s="3">
        <v>1.3449490364636746E-2</v>
      </c>
    </row>
    <row r="30" spans="1:3" x14ac:dyDescent="0.25">
      <c r="A30" t="s">
        <v>42</v>
      </c>
      <c r="B30" t="s">
        <v>217</v>
      </c>
      <c r="C30" s="3">
        <v>3.539339569641249E-3</v>
      </c>
    </row>
    <row r="31" spans="1:3" x14ac:dyDescent="0.25">
      <c r="A31" t="s">
        <v>42</v>
      </c>
      <c r="B31" t="s">
        <v>218</v>
      </c>
      <c r="C31" s="3">
        <v>2.4775376987488744E-3</v>
      </c>
    </row>
    <row r="32" spans="1:3" x14ac:dyDescent="0.25">
      <c r="A32" t="s">
        <v>43</v>
      </c>
      <c r="B32" t="s">
        <v>214</v>
      </c>
      <c r="C32" s="3">
        <v>4.3533876706587357E-2</v>
      </c>
    </row>
    <row r="33" spans="1:3" x14ac:dyDescent="0.25">
      <c r="A33" t="s">
        <v>43</v>
      </c>
      <c r="B33" t="s">
        <v>215</v>
      </c>
      <c r="C33" s="3">
        <v>3.7870933395161364E-2</v>
      </c>
    </row>
    <row r="34" spans="1:3" x14ac:dyDescent="0.25">
      <c r="A34" t="s">
        <v>43</v>
      </c>
      <c r="B34" t="s">
        <v>216</v>
      </c>
      <c r="C34" s="3">
        <v>1.3449490364636746E-2</v>
      </c>
    </row>
    <row r="35" spans="1:3" x14ac:dyDescent="0.25">
      <c r="A35" t="s">
        <v>43</v>
      </c>
      <c r="B35" t="s">
        <v>217</v>
      </c>
      <c r="C35" s="3">
        <v>3.539339569641249E-3</v>
      </c>
    </row>
    <row r="36" spans="1:3" x14ac:dyDescent="0.25">
      <c r="A36" t="s">
        <v>43</v>
      </c>
      <c r="B36" t="s">
        <v>218</v>
      </c>
      <c r="C36" s="3">
        <v>2.4775376987488744E-3</v>
      </c>
    </row>
    <row r="37" spans="1:3" x14ac:dyDescent="0.25">
      <c r="A37" t="s">
        <v>45</v>
      </c>
      <c r="B37" t="s">
        <v>214</v>
      </c>
      <c r="C37" s="3">
        <v>4.3533876706587357E-2</v>
      </c>
    </row>
    <row r="38" spans="1:3" x14ac:dyDescent="0.25">
      <c r="A38" t="s">
        <v>45</v>
      </c>
      <c r="B38" t="s">
        <v>215</v>
      </c>
      <c r="C38" s="3">
        <v>3.7870933395161364E-2</v>
      </c>
    </row>
    <row r="39" spans="1:3" x14ac:dyDescent="0.25">
      <c r="A39" t="s">
        <v>45</v>
      </c>
      <c r="B39" t="s">
        <v>216</v>
      </c>
      <c r="C39" s="3">
        <v>1.3449490364636746E-2</v>
      </c>
    </row>
    <row r="40" spans="1:3" x14ac:dyDescent="0.25">
      <c r="A40" t="s">
        <v>45</v>
      </c>
      <c r="B40" t="s">
        <v>217</v>
      </c>
      <c r="C40" s="3">
        <v>3.539339569641249E-3</v>
      </c>
    </row>
    <row r="41" spans="1:3" x14ac:dyDescent="0.25">
      <c r="A41" t="s">
        <v>45</v>
      </c>
      <c r="B41" t="s">
        <v>218</v>
      </c>
      <c r="C41" s="3">
        <v>2.4775376987488744E-3</v>
      </c>
    </row>
    <row r="42" spans="1:3" x14ac:dyDescent="0.25">
      <c r="A42" t="s">
        <v>46</v>
      </c>
      <c r="B42" t="s">
        <v>214</v>
      </c>
      <c r="C42" s="3">
        <v>4.3533876706587357E-2</v>
      </c>
    </row>
    <row r="43" spans="1:3" x14ac:dyDescent="0.25">
      <c r="A43" t="s">
        <v>46</v>
      </c>
      <c r="B43" t="s">
        <v>215</v>
      </c>
      <c r="C43" s="3">
        <v>3.7870933395161364E-2</v>
      </c>
    </row>
    <row r="44" spans="1:3" x14ac:dyDescent="0.25">
      <c r="A44" t="s">
        <v>46</v>
      </c>
      <c r="B44" t="s">
        <v>216</v>
      </c>
      <c r="C44" s="3">
        <v>1.3449490364636746E-2</v>
      </c>
    </row>
    <row r="45" spans="1:3" x14ac:dyDescent="0.25">
      <c r="A45" t="s">
        <v>46</v>
      </c>
      <c r="B45" t="s">
        <v>217</v>
      </c>
      <c r="C45" s="3">
        <v>3.539339569641249E-3</v>
      </c>
    </row>
    <row r="46" spans="1:3" x14ac:dyDescent="0.25">
      <c r="A46" t="s">
        <v>46</v>
      </c>
      <c r="B46" t="s">
        <v>218</v>
      </c>
      <c r="C46" s="3">
        <v>2.4775376987488744E-3</v>
      </c>
    </row>
    <row r="47" spans="1:3" x14ac:dyDescent="0.25">
      <c r="A47" t="s">
        <v>47</v>
      </c>
      <c r="B47" t="s">
        <v>214</v>
      </c>
      <c r="C47" s="3">
        <v>4.3533876706587357E-2</v>
      </c>
    </row>
    <row r="48" spans="1:3" x14ac:dyDescent="0.25">
      <c r="A48" t="s">
        <v>47</v>
      </c>
      <c r="B48" t="s">
        <v>215</v>
      </c>
      <c r="C48" s="3">
        <v>3.7870933395161364E-2</v>
      </c>
    </row>
    <row r="49" spans="1:3" x14ac:dyDescent="0.25">
      <c r="A49" t="s">
        <v>47</v>
      </c>
      <c r="B49" t="s">
        <v>216</v>
      </c>
      <c r="C49" s="3">
        <v>1.3449490364636746E-2</v>
      </c>
    </row>
    <row r="50" spans="1:3" x14ac:dyDescent="0.25">
      <c r="A50" t="s">
        <v>47</v>
      </c>
      <c r="B50" t="s">
        <v>217</v>
      </c>
      <c r="C50" s="3">
        <v>3.539339569641249E-3</v>
      </c>
    </row>
    <row r="51" spans="1:3" x14ac:dyDescent="0.25">
      <c r="A51" t="s">
        <v>47</v>
      </c>
      <c r="B51" t="s">
        <v>218</v>
      </c>
      <c r="C51" s="3">
        <v>2.4775376987488744E-3</v>
      </c>
    </row>
    <row r="52" spans="1:3" x14ac:dyDescent="0.25">
      <c r="A52" t="s">
        <v>48</v>
      </c>
      <c r="B52" t="s">
        <v>214</v>
      </c>
      <c r="C52" s="3">
        <v>4.3533876706587357E-2</v>
      </c>
    </row>
    <row r="53" spans="1:3" x14ac:dyDescent="0.25">
      <c r="A53" t="s">
        <v>48</v>
      </c>
      <c r="B53" t="s">
        <v>215</v>
      </c>
      <c r="C53" s="3">
        <v>3.7870933395161364E-2</v>
      </c>
    </row>
    <row r="54" spans="1:3" x14ac:dyDescent="0.25">
      <c r="A54" t="s">
        <v>48</v>
      </c>
      <c r="B54" t="s">
        <v>216</v>
      </c>
      <c r="C54" s="3">
        <v>1.3449490364636746E-2</v>
      </c>
    </row>
    <row r="55" spans="1:3" x14ac:dyDescent="0.25">
      <c r="A55" t="s">
        <v>48</v>
      </c>
      <c r="B55" t="s">
        <v>217</v>
      </c>
      <c r="C55" s="3">
        <v>3.539339569641249E-3</v>
      </c>
    </row>
    <row r="56" spans="1:3" x14ac:dyDescent="0.25">
      <c r="A56" t="s">
        <v>48</v>
      </c>
      <c r="B56" t="s">
        <v>218</v>
      </c>
      <c r="C56" s="3">
        <v>2.4775376987488744E-3</v>
      </c>
    </row>
    <row r="57" spans="1:3" x14ac:dyDescent="0.25">
      <c r="A57" t="s">
        <v>49</v>
      </c>
      <c r="B57" t="s">
        <v>214</v>
      </c>
      <c r="C57" s="3">
        <v>4.3533876706587357E-2</v>
      </c>
    </row>
    <row r="58" spans="1:3" x14ac:dyDescent="0.25">
      <c r="A58" t="s">
        <v>49</v>
      </c>
      <c r="B58" t="s">
        <v>215</v>
      </c>
      <c r="C58" s="3">
        <v>3.7870933395161364E-2</v>
      </c>
    </row>
    <row r="59" spans="1:3" x14ac:dyDescent="0.25">
      <c r="A59" t="s">
        <v>49</v>
      </c>
      <c r="B59" t="s">
        <v>216</v>
      </c>
      <c r="C59" s="3">
        <v>1.3449490364636746E-2</v>
      </c>
    </row>
    <row r="60" spans="1:3" x14ac:dyDescent="0.25">
      <c r="A60" t="s">
        <v>49</v>
      </c>
      <c r="B60" t="s">
        <v>217</v>
      </c>
      <c r="C60" s="3">
        <v>3.539339569641249E-3</v>
      </c>
    </row>
    <row r="61" spans="1:3" x14ac:dyDescent="0.25">
      <c r="A61" t="s">
        <v>49</v>
      </c>
      <c r="B61" t="s">
        <v>218</v>
      </c>
      <c r="C61" s="3">
        <v>2.4775376987488744E-3</v>
      </c>
    </row>
    <row r="62" spans="1:3" x14ac:dyDescent="0.25">
      <c r="A62" t="s">
        <v>50</v>
      </c>
      <c r="B62" t="s">
        <v>214</v>
      </c>
      <c r="C62" s="3">
        <v>4.3533876706587357E-2</v>
      </c>
    </row>
    <row r="63" spans="1:3" x14ac:dyDescent="0.25">
      <c r="A63" t="s">
        <v>50</v>
      </c>
      <c r="B63" t="s">
        <v>215</v>
      </c>
      <c r="C63" s="3">
        <v>3.7870933395161364E-2</v>
      </c>
    </row>
    <row r="64" spans="1:3" x14ac:dyDescent="0.25">
      <c r="A64" t="s">
        <v>50</v>
      </c>
      <c r="B64" t="s">
        <v>216</v>
      </c>
      <c r="C64" s="3">
        <v>1.3449490364636746E-2</v>
      </c>
    </row>
    <row r="65" spans="1:3" x14ac:dyDescent="0.25">
      <c r="A65" t="s">
        <v>50</v>
      </c>
      <c r="B65" t="s">
        <v>217</v>
      </c>
      <c r="C65" s="3">
        <v>3.539339569641249E-3</v>
      </c>
    </row>
    <row r="66" spans="1:3" x14ac:dyDescent="0.25">
      <c r="A66" t="s">
        <v>50</v>
      </c>
      <c r="B66" t="s">
        <v>218</v>
      </c>
      <c r="C66" s="3">
        <v>2.4775376987488744E-3</v>
      </c>
    </row>
    <row r="67" spans="1:3" x14ac:dyDescent="0.25">
      <c r="A67" t="s">
        <v>51</v>
      </c>
      <c r="B67" t="s">
        <v>214</v>
      </c>
      <c r="C67" s="3">
        <v>4.3533876706587357E-2</v>
      </c>
    </row>
    <row r="68" spans="1:3" x14ac:dyDescent="0.25">
      <c r="A68" t="s">
        <v>51</v>
      </c>
      <c r="B68" t="s">
        <v>215</v>
      </c>
      <c r="C68" s="3">
        <v>3.7870933395161364E-2</v>
      </c>
    </row>
    <row r="69" spans="1:3" x14ac:dyDescent="0.25">
      <c r="A69" t="s">
        <v>51</v>
      </c>
      <c r="B69" t="s">
        <v>216</v>
      </c>
      <c r="C69" s="3">
        <v>1.3449490364636746E-2</v>
      </c>
    </row>
    <row r="70" spans="1:3" x14ac:dyDescent="0.25">
      <c r="A70" t="s">
        <v>51</v>
      </c>
      <c r="B70" t="s">
        <v>217</v>
      </c>
      <c r="C70" s="3">
        <v>3.539339569641249E-3</v>
      </c>
    </row>
    <row r="71" spans="1:3" x14ac:dyDescent="0.25">
      <c r="A71" t="s">
        <v>51</v>
      </c>
      <c r="B71" t="s">
        <v>218</v>
      </c>
      <c r="C71" s="3">
        <v>2.4775376987488744E-3</v>
      </c>
    </row>
    <row r="72" spans="1:3" x14ac:dyDescent="0.25">
      <c r="A72" t="s">
        <v>52</v>
      </c>
      <c r="B72" t="s">
        <v>214</v>
      </c>
      <c r="C72" s="3">
        <v>4.3533876706587357E-2</v>
      </c>
    </row>
    <row r="73" spans="1:3" x14ac:dyDescent="0.25">
      <c r="A73" t="s">
        <v>52</v>
      </c>
      <c r="B73" t="s">
        <v>215</v>
      </c>
      <c r="C73" s="3">
        <v>3.7870933395161364E-2</v>
      </c>
    </row>
    <row r="74" spans="1:3" x14ac:dyDescent="0.25">
      <c r="A74" t="s">
        <v>52</v>
      </c>
      <c r="B74" t="s">
        <v>216</v>
      </c>
      <c r="C74" s="3">
        <v>1.3449490364636746E-2</v>
      </c>
    </row>
    <row r="75" spans="1:3" x14ac:dyDescent="0.25">
      <c r="A75" t="s">
        <v>52</v>
      </c>
      <c r="B75" t="s">
        <v>217</v>
      </c>
      <c r="C75" s="3">
        <v>3.539339569641249E-3</v>
      </c>
    </row>
    <row r="76" spans="1:3" x14ac:dyDescent="0.25">
      <c r="A76" t="s">
        <v>52</v>
      </c>
      <c r="B76" t="s">
        <v>218</v>
      </c>
      <c r="C76" s="3">
        <v>2.4775376987488744E-3</v>
      </c>
    </row>
    <row r="77" spans="1:3" x14ac:dyDescent="0.25">
      <c r="A77" t="s">
        <v>53</v>
      </c>
      <c r="B77" t="s">
        <v>214</v>
      </c>
      <c r="C77" s="3">
        <v>4.3533876706587357E-2</v>
      </c>
    </row>
    <row r="78" spans="1:3" x14ac:dyDescent="0.25">
      <c r="A78" t="s">
        <v>53</v>
      </c>
      <c r="B78" t="s">
        <v>215</v>
      </c>
      <c r="C78" s="3">
        <v>3.7870933395161364E-2</v>
      </c>
    </row>
    <row r="79" spans="1:3" x14ac:dyDescent="0.25">
      <c r="A79" t="s">
        <v>53</v>
      </c>
      <c r="B79" t="s">
        <v>216</v>
      </c>
      <c r="C79" s="3">
        <v>1.3449490364636746E-2</v>
      </c>
    </row>
    <row r="80" spans="1:3" x14ac:dyDescent="0.25">
      <c r="A80" t="s">
        <v>53</v>
      </c>
      <c r="B80" t="s">
        <v>217</v>
      </c>
      <c r="C80" s="3">
        <v>3.539339569641249E-3</v>
      </c>
    </row>
    <row r="81" spans="1:3" x14ac:dyDescent="0.25">
      <c r="A81" t="s">
        <v>53</v>
      </c>
      <c r="B81" t="s">
        <v>218</v>
      </c>
      <c r="C81" s="3">
        <v>2.4775376987488744E-3</v>
      </c>
    </row>
    <row r="82" spans="1:3" x14ac:dyDescent="0.25">
      <c r="A82" t="s">
        <v>54</v>
      </c>
      <c r="B82" t="s">
        <v>214</v>
      </c>
      <c r="C82" s="3">
        <v>4.3533876706587357E-2</v>
      </c>
    </row>
    <row r="83" spans="1:3" x14ac:dyDescent="0.25">
      <c r="A83" t="s">
        <v>54</v>
      </c>
      <c r="B83" t="s">
        <v>215</v>
      </c>
      <c r="C83" s="3">
        <v>3.7870933395161364E-2</v>
      </c>
    </row>
    <row r="84" spans="1:3" x14ac:dyDescent="0.25">
      <c r="A84" t="s">
        <v>54</v>
      </c>
      <c r="B84" t="s">
        <v>216</v>
      </c>
      <c r="C84" s="3">
        <v>1.3449490364636746E-2</v>
      </c>
    </row>
    <row r="85" spans="1:3" x14ac:dyDescent="0.25">
      <c r="A85" t="s">
        <v>54</v>
      </c>
      <c r="B85" t="s">
        <v>217</v>
      </c>
      <c r="C85" s="3">
        <v>3.539339569641249E-3</v>
      </c>
    </row>
    <row r="86" spans="1:3" x14ac:dyDescent="0.25">
      <c r="A86" t="s">
        <v>54</v>
      </c>
      <c r="B86" t="s">
        <v>218</v>
      </c>
      <c r="C86" s="3">
        <v>2.4775376987488744E-3</v>
      </c>
    </row>
    <row r="87" spans="1:3" x14ac:dyDescent="0.25">
      <c r="A87" t="s">
        <v>55</v>
      </c>
      <c r="B87" t="s">
        <v>214</v>
      </c>
      <c r="C87" s="3">
        <v>4.3533876706587357E-2</v>
      </c>
    </row>
    <row r="88" spans="1:3" x14ac:dyDescent="0.25">
      <c r="A88" t="s">
        <v>55</v>
      </c>
      <c r="B88" t="s">
        <v>215</v>
      </c>
      <c r="C88" s="3">
        <v>3.7870933395161364E-2</v>
      </c>
    </row>
    <row r="89" spans="1:3" x14ac:dyDescent="0.25">
      <c r="A89" t="s">
        <v>55</v>
      </c>
      <c r="B89" t="s">
        <v>216</v>
      </c>
      <c r="C89" s="3">
        <v>1.3449490364636746E-2</v>
      </c>
    </row>
    <row r="90" spans="1:3" x14ac:dyDescent="0.25">
      <c r="A90" t="s">
        <v>55</v>
      </c>
      <c r="B90" t="s">
        <v>217</v>
      </c>
      <c r="C90" s="3">
        <v>3.539339569641249E-3</v>
      </c>
    </row>
    <row r="91" spans="1:3" x14ac:dyDescent="0.25">
      <c r="A91" t="s">
        <v>55</v>
      </c>
      <c r="B91" t="s">
        <v>218</v>
      </c>
      <c r="C91" s="3">
        <v>2.4775376987488744E-3</v>
      </c>
    </row>
    <row r="92" spans="1:3" x14ac:dyDescent="0.25">
      <c r="A92" t="s">
        <v>56</v>
      </c>
      <c r="B92" t="s">
        <v>214</v>
      </c>
      <c r="C92" s="3">
        <v>4.3533876706587357E-2</v>
      </c>
    </row>
    <row r="93" spans="1:3" x14ac:dyDescent="0.25">
      <c r="A93" t="s">
        <v>56</v>
      </c>
      <c r="B93" t="s">
        <v>215</v>
      </c>
      <c r="C93" s="3">
        <v>3.7870933395161364E-2</v>
      </c>
    </row>
    <row r="94" spans="1:3" x14ac:dyDescent="0.25">
      <c r="A94" t="s">
        <v>56</v>
      </c>
      <c r="B94" t="s">
        <v>216</v>
      </c>
      <c r="C94" s="3">
        <v>1.3449490364636746E-2</v>
      </c>
    </row>
    <row r="95" spans="1:3" x14ac:dyDescent="0.25">
      <c r="A95" t="s">
        <v>56</v>
      </c>
      <c r="B95" t="s">
        <v>217</v>
      </c>
      <c r="C95" s="3">
        <v>3.539339569641249E-3</v>
      </c>
    </row>
    <row r="96" spans="1:3" x14ac:dyDescent="0.25">
      <c r="A96" t="s">
        <v>56</v>
      </c>
      <c r="B96" t="s">
        <v>218</v>
      </c>
      <c r="C96" s="3">
        <v>2.4775376987488744E-3</v>
      </c>
    </row>
    <row r="97" spans="1:3" x14ac:dyDescent="0.25">
      <c r="A97" t="s">
        <v>57</v>
      </c>
      <c r="B97" t="s">
        <v>214</v>
      </c>
      <c r="C97" s="3">
        <v>4.3533876706587357E-2</v>
      </c>
    </row>
    <row r="98" spans="1:3" x14ac:dyDescent="0.25">
      <c r="A98" t="s">
        <v>57</v>
      </c>
      <c r="B98" t="s">
        <v>215</v>
      </c>
      <c r="C98" s="3">
        <v>3.7870933395161364E-2</v>
      </c>
    </row>
    <row r="99" spans="1:3" x14ac:dyDescent="0.25">
      <c r="A99" t="s">
        <v>57</v>
      </c>
      <c r="B99" t="s">
        <v>216</v>
      </c>
      <c r="C99" s="3">
        <v>1.3449490364636746E-2</v>
      </c>
    </row>
    <row r="100" spans="1:3" x14ac:dyDescent="0.25">
      <c r="A100" t="s">
        <v>57</v>
      </c>
      <c r="B100" t="s">
        <v>217</v>
      </c>
      <c r="C100" s="3">
        <v>3.539339569641249E-3</v>
      </c>
    </row>
    <row r="101" spans="1:3" x14ac:dyDescent="0.25">
      <c r="A101" t="s">
        <v>57</v>
      </c>
      <c r="B101" t="s">
        <v>218</v>
      </c>
      <c r="C101" s="3">
        <v>2.4775376987488744E-3</v>
      </c>
    </row>
    <row r="102" spans="1:3" x14ac:dyDescent="0.25">
      <c r="A102" t="s">
        <v>58</v>
      </c>
      <c r="B102" t="s">
        <v>214</v>
      </c>
      <c r="C102" s="3">
        <v>4.3533876706587357E-2</v>
      </c>
    </row>
    <row r="103" spans="1:3" x14ac:dyDescent="0.25">
      <c r="A103" t="s">
        <v>58</v>
      </c>
      <c r="B103" t="s">
        <v>215</v>
      </c>
      <c r="C103" s="3">
        <v>3.7870933395161364E-2</v>
      </c>
    </row>
    <row r="104" spans="1:3" x14ac:dyDescent="0.25">
      <c r="A104" t="s">
        <v>58</v>
      </c>
      <c r="B104" t="s">
        <v>216</v>
      </c>
      <c r="C104" s="3">
        <v>1.3449490364636746E-2</v>
      </c>
    </row>
    <row r="105" spans="1:3" x14ac:dyDescent="0.25">
      <c r="A105" t="s">
        <v>58</v>
      </c>
      <c r="B105" t="s">
        <v>217</v>
      </c>
      <c r="C105" s="3">
        <v>3.539339569641249E-3</v>
      </c>
    </row>
    <row r="106" spans="1:3" x14ac:dyDescent="0.25">
      <c r="A106" t="s">
        <v>58</v>
      </c>
      <c r="B106" t="s">
        <v>218</v>
      </c>
      <c r="C106" s="3">
        <v>2.4775376987488744E-3</v>
      </c>
    </row>
    <row r="107" spans="1:3" x14ac:dyDescent="0.25">
      <c r="A107" t="s">
        <v>59</v>
      </c>
      <c r="B107" t="s">
        <v>214</v>
      </c>
      <c r="C107" s="3">
        <v>4.3533876706587357E-2</v>
      </c>
    </row>
    <row r="108" spans="1:3" x14ac:dyDescent="0.25">
      <c r="A108" t="s">
        <v>59</v>
      </c>
      <c r="B108" t="s">
        <v>215</v>
      </c>
      <c r="C108" s="3">
        <v>3.7870933395161364E-2</v>
      </c>
    </row>
    <row r="109" spans="1:3" x14ac:dyDescent="0.25">
      <c r="A109" t="s">
        <v>59</v>
      </c>
      <c r="B109" t="s">
        <v>216</v>
      </c>
      <c r="C109" s="3">
        <v>1.3449490364636746E-2</v>
      </c>
    </row>
    <row r="110" spans="1:3" x14ac:dyDescent="0.25">
      <c r="A110" t="s">
        <v>59</v>
      </c>
      <c r="B110" t="s">
        <v>217</v>
      </c>
      <c r="C110" s="3">
        <v>3.539339569641249E-3</v>
      </c>
    </row>
    <row r="111" spans="1:3" x14ac:dyDescent="0.25">
      <c r="A111" t="s">
        <v>59</v>
      </c>
      <c r="B111" t="s">
        <v>218</v>
      </c>
      <c r="C111" s="3">
        <v>2.4775376987488744E-3</v>
      </c>
    </row>
    <row r="112" spans="1:3" x14ac:dyDescent="0.25">
      <c r="A112" t="s">
        <v>60</v>
      </c>
      <c r="B112" t="s">
        <v>214</v>
      </c>
      <c r="C112" s="3">
        <v>4.3533876706587357E-2</v>
      </c>
    </row>
    <row r="113" spans="1:3" x14ac:dyDescent="0.25">
      <c r="A113" t="s">
        <v>60</v>
      </c>
      <c r="B113" t="s">
        <v>215</v>
      </c>
      <c r="C113" s="3">
        <v>3.7870933395161364E-2</v>
      </c>
    </row>
    <row r="114" spans="1:3" x14ac:dyDescent="0.25">
      <c r="A114" t="s">
        <v>60</v>
      </c>
      <c r="B114" t="s">
        <v>216</v>
      </c>
      <c r="C114" s="3">
        <v>1.3449490364636746E-2</v>
      </c>
    </row>
    <row r="115" spans="1:3" x14ac:dyDescent="0.25">
      <c r="A115" t="s">
        <v>60</v>
      </c>
      <c r="B115" t="s">
        <v>217</v>
      </c>
      <c r="C115" s="3">
        <v>3.539339569641249E-3</v>
      </c>
    </row>
    <row r="116" spans="1:3" x14ac:dyDescent="0.25">
      <c r="A116" t="s">
        <v>60</v>
      </c>
      <c r="B116" t="s">
        <v>218</v>
      </c>
      <c r="C116" s="3">
        <v>2.4775376987488744E-3</v>
      </c>
    </row>
    <row r="117" spans="1:3" x14ac:dyDescent="0.25">
      <c r="A117" t="s">
        <v>61</v>
      </c>
      <c r="B117" t="s">
        <v>214</v>
      </c>
      <c r="C117" s="3">
        <v>4.3533876706587357E-2</v>
      </c>
    </row>
    <row r="118" spans="1:3" x14ac:dyDescent="0.25">
      <c r="A118" t="s">
        <v>61</v>
      </c>
      <c r="B118" t="s">
        <v>215</v>
      </c>
      <c r="C118" s="3">
        <v>3.7870933395161364E-2</v>
      </c>
    </row>
    <row r="119" spans="1:3" x14ac:dyDescent="0.25">
      <c r="A119" t="s">
        <v>61</v>
      </c>
      <c r="B119" t="s">
        <v>216</v>
      </c>
      <c r="C119" s="3">
        <v>1.3449490364636746E-2</v>
      </c>
    </row>
    <row r="120" spans="1:3" x14ac:dyDescent="0.25">
      <c r="A120" t="s">
        <v>61</v>
      </c>
      <c r="B120" t="s">
        <v>217</v>
      </c>
      <c r="C120" s="3">
        <v>3.539339569641249E-3</v>
      </c>
    </row>
    <row r="121" spans="1:3" x14ac:dyDescent="0.25">
      <c r="A121" t="s">
        <v>61</v>
      </c>
      <c r="B121" t="s">
        <v>218</v>
      </c>
      <c r="C121" s="3">
        <v>2.4775376987488744E-3</v>
      </c>
    </row>
    <row r="122" spans="1:3" x14ac:dyDescent="0.25">
      <c r="A122" t="s">
        <v>62</v>
      </c>
      <c r="B122" t="s">
        <v>214</v>
      </c>
      <c r="C122" s="3">
        <v>4.3533876706587357E-2</v>
      </c>
    </row>
    <row r="123" spans="1:3" x14ac:dyDescent="0.25">
      <c r="A123" t="s">
        <v>62</v>
      </c>
      <c r="B123" t="s">
        <v>215</v>
      </c>
      <c r="C123" s="3">
        <v>3.7870933395161364E-2</v>
      </c>
    </row>
    <row r="124" spans="1:3" x14ac:dyDescent="0.25">
      <c r="A124" t="s">
        <v>62</v>
      </c>
      <c r="B124" t="s">
        <v>216</v>
      </c>
      <c r="C124" s="3">
        <v>1.3449490364636746E-2</v>
      </c>
    </row>
    <row r="125" spans="1:3" x14ac:dyDescent="0.25">
      <c r="A125" t="s">
        <v>62</v>
      </c>
      <c r="B125" t="s">
        <v>217</v>
      </c>
      <c r="C125" s="3">
        <v>3.539339569641249E-3</v>
      </c>
    </row>
    <row r="126" spans="1:3" x14ac:dyDescent="0.25">
      <c r="A126" t="s">
        <v>62</v>
      </c>
      <c r="B126" t="s">
        <v>218</v>
      </c>
      <c r="C126" s="3">
        <v>2.4775376987488744E-3</v>
      </c>
    </row>
    <row r="127" spans="1:3" x14ac:dyDescent="0.25">
      <c r="A127" t="s">
        <v>63</v>
      </c>
      <c r="B127" t="s">
        <v>214</v>
      </c>
      <c r="C127" s="3">
        <v>4.3533876706587357E-2</v>
      </c>
    </row>
    <row r="128" spans="1:3" x14ac:dyDescent="0.25">
      <c r="A128" t="s">
        <v>63</v>
      </c>
      <c r="B128" t="s">
        <v>215</v>
      </c>
      <c r="C128" s="3">
        <v>3.7870933395161364E-2</v>
      </c>
    </row>
    <row r="129" spans="1:3" x14ac:dyDescent="0.25">
      <c r="A129" t="s">
        <v>63</v>
      </c>
      <c r="B129" t="s">
        <v>216</v>
      </c>
      <c r="C129" s="3">
        <v>1.3449490364636746E-2</v>
      </c>
    </row>
    <row r="130" spans="1:3" x14ac:dyDescent="0.25">
      <c r="A130" t="s">
        <v>63</v>
      </c>
      <c r="B130" t="s">
        <v>217</v>
      </c>
      <c r="C130" s="3">
        <v>3.539339569641249E-3</v>
      </c>
    </row>
    <row r="131" spans="1:3" x14ac:dyDescent="0.25">
      <c r="A131" t="s">
        <v>63</v>
      </c>
      <c r="B131" t="s">
        <v>218</v>
      </c>
      <c r="C131" s="3">
        <v>2.4775376987488744E-3</v>
      </c>
    </row>
    <row r="132" spans="1:3" x14ac:dyDescent="0.25">
      <c r="A132" t="s">
        <v>64</v>
      </c>
      <c r="B132" t="s">
        <v>214</v>
      </c>
      <c r="C132" s="3">
        <v>4.3533876706587357E-2</v>
      </c>
    </row>
    <row r="133" spans="1:3" x14ac:dyDescent="0.25">
      <c r="A133" t="s">
        <v>64</v>
      </c>
      <c r="B133" t="s">
        <v>215</v>
      </c>
      <c r="C133" s="3">
        <v>3.7870933395161364E-2</v>
      </c>
    </row>
    <row r="134" spans="1:3" x14ac:dyDescent="0.25">
      <c r="A134" t="s">
        <v>64</v>
      </c>
      <c r="B134" t="s">
        <v>216</v>
      </c>
      <c r="C134" s="3">
        <v>1.3449490364636746E-2</v>
      </c>
    </row>
    <row r="135" spans="1:3" x14ac:dyDescent="0.25">
      <c r="A135" t="s">
        <v>64</v>
      </c>
      <c r="B135" t="s">
        <v>217</v>
      </c>
      <c r="C135" s="3">
        <v>3.539339569641249E-3</v>
      </c>
    </row>
    <row r="136" spans="1:3" x14ac:dyDescent="0.25">
      <c r="A136" t="s">
        <v>64</v>
      </c>
      <c r="B136" t="s">
        <v>218</v>
      </c>
      <c r="C136" s="3">
        <v>2.4775376987488744E-3</v>
      </c>
    </row>
    <row r="137" spans="1:3" x14ac:dyDescent="0.25">
      <c r="A137" t="s">
        <v>65</v>
      </c>
      <c r="B137" t="s">
        <v>214</v>
      </c>
      <c r="C137" s="3">
        <v>4.3533876706587357E-2</v>
      </c>
    </row>
    <row r="138" spans="1:3" x14ac:dyDescent="0.25">
      <c r="A138" t="s">
        <v>65</v>
      </c>
      <c r="B138" t="s">
        <v>215</v>
      </c>
      <c r="C138" s="3">
        <v>3.7870933395161364E-2</v>
      </c>
    </row>
    <row r="139" spans="1:3" x14ac:dyDescent="0.25">
      <c r="A139" t="s">
        <v>65</v>
      </c>
      <c r="B139" t="s">
        <v>216</v>
      </c>
      <c r="C139" s="3">
        <v>1.3449490364636746E-2</v>
      </c>
    </row>
    <row r="140" spans="1:3" x14ac:dyDescent="0.25">
      <c r="A140" t="s">
        <v>65</v>
      </c>
      <c r="B140" t="s">
        <v>217</v>
      </c>
      <c r="C140" s="3">
        <v>3.539339569641249E-3</v>
      </c>
    </row>
    <row r="141" spans="1:3" x14ac:dyDescent="0.25">
      <c r="A141" t="s">
        <v>65</v>
      </c>
      <c r="B141" t="s">
        <v>218</v>
      </c>
      <c r="C141" s="3">
        <v>2.4775376987488744E-3</v>
      </c>
    </row>
    <row r="142" spans="1:3" x14ac:dyDescent="0.25">
      <c r="A142" t="s">
        <v>66</v>
      </c>
      <c r="B142" t="s">
        <v>214</v>
      </c>
      <c r="C142" s="3">
        <v>4.3533876706587357E-2</v>
      </c>
    </row>
    <row r="143" spans="1:3" x14ac:dyDescent="0.25">
      <c r="A143" t="s">
        <v>66</v>
      </c>
      <c r="B143" t="s">
        <v>215</v>
      </c>
      <c r="C143" s="3">
        <v>3.7870933395161364E-2</v>
      </c>
    </row>
    <row r="144" spans="1:3" x14ac:dyDescent="0.25">
      <c r="A144" t="s">
        <v>66</v>
      </c>
      <c r="B144" t="s">
        <v>216</v>
      </c>
      <c r="C144" s="3">
        <v>1.3449490364636746E-2</v>
      </c>
    </row>
    <row r="145" spans="1:3" x14ac:dyDescent="0.25">
      <c r="A145" t="s">
        <v>66</v>
      </c>
      <c r="B145" t="s">
        <v>217</v>
      </c>
      <c r="C145" s="3">
        <v>3.539339569641249E-3</v>
      </c>
    </row>
    <row r="146" spans="1:3" x14ac:dyDescent="0.25">
      <c r="A146" t="s">
        <v>66</v>
      </c>
      <c r="B146" t="s">
        <v>218</v>
      </c>
      <c r="C146" s="3">
        <v>2.4775376987488744E-3</v>
      </c>
    </row>
    <row r="147" spans="1:3" x14ac:dyDescent="0.25">
      <c r="A147" t="s">
        <v>67</v>
      </c>
      <c r="B147" t="s">
        <v>214</v>
      </c>
      <c r="C147" s="3">
        <v>4.3533876706587357E-2</v>
      </c>
    </row>
    <row r="148" spans="1:3" x14ac:dyDescent="0.25">
      <c r="A148" t="s">
        <v>67</v>
      </c>
      <c r="B148" t="s">
        <v>215</v>
      </c>
      <c r="C148" s="3">
        <v>3.7870933395161364E-2</v>
      </c>
    </row>
    <row r="149" spans="1:3" x14ac:dyDescent="0.25">
      <c r="A149" t="s">
        <v>67</v>
      </c>
      <c r="B149" t="s">
        <v>216</v>
      </c>
      <c r="C149" s="3">
        <v>1.3449490364636746E-2</v>
      </c>
    </row>
    <row r="150" spans="1:3" x14ac:dyDescent="0.25">
      <c r="A150" t="s">
        <v>67</v>
      </c>
      <c r="B150" t="s">
        <v>217</v>
      </c>
      <c r="C150" s="3">
        <v>3.539339569641249E-3</v>
      </c>
    </row>
    <row r="151" spans="1:3" x14ac:dyDescent="0.25">
      <c r="A151" t="s">
        <v>67</v>
      </c>
      <c r="B151" t="s">
        <v>218</v>
      </c>
      <c r="C151" s="3">
        <v>2.4775376987488744E-3</v>
      </c>
    </row>
    <row r="152" spans="1:3" x14ac:dyDescent="0.25">
      <c r="A152" t="s">
        <v>68</v>
      </c>
      <c r="B152" t="s">
        <v>214</v>
      </c>
      <c r="C152" s="3">
        <v>4.3533876706587357E-2</v>
      </c>
    </row>
    <row r="153" spans="1:3" x14ac:dyDescent="0.25">
      <c r="A153" t="s">
        <v>68</v>
      </c>
      <c r="B153" t="s">
        <v>215</v>
      </c>
      <c r="C153" s="3">
        <v>3.7870933395161364E-2</v>
      </c>
    </row>
    <row r="154" spans="1:3" x14ac:dyDescent="0.25">
      <c r="A154" t="s">
        <v>68</v>
      </c>
      <c r="B154" t="s">
        <v>216</v>
      </c>
      <c r="C154" s="3">
        <v>1.3449490364636746E-2</v>
      </c>
    </row>
    <row r="155" spans="1:3" x14ac:dyDescent="0.25">
      <c r="A155" t="s">
        <v>68</v>
      </c>
      <c r="B155" t="s">
        <v>217</v>
      </c>
      <c r="C155" s="3">
        <v>3.539339569641249E-3</v>
      </c>
    </row>
    <row r="156" spans="1:3" x14ac:dyDescent="0.25">
      <c r="A156" t="s">
        <v>68</v>
      </c>
      <c r="B156" t="s">
        <v>218</v>
      </c>
      <c r="C156" s="3">
        <v>2.4775376987488744E-3</v>
      </c>
    </row>
    <row r="157" spans="1:3" x14ac:dyDescent="0.25">
      <c r="A157" t="s">
        <v>69</v>
      </c>
      <c r="B157" t="s">
        <v>214</v>
      </c>
      <c r="C157" s="3">
        <v>4.3533876706587357E-2</v>
      </c>
    </row>
    <row r="158" spans="1:3" x14ac:dyDescent="0.25">
      <c r="A158" t="s">
        <v>69</v>
      </c>
      <c r="B158" t="s">
        <v>215</v>
      </c>
      <c r="C158" s="3">
        <v>3.7870933395161364E-2</v>
      </c>
    </row>
    <row r="159" spans="1:3" x14ac:dyDescent="0.25">
      <c r="A159" t="s">
        <v>69</v>
      </c>
      <c r="B159" t="s">
        <v>216</v>
      </c>
      <c r="C159" s="3">
        <v>1.3449490364636746E-2</v>
      </c>
    </row>
    <row r="160" spans="1:3" x14ac:dyDescent="0.25">
      <c r="A160" t="s">
        <v>69</v>
      </c>
      <c r="B160" t="s">
        <v>217</v>
      </c>
      <c r="C160" s="3">
        <v>3.539339569641249E-3</v>
      </c>
    </row>
    <row r="161" spans="1:3" x14ac:dyDescent="0.25">
      <c r="A161" t="s">
        <v>69</v>
      </c>
      <c r="B161" t="s">
        <v>218</v>
      </c>
      <c r="C161" s="3">
        <v>2.4775376987488744E-3</v>
      </c>
    </row>
    <row r="162" spans="1:3" x14ac:dyDescent="0.25">
      <c r="A162" t="s">
        <v>70</v>
      </c>
      <c r="B162" t="s">
        <v>214</v>
      </c>
      <c r="C162" s="3">
        <v>4.3533876706587357E-2</v>
      </c>
    </row>
    <row r="163" spans="1:3" x14ac:dyDescent="0.25">
      <c r="A163" t="s">
        <v>70</v>
      </c>
      <c r="B163" t="s">
        <v>215</v>
      </c>
      <c r="C163" s="3">
        <v>3.7870933395161364E-2</v>
      </c>
    </row>
    <row r="164" spans="1:3" x14ac:dyDescent="0.25">
      <c r="A164" t="s">
        <v>70</v>
      </c>
      <c r="B164" t="s">
        <v>216</v>
      </c>
      <c r="C164" s="3">
        <v>1.3449490364636746E-2</v>
      </c>
    </row>
    <row r="165" spans="1:3" x14ac:dyDescent="0.25">
      <c r="A165" t="s">
        <v>70</v>
      </c>
      <c r="B165" t="s">
        <v>217</v>
      </c>
      <c r="C165" s="3">
        <v>3.539339569641249E-3</v>
      </c>
    </row>
    <row r="166" spans="1:3" x14ac:dyDescent="0.25">
      <c r="A166" t="s">
        <v>70</v>
      </c>
      <c r="B166" t="s">
        <v>218</v>
      </c>
      <c r="C166" s="3">
        <v>2.4775376987488744E-3</v>
      </c>
    </row>
    <row r="167" spans="1:3" x14ac:dyDescent="0.25">
      <c r="A167" t="s">
        <v>72</v>
      </c>
      <c r="B167" t="s">
        <v>214</v>
      </c>
      <c r="C167" s="3">
        <v>4.3533876706587357E-2</v>
      </c>
    </row>
    <row r="168" spans="1:3" x14ac:dyDescent="0.25">
      <c r="A168" t="s">
        <v>72</v>
      </c>
      <c r="B168" t="s">
        <v>215</v>
      </c>
      <c r="C168" s="3">
        <v>3.7870933395161364E-2</v>
      </c>
    </row>
    <row r="169" spans="1:3" x14ac:dyDescent="0.25">
      <c r="A169" t="s">
        <v>72</v>
      </c>
      <c r="B169" t="s">
        <v>216</v>
      </c>
      <c r="C169" s="3">
        <v>1.3449490364636746E-2</v>
      </c>
    </row>
    <row r="170" spans="1:3" x14ac:dyDescent="0.25">
      <c r="A170" t="s">
        <v>72</v>
      </c>
      <c r="B170" t="s">
        <v>217</v>
      </c>
      <c r="C170" s="3">
        <v>3.539339569641249E-3</v>
      </c>
    </row>
    <row r="171" spans="1:3" x14ac:dyDescent="0.25">
      <c r="A171" t="s">
        <v>72</v>
      </c>
      <c r="B171" t="s">
        <v>218</v>
      </c>
      <c r="C171" s="3">
        <v>2.4775376987488744E-3</v>
      </c>
    </row>
    <row r="172" spans="1:3" x14ac:dyDescent="0.25">
      <c r="A172" t="s">
        <v>73</v>
      </c>
      <c r="B172" t="s">
        <v>214</v>
      </c>
      <c r="C172" s="3">
        <v>4.3533876706587357E-2</v>
      </c>
    </row>
    <row r="173" spans="1:3" x14ac:dyDescent="0.25">
      <c r="A173" t="s">
        <v>73</v>
      </c>
      <c r="B173" t="s">
        <v>215</v>
      </c>
      <c r="C173" s="3">
        <v>3.7870933395161364E-2</v>
      </c>
    </row>
    <row r="174" spans="1:3" x14ac:dyDescent="0.25">
      <c r="A174" t="s">
        <v>73</v>
      </c>
      <c r="B174" t="s">
        <v>216</v>
      </c>
      <c r="C174" s="3">
        <v>1.3449490364636746E-2</v>
      </c>
    </row>
    <row r="175" spans="1:3" x14ac:dyDescent="0.25">
      <c r="A175" t="s">
        <v>73</v>
      </c>
      <c r="B175" t="s">
        <v>217</v>
      </c>
      <c r="C175" s="3">
        <v>3.539339569641249E-3</v>
      </c>
    </row>
    <row r="176" spans="1:3" x14ac:dyDescent="0.25">
      <c r="A176" t="s">
        <v>73</v>
      </c>
      <c r="B176" t="s">
        <v>218</v>
      </c>
      <c r="C176" s="3">
        <v>2.4775376987488744E-3</v>
      </c>
    </row>
    <row r="177" spans="1:3" x14ac:dyDescent="0.25">
      <c r="A177" t="s">
        <v>74</v>
      </c>
      <c r="B177" t="s">
        <v>214</v>
      </c>
      <c r="C177" s="3">
        <v>4.3533876706587357E-2</v>
      </c>
    </row>
    <row r="178" spans="1:3" x14ac:dyDescent="0.25">
      <c r="A178" t="s">
        <v>74</v>
      </c>
      <c r="B178" t="s">
        <v>215</v>
      </c>
      <c r="C178" s="3">
        <v>3.7870933395161364E-2</v>
      </c>
    </row>
    <row r="179" spans="1:3" x14ac:dyDescent="0.25">
      <c r="A179" t="s">
        <v>74</v>
      </c>
      <c r="B179" t="s">
        <v>216</v>
      </c>
      <c r="C179" s="3">
        <v>1.3449490364636746E-2</v>
      </c>
    </row>
    <row r="180" spans="1:3" x14ac:dyDescent="0.25">
      <c r="A180" t="s">
        <v>74</v>
      </c>
      <c r="B180" t="s">
        <v>217</v>
      </c>
      <c r="C180" s="3">
        <v>3.539339569641249E-3</v>
      </c>
    </row>
    <row r="181" spans="1:3" x14ac:dyDescent="0.25">
      <c r="A181" t="s">
        <v>74</v>
      </c>
      <c r="B181" t="s">
        <v>218</v>
      </c>
      <c r="C181" s="3">
        <v>2.4775376987488744E-3</v>
      </c>
    </row>
    <row r="182" spans="1:3" x14ac:dyDescent="0.25">
      <c r="A182" t="s">
        <v>75</v>
      </c>
      <c r="B182" t="s">
        <v>214</v>
      </c>
      <c r="C182" s="3">
        <v>4.3533876706587357E-2</v>
      </c>
    </row>
    <row r="183" spans="1:3" x14ac:dyDescent="0.25">
      <c r="A183" t="s">
        <v>75</v>
      </c>
      <c r="B183" t="s">
        <v>215</v>
      </c>
      <c r="C183" s="3">
        <v>3.7870933395161364E-2</v>
      </c>
    </row>
    <row r="184" spans="1:3" x14ac:dyDescent="0.25">
      <c r="A184" t="s">
        <v>75</v>
      </c>
      <c r="B184" t="s">
        <v>216</v>
      </c>
      <c r="C184" s="3">
        <v>1.3449490364636746E-2</v>
      </c>
    </row>
    <row r="185" spans="1:3" x14ac:dyDescent="0.25">
      <c r="A185" t="s">
        <v>75</v>
      </c>
      <c r="B185" t="s">
        <v>217</v>
      </c>
      <c r="C185" s="3">
        <v>3.539339569641249E-3</v>
      </c>
    </row>
    <row r="186" spans="1:3" x14ac:dyDescent="0.25">
      <c r="A186" t="s">
        <v>75</v>
      </c>
      <c r="B186" t="s">
        <v>218</v>
      </c>
      <c r="C186" s="3">
        <v>2.4775376987488744E-3</v>
      </c>
    </row>
    <row r="187" spans="1:3" x14ac:dyDescent="0.25">
      <c r="A187" t="s">
        <v>76</v>
      </c>
      <c r="B187" t="s">
        <v>214</v>
      </c>
      <c r="C187" s="3">
        <v>4.3533876706587357E-2</v>
      </c>
    </row>
    <row r="188" spans="1:3" x14ac:dyDescent="0.25">
      <c r="A188" t="s">
        <v>76</v>
      </c>
      <c r="B188" t="s">
        <v>215</v>
      </c>
      <c r="C188" s="3">
        <v>3.7870933395161364E-2</v>
      </c>
    </row>
    <row r="189" spans="1:3" x14ac:dyDescent="0.25">
      <c r="A189" t="s">
        <v>76</v>
      </c>
      <c r="B189" t="s">
        <v>216</v>
      </c>
      <c r="C189" s="3">
        <v>1.3449490364636746E-2</v>
      </c>
    </row>
    <row r="190" spans="1:3" x14ac:dyDescent="0.25">
      <c r="A190" t="s">
        <v>76</v>
      </c>
      <c r="B190" t="s">
        <v>217</v>
      </c>
      <c r="C190" s="3">
        <v>3.539339569641249E-3</v>
      </c>
    </row>
    <row r="191" spans="1:3" x14ac:dyDescent="0.25">
      <c r="A191" t="s">
        <v>76</v>
      </c>
      <c r="B191" t="s">
        <v>218</v>
      </c>
      <c r="C191" s="3">
        <v>2.4775376987488744E-3</v>
      </c>
    </row>
    <row r="192" spans="1:3" x14ac:dyDescent="0.25">
      <c r="A192" t="s">
        <v>77</v>
      </c>
      <c r="B192" t="s">
        <v>214</v>
      </c>
      <c r="C192" s="3">
        <v>4.3533876706587357E-2</v>
      </c>
    </row>
    <row r="193" spans="1:3" x14ac:dyDescent="0.25">
      <c r="A193" t="s">
        <v>77</v>
      </c>
      <c r="B193" t="s">
        <v>215</v>
      </c>
      <c r="C193" s="3">
        <v>3.7870933395161364E-2</v>
      </c>
    </row>
    <row r="194" spans="1:3" x14ac:dyDescent="0.25">
      <c r="A194" t="s">
        <v>77</v>
      </c>
      <c r="B194" t="s">
        <v>216</v>
      </c>
      <c r="C194" s="3">
        <v>1.3449490364636746E-2</v>
      </c>
    </row>
    <row r="195" spans="1:3" x14ac:dyDescent="0.25">
      <c r="A195" t="s">
        <v>77</v>
      </c>
      <c r="B195" t="s">
        <v>217</v>
      </c>
      <c r="C195" s="3">
        <v>3.539339569641249E-3</v>
      </c>
    </row>
    <row r="196" spans="1:3" x14ac:dyDescent="0.25">
      <c r="A196" t="s">
        <v>77</v>
      </c>
      <c r="B196" t="s">
        <v>218</v>
      </c>
      <c r="C196" s="3">
        <v>2.4775376987488744E-3</v>
      </c>
    </row>
    <row r="197" spans="1:3" x14ac:dyDescent="0.25">
      <c r="A197" t="s">
        <v>78</v>
      </c>
      <c r="B197" t="s">
        <v>214</v>
      </c>
      <c r="C197" s="3">
        <v>4.3533876706587357E-2</v>
      </c>
    </row>
    <row r="198" spans="1:3" x14ac:dyDescent="0.25">
      <c r="A198" t="s">
        <v>78</v>
      </c>
      <c r="B198" t="s">
        <v>215</v>
      </c>
      <c r="C198" s="3">
        <v>3.7870933395161364E-2</v>
      </c>
    </row>
    <row r="199" spans="1:3" x14ac:dyDescent="0.25">
      <c r="A199" t="s">
        <v>78</v>
      </c>
      <c r="B199" t="s">
        <v>216</v>
      </c>
      <c r="C199" s="3">
        <v>1.3449490364636746E-2</v>
      </c>
    </row>
    <row r="200" spans="1:3" x14ac:dyDescent="0.25">
      <c r="A200" t="s">
        <v>78</v>
      </c>
      <c r="B200" t="s">
        <v>217</v>
      </c>
      <c r="C200" s="3">
        <v>3.539339569641249E-3</v>
      </c>
    </row>
    <row r="201" spans="1:3" x14ac:dyDescent="0.25">
      <c r="A201" t="s">
        <v>78</v>
      </c>
      <c r="B201" t="s">
        <v>218</v>
      </c>
      <c r="C201" s="3">
        <v>2.4775376987488744E-3</v>
      </c>
    </row>
    <row r="202" spans="1:3" x14ac:dyDescent="0.25">
      <c r="A202" t="s">
        <v>79</v>
      </c>
      <c r="B202" t="s">
        <v>214</v>
      </c>
      <c r="C202" s="3">
        <v>4.3533876706587357E-2</v>
      </c>
    </row>
    <row r="203" spans="1:3" x14ac:dyDescent="0.25">
      <c r="A203" t="s">
        <v>79</v>
      </c>
      <c r="B203" t="s">
        <v>215</v>
      </c>
      <c r="C203" s="3">
        <v>3.7870933395161364E-2</v>
      </c>
    </row>
    <row r="204" spans="1:3" x14ac:dyDescent="0.25">
      <c r="A204" t="s">
        <v>79</v>
      </c>
      <c r="B204" t="s">
        <v>216</v>
      </c>
      <c r="C204" s="3">
        <v>1.3449490364636746E-2</v>
      </c>
    </row>
    <row r="205" spans="1:3" x14ac:dyDescent="0.25">
      <c r="A205" t="s">
        <v>79</v>
      </c>
      <c r="B205" t="s">
        <v>217</v>
      </c>
      <c r="C205" s="3">
        <v>3.539339569641249E-3</v>
      </c>
    </row>
    <row r="206" spans="1:3" x14ac:dyDescent="0.25">
      <c r="A206" t="s">
        <v>79</v>
      </c>
      <c r="B206" t="s">
        <v>218</v>
      </c>
      <c r="C206" s="3">
        <v>2.4775376987488744E-3</v>
      </c>
    </row>
    <row r="207" spans="1:3" x14ac:dyDescent="0.25">
      <c r="A207" t="s">
        <v>80</v>
      </c>
      <c r="B207" t="s">
        <v>214</v>
      </c>
      <c r="C207" s="3">
        <v>4.3533876706587357E-2</v>
      </c>
    </row>
    <row r="208" spans="1:3" x14ac:dyDescent="0.25">
      <c r="A208" t="s">
        <v>80</v>
      </c>
      <c r="B208" t="s">
        <v>215</v>
      </c>
      <c r="C208" s="3">
        <v>3.7870933395161364E-2</v>
      </c>
    </row>
    <row r="209" spans="1:3" x14ac:dyDescent="0.25">
      <c r="A209" t="s">
        <v>80</v>
      </c>
      <c r="B209" t="s">
        <v>216</v>
      </c>
      <c r="C209" s="3">
        <v>1.3449490364636746E-2</v>
      </c>
    </row>
    <row r="210" spans="1:3" x14ac:dyDescent="0.25">
      <c r="A210" t="s">
        <v>80</v>
      </c>
      <c r="B210" t="s">
        <v>217</v>
      </c>
      <c r="C210" s="3">
        <v>3.539339569641249E-3</v>
      </c>
    </row>
    <row r="211" spans="1:3" x14ac:dyDescent="0.25">
      <c r="A211" t="s">
        <v>80</v>
      </c>
      <c r="B211" t="s">
        <v>218</v>
      </c>
      <c r="C211" s="3">
        <v>2.4775376987488744E-3</v>
      </c>
    </row>
    <row r="212" spans="1:3" x14ac:dyDescent="0.25">
      <c r="A212" t="s">
        <v>81</v>
      </c>
      <c r="B212" t="s">
        <v>214</v>
      </c>
      <c r="C212" s="3">
        <v>4.3533876706587357E-2</v>
      </c>
    </row>
    <row r="213" spans="1:3" x14ac:dyDescent="0.25">
      <c r="A213" t="s">
        <v>81</v>
      </c>
      <c r="B213" t="s">
        <v>215</v>
      </c>
      <c r="C213" s="3">
        <v>3.7870933395161364E-2</v>
      </c>
    </row>
    <row r="214" spans="1:3" x14ac:dyDescent="0.25">
      <c r="A214" t="s">
        <v>81</v>
      </c>
      <c r="B214" t="s">
        <v>216</v>
      </c>
      <c r="C214" s="3">
        <v>1.3449490364636746E-2</v>
      </c>
    </row>
    <row r="215" spans="1:3" x14ac:dyDescent="0.25">
      <c r="A215" t="s">
        <v>81</v>
      </c>
      <c r="B215" t="s">
        <v>217</v>
      </c>
      <c r="C215" s="3">
        <v>3.539339569641249E-3</v>
      </c>
    </row>
    <row r="216" spans="1:3" x14ac:dyDescent="0.25">
      <c r="A216" t="s">
        <v>81</v>
      </c>
      <c r="B216" t="s">
        <v>218</v>
      </c>
      <c r="C216" s="3">
        <v>2.4775376987488744E-3</v>
      </c>
    </row>
    <row r="217" spans="1:3" x14ac:dyDescent="0.25">
      <c r="A217" t="s">
        <v>82</v>
      </c>
      <c r="B217" t="s">
        <v>214</v>
      </c>
      <c r="C217" s="3">
        <v>4.3533876706587357E-2</v>
      </c>
    </row>
    <row r="218" spans="1:3" x14ac:dyDescent="0.25">
      <c r="A218" t="s">
        <v>82</v>
      </c>
      <c r="B218" t="s">
        <v>215</v>
      </c>
      <c r="C218" s="3">
        <v>3.7870933395161364E-2</v>
      </c>
    </row>
    <row r="219" spans="1:3" x14ac:dyDescent="0.25">
      <c r="A219" t="s">
        <v>82</v>
      </c>
      <c r="B219" t="s">
        <v>216</v>
      </c>
      <c r="C219" s="3">
        <v>1.3449490364636746E-2</v>
      </c>
    </row>
    <row r="220" spans="1:3" x14ac:dyDescent="0.25">
      <c r="A220" t="s">
        <v>82</v>
      </c>
      <c r="B220" t="s">
        <v>217</v>
      </c>
      <c r="C220" s="3">
        <v>3.539339569641249E-3</v>
      </c>
    </row>
    <row r="221" spans="1:3" x14ac:dyDescent="0.25">
      <c r="A221" t="s">
        <v>82</v>
      </c>
      <c r="B221" t="s">
        <v>218</v>
      </c>
      <c r="C221" s="3">
        <v>2.4775376987488744E-3</v>
      </c>
    </row>
    <row r="222" spans="1:3" x14ac:dyDescent="0.25">
      <c r="A222" t="s">
        <v>83</v>
      </c>
      <c r="B222" t="s">
        <v>214</v>
      </c>
      <c r="C222" s="3">
        <v>4.3533876706587357E-2</v>
      </c>
    </row>
    <row r="223" spans="1:3" x14ac:dyDescent="0.25">
      <c r="A223" t="s">
        <v>83</v>
      </c>
      <c r="B223" t="s">
        <v>215</v>
      </c>
      <c r="C223" s="3">
        <v>3.7870933395161364E-2</v>
      </c>
    </row>
    <row r="224" spans="1:3" x14ac:dyDescent="0.25">
      <c r="A224" t="s">
        <v>83</v>
      </c>
      <c r="B224" t="s">
        <v>216</v>
      </c>
      <c r="C224" s="3">
        <v>1.3449490364636746E-2</v>
      </c>
    </row>
    <row r="225" spans="1:3" x14ac:dyDescent="0.25">
      <c r="A225" t="s">
        <v>83</v>
      </c>
      <c r="B225" t="s">
        <v>217</v>
      </c>
      <c r="C225" s="3">
        <v>3.539339569641249E-3</v>
      </c>
    </row>
    <row r="226" spans="1:3" x14ac:dyDescent="0.25">
      <c r="A226" t="s">
        <v>83</v>
      </c>
      <c r="B226" t="s">
        <v>218</v>
      </c>
      <c r="C226" s="3">
        <v>2.4775376987488744E-3</v>
      </c>
    </row>
    <row r="227" spans="1:3" x14ac:dyDescent="0.25">
      <c r="A227" t="s">
        <v>84</v>
      </c>
      <c r="B227" t="s">
        <v>214</v>
      </c>
      <c r="C227" s="3">
        <v>4.3533876706587357E-2</v>
      </c>
    </row>
    <row r="228" spans="1:3" x14ac:dyDescent="0.25">
      <c r="A228" t="s">
        <v>84</v>
      </c>
      <c r="B228" t="s">
        <v>215</v>
      </c>
      <c r="C228" s="3">
        <v>3.7870933395161364E-2</v>
      </c>
    </row>
    <row r="229" spans="1:3" x14ac:dyDescent="0.25">
      <c r="A229" t="s">
        <v>84</v>
      </c>
      <c r="B229" t="s">
        <v>216</v>
      </c>
      <c r="C229" s="3">
        <v>1.3449490364636746E-2</v>
      </c>
    </row>
    <row r="230" spans="1:3" x14ac:dyDescent="0.25">
      <c r="A230" t="s">
        <v>84</v>
      </c>
      <c r="B230" t="s">
        <v>217</v>
      </c>
      <c r="C230" s="3">
        <v>3.539339569641249E-3</v>
      </c>
    </row>
    <row r="231" spans="1:3" x14ac:dyDescent="0.25">
      <c r="A231" t="s">
        <v>84</v>
      </c>
      <c r="B231" t="s">
        <v>218</v>
      </c>
      <c r="C231" s="3">
        <v>2.4775376987488744E-3</v>
      </c>
    </row>
    <row r="232" spans="1:3" x14ac:dyDescent="0.25">
      <c r="A232" t="s">
        <v>85</v>
      </c>
      <c r="B232" t="s">
        <v>214</v>
      </c>
      <c r="C232" s="3">
        <v>4.3533876706587357E-2</v>
      </c>
    </row>
    <row r="233" spans="1:3" x14ac:dyDescent="0.25">
      <c r="A233" t="s">
        <v>85</v>
      </c>
      <c r="B233" t="s">
        <v>215</v>
      </c>
      <c r="C233" s="3">
        <v>3.7870933395161364E-2</v>
      </c>
    </row>
    <row r="234" spans="1:3" x14ac:dyDescent="0.25">
      <c r="A234" t="s">
        <v>85</v>
      </c>
      <c r="B234" t="s">
        <v>216</v>
      </c>
      <c r="C234" s="3">
        <v>1.3449490364636746E-2</v>
      </c>
    </row>
    <row r="235" spans="1:3" x14ac:dyDescent="0.25">
      <c r="A235" t="s">
        <v>85</v>
      </c>
      <c r="B235" t="s">
        <v>217</v>
      </c>
      <c r="C235" s="3">
        <v>3.539339569641249E-3</v>
      </c>
    </row>
    <row r="236" spans="1:3" x14ac:dyDescent="0.25">
      <c r="A236" t="s">
        <v>85</v>
      </c>
      <c r="B236" t="s">
        <v>218</v>
      </c>
      <c r="C236" s="3">
        <v>2.4775376987488744E-3</v>
      </c>
    </row>
    <row r="237" spans="1:3" x14ac:dyDescent="0.25">
      <c r="A237" t="s">
        <v>86</v>
      </c>
      <c r="B237" t="s">
        <v>214</v>
      </c>
      <c r="C237" s="3">
        <v>4.3533876706587357E-2</v>
      </c>
    </row>
    <row r="238" spans="1:3" x14ac:dyDescent="0.25">
      <c r="A238" t="s">
        <v>86</v>
      </c>
      <c r="B238" t="s">
        <v>215</v>
      </c>
      <c r="C238" s="3">
        <v>3.7870933395161364E-2</v>
      </c>
    </row>
    <row r="239" spans="1:3" x14ac:dyDescent="0.25">
      <c r="A239" t="s">
        <v>86</v>
      </c>
      <c r="B239" t="s">
        <v>216</v>
      </c>
      <c r="C239" s="3">
        <v>1.3449490364636746E-2</v>
      </c>
    </row>
    <row r="240" spans="1:3" x14ac:dyDescent="0.25">
      <c r="A240" t="s">
        <v>86</v>
      </c>
      <c r="B240" t="s">
        <v>217</v>
      </c>
      <c r="C240" s="3">
        <v>3.539339569641249E-3</v>
      </c>
    </row>
    <row r="241" spans="1:3" x14ac:dyDescent="0.25">
      <c r="A241" t="s">
        <v>86</v>
      </c>
      <c r="B241" t="s">
        <v>218</v>
      </c>
      <c r="C241" s="3">
        <v>2.4775376987488744E-3</v>
      </c>
    </row>
    <row r="242" spans="1:3" x14ac:dyDescent="0.25">
      <c r="A242" t="s">
        <v>87</v>
      </c>
      <c r="B242" t="s">
        <v>214</v>
      </c>
      <c r="C242" s="3">
        <v>4.3533876706587357E-2</v>
      </c>
    </row>
    <row r="243" spans="1:3" x14ac:dyDescent="0.25">
      <c r="A243" t="s">
        <v>87</v>
      </c>
      <c r="B243" t="s">
        <v>215</v>
      </c>
      <c r="C243" s="3">
        <v>3.7870933395161364E-2</v>
      </c>
    </row>
    <row r="244" spans="1:3" x14ac:dyDescent="0.25">
      <c r="A244" t="s">
        <v>87</v>
      </c>
      <c r="B244" t="s">
        <v>216</v>
      </c>
      <c r="C244" s="3">
        <v>1.3449490364636746E-2</v>
      </c>
    </row>
    <row r="245" spans="1:3" x14ac:dyDescent="0.25">
      <c r="A245" t="s">
        <v>87</v>
      </c>
      <c r="B245" t="s">
        <v>217</v>
      </c>
      <c r="C245" s="3">
        <v>3.539339569641249E-3</v>
      </c>
    </row>
    <row r="246" spans="1:3" x14ac:dyDescent="0.25">
      <c r="A246" t="s">
        <v>87</v>
      </c>
      <c r="B246" t="s">
        <v>218</v>
      </c>
      <c r="C246" s="3">
        <v>2.4775376987488744E-3</v>
      </c>
    </row>
    <row r="247" spans="1:3" x14ac:dyDescent="0.25">
      <c r="A247" t="s">
        <v>88</v>
      </c>
      <c r="B247" t="s">
        <v>214</v>
      </c>
      <c r="C247" s="3">
        <v>4.3533876706587357E-2</v>
      </c>
    </row>
    <row r="248" spans="1:3" x14ac:dyDescent="0.25">
      <c r="A248" t="s">
        <v>88</v>
      </c>
      <c r="B248" t="s">
        <v>215</v>
      </c>
      <c r="C248" s="3">
        <v>3.7870933395161364E-2</v>
      </c>
    </row>
    <row r="249" spans="1:3" x14ac:dyDescent="0.25">
      <c r="A249" t="s">
        <v>88</v>
      </c>
      <c r="B249" t="s">
        <v>216</v>
      </c>
      <c r="C249" s="3">
        <v>1.3449490364636746E-2</v>
      </c>
    </row>
    <row r="250" spans="1:3" x14ac:dyDescent="0.25">
      <c r="A250" t="s">
        <v>88</v>
      </c>
      <c r="B250" t="s">
        <v>217</v>
      </c>
      <c r="C250" s="3">
        <v>3.539339569641249E-3</v>
      </c>
    </row>
    <row r="251" spans="1:3" x14ac:dyDescent="0.25">
      <c r="A251" t="s">
        <v>88</v>
      </c>
      <c r="B251" t="s">
        <v>218</v>
      </c>
      <c r="C251" s="3">
        <v>2.4775376987488744E-3</v>
      </c>
    </row>
    <row r="252" spans="1:3" x14ac:dyDescent="0.25">
      <c r="A252" t="s">
        <v>89</v>
      </c>
      <c r="B252" t="s">
        <v>214</v>
      </c>
      <c r="C252" s="3">
        <v>4.3533876706587357E-2</v>
      </c>
    </row>
    <row r="253" spans="1:3" x14ac:dyDescent="0.25">
      <c r="A253" t="s">
        <v>89</v>
      </c>
      <c r="B253" t="s">
        <v>215</v>
      </c>
      <c r="C253" s="3">
        <v>3.7870933395161364E-2</v>
      </c>
    </row>
    <row r="254" spans="1:3" x14ac:dyDescent="0.25">
      <c r="A254" t="s">
        <v>89</v>
      </c>
      <c r="B254" t="s">
        <v>216</v>
      </c>
      <c r="C254" s="3">
        <v>1.3449490364636746E-2</v>
      </c>
    </row>
    <row r="255" spans="1:3" x14ac:dyDescent="0.25">
      <c r="A255" t="s">
        <v>89</v>
      </c>
      <c r="B255" t="s">
        <v>217</v>
      </c>
      <c r="C255" s="3">
        <v>3.539339569641249E-3</v>
      </c>
    </row>
    <row r="256" spans="1:3" x14ac:dyDescent="0.25">
      <c r="A256" t="s">
        <v>89</v>
      </c>
      <c r="B256" t="s">
        <v>218</v>
      </c>
      <c r="C256" s="3">
        <v>2.4775376987488744E-3</v>
      </c>
    </row>
    <row r="257" spans="1:3" x14ac:dyDescent="0.25">
      <c r="A257" t="s">
        <v>91</v>
      </c>
      <c r="B257" t="s">
        <v>214</v>
      </c>
      <c r="C257" s="3">
        <v>4.3533876706587357E-2</v>
      </c>
    </row>
    <row r="258" spans="1:3" x14ac:dyDescent="0.25">
      <c r="A258" t="s">
        <v>91</v>
      </c>
      <c r="B258" t="s">
        <v>215</v>
      </c>
      <c r="C258" s="3">
        <v>3.7870933395161364E-2</v>
      </c>
    </row>
    <row r="259" spans="1:3" x14ac:dyDescent="0.25">
      <c r="A259" t="s">
        <v>91</v>
      </c>
      <c r="B259" t="s">
        <v>216</v>
      </c>
      <c r="C259" s="3">
        <v>1.3449490364636746E-2</v>
      </c>
    </row>
    <row r="260" spans="1:3" x14ac:dyDescent="0.25">
      <c r="A260" t="s">
        <v>91</v>
      </c>
      <c r="B260" t="s">
        <v>217</v>
      </c>
      <c r="C260" s="3">
        <v>3.539339569641249E-3</v>
      </c>
    </row>
    <row r="261" spans="1:3" x14ac:dyDescent="0.25">
      <c r="A261" t="s">
        <v>91</v>
      </c>
      <c r="B261" t="s">
        <v>218</v>
      </c>
      <c r="C261" s="3">
        <v>2.4775376987488744E-3</v>
      </c>
    </row>
    <row r="262" spans="1:3" x14ac:dyDescent="0.25">
      <c r="A262" t="s">
        <v>92</v>
      </c>
      <c r="B262" t="s">
        <v>214</v>
      </c>
      <c r="C262" s="3">
        <v>4.3533876706587357E-2</v>
      </c>
    </row>
    <row r="263" spans="1:3" x14ac:dyDescent="0.25">
      <c r="A263" t="s">
        <v>92</v>
      </c>
      <c r="B263" t="s">
        <v>215</v>
      </c>
      <c r="C263" s="3">
        <v>3.7870933395161364E-2</v>
      </c>
    </row>
    <row r="264" spans="1:3" x14ac:dyDescent="0.25">
      <c r="A264" t="s">
        <v>92</v>
      </c>
      <c r="B264" t="s">
        <v>216</v>
      </c>
      <c r="C264" s="3">
        <v>1.3449490364636746E-2</v>
      </c>
    </row>
    <row r="265" spans="1:3" x14ac:dyDescent="0.25">
      <c r="A265" t="s">
        <v>92</v>
      </c>
      <c r="B265" t="s">
        <v>217</v>
      </c>
      <c r="C265" s="3">
        <v>3.539339569641249E-3</v>
      </c>
    </row>
    <row r="266" spans="1:3" x14ac:dyDescent="0.25">
      <c r="A266" t="s">
        <v>92</v>
      </c>
      <c r="B266" t="s">
        <v>218</v>
      </c>
      <c r="C266" s="3">
        <v>2.4775376987488744E-3</v>
      </c>
    </row>
    <row r="267" spans="1:3" x14ac:dyDescent="0.25">
      <c r="A267" t="s">
        <v>93</v>
      </c>
      <c r="B267" t="s">
        <v>214</v>
      </c>
      <c r="C267" s="3">
        <v>4.3533876706587357E-2</v>
      </c>
    </row>
    <row r="268" spans="1:3" x14ac:dyDescent="0.25">
      <c r="A268" t="s">
        <v>93</v>
      </c>
      <c r="B268" t="s">
        <v>215</v>
      </c>
      <c r="C268" s="3">
        <v>3.7870933395161364E-2</v>
      </c>
    </row>
    <row r="269" spans="1:3" x14ac:dyDescent="0.25">
      <c r="A269" t="s">
        <v>93</v>
      </c>
      <c r="B269" t="s">
        <v>216</v>
      </c>
      <c r="C269" s="3">
        <v>1.3449490364636746E-2</v>
      </c>
    </row>
    <row r="270" spans="1:3" x14ac:dyDescent="0.25">
      <c r="A270" t="s">
        <v>93</v>
      </c>
      <c r="B270" t="s">
        <v>217</v>
      </c>
      <c r="C270" s="3">
        <v>3.539339569641249E-3</v>
      </c>
    </row>
    <row r="271" spans="1:3" x14ac:dyDescent="0.25">
      <c r="A271" t="s">
        <v>93</v>
      </c>
      <c r="B271" t="s">
        <v>218</v>
      </c>
      <c r="C271" s="3">
        <v>2.4775376987488744E-3</v>
      </c>
    </row>
    <row r="272" spans="1:3" x14ac:dyDescent="0.25">
      <c r="A272" t="s">
        <v>94</v>
      </c>
      <c r="B272" t="s">
        <v>214</v>
      </c>
      <c r="C272" s="3">
        <v>4.3533876706587357E-2</v>
      </c>
    </row>
    <row r="273" spans="1:3" x14ac:dyDescent="0.25">
      <c r="A273" t="s">
        <v>94</v>
      </c>
      <c r="B273" t="s">
        <v>215</v>
      </c>
      <c r="C273" s="3">
        <v>3.7870933395161364E-2</v>
      </c>
    </row>
    <row r="274" spans="1:3" x14ac:dyDescent="0.25">
      <c r="A274" t="s">
        <v>94</v>
      </c>
      <c r="B274" t="s">
        <v>216</v>
      </c>
      <c r="C274" s="3">
        <v>1.3449490364636746E-2</v>
      </c>
    </row>
    <row r="275" spans="1:3" x14ac:dyDescent="0.25">
      <c r="A275" t="s">
        <v>94</v>
      </c>
      <c r="B275" t="s">
        <v>217</v>
      </c>
      <c r="C275" s="3">
        <v>3.539339569641249E-3</v>
      </c>
    </row>
    <row r="276" spans="1:3" x14ac:dyDescent="0.25">
      <c r="A276" t="s">
        <v>94</v>
      </c>
      <c r="B276" t="s">
        <v>218</v>
      </c>
      <c r="C276" s="3">
        <v>2.4775376987488744E-3</v>
      </c>
    </row>
    <row r="277" spans="1:3" x14ac:dyDescent="0.25">
      <c r="A277" t="s">
        <v>95</v>
      </c>
      <c r="B277" t="s">
        <v>214</v>
      </c>
      <c r="C277" s="3">
        <v>4.3533876706587357E-2</v>
      </c>
    </row>
    <row r="278" spans="1:3" x14ac:dyDescent="0.25">
      <c r="A278" t="s">
        <v>95</v>
      </c>
      <c r="B278" t="s">
        <v>215</v>
      </c>
      <c r="C278" s="3">
        <v>3.7870933395161364E-2</v>
      </c>
    </row>
    <row r="279" spans="1:3" x14ac:dyDescent="0.25">
      <c r="A279" t="s">
        <v>95</v>
      </c>
      <c r="B279" t="s">
        <v>216</v>
      </c>
      <c r="C279" s="3">
        <v>1.3449490364636746E-2</v>
      </c>
    </row>
    <row r="280" spans="1:3" x14ac:dyDescent="0.25">
      <c r="A280" t="s">
        <v>95</v>
      </c>
      <c r="B280" t="s">
        <v>217</v>
      </c>
      <c r="C280" s="3">
        <v>3.539339569641249E-3</v>
      </c>
    </row>
    <row r="281" spans="1:3" x14ac:dyDescent="0.25">
      <c r="A281" t="s">
        <v>95</v>
      </c>
      <c r="B281" t="s">
        <v>218</v>
      </c>
      <c r="C281" s="3">
        <v>2.4775376987488744E-3</v>
      </c>
    </row>
    <row r="282" spans="1:3" x14ac:dyDescent="0.25">
      <c r="A282" t="s">
        <v>96</v>
      </c>
      <c r="B282" t="s">
        <v>214</v>
      </c>
      <c r="C282" s="3">
        <v>4.3533876706587357E-2</v>
      </c>
    </row>
    <row r="283" spans="1:3" x14ac:dyDescent="0.25">
      <c r="A283" t="s">
        <v>96</v>
      </c>
      <c r="B283" t="s">
        <v>215</v>
      </c>
      <c r="C283" s="3">
        <v>3.7870933395161364E-2</v>
      </c>
    </row>
    <row r="284" spans="1:3" x14ac:dyDescent="0.25">
      <c r="A284" t="s">
        <v>96</v>
      </c>
      <c r="B284" t="s">
        <v>216</v>
      </c>
      <c r="C284" s="3">
        <v>1.3449490364636746E-2</v>
      </c>
    </row>
    <row r="285" spans="1:3" x14ac:dyDescent="0.25">
      <c r="A285" t="s">
        <v>96</v>
      </c>
      <c r="B285" t="s">
        <v>217</v>
      </c>
      <c r="C285" s="3">
        <v>3.539339569641249E-3</v>
      </c>
    </row>
    <row r="286" spans="1:3" x14ac:dyDescent="0.25">
      <c r="A286" t="s">
        <v>96</v>
      </c>
      <c r="B286" t="s">
        <v>218</v>
      </c>
      <c r="C286" s="3">
        <v>2.4775376987488744E-3</v>
      </c>
    </row>
    <row r="287" spans="1:3" x14ac:dyDescent="0.25">
      <c r="A287" t="s">
        <v>97</v>
      </c>
      <c r="B287" t="s">
        <v>214</v>
      </c>
      <c r="C287" s="3">
        <v>4.3533876706587357E-2</v>
      </c>
    </row>
    <row r="288" spans="1:3" x14ac:dyDescent="0.25">
      <c r="A288" t="s">
        <v>97</v>
      </c>
      <c r="B288" t="s">
        <v>215</v>
      </c>
      <c r="C288" s="3">
        <v>3.7870933395161364E-2</v>
      </c>
    </row>
    <row r="289" spans="1:3" x14ac:dyDescent="0.25">
      <c r="A289" t="s">
        <v>97</v>
      </c>
      <c r="B289" t="s">
        <v>216</v>
      </c>
      <c r="C289" s="3">
        <v>1.3449490364636746E-2</v>
      </c>
    </row>
    <row r="290" spans="1:3" x14ac:dyDescent="0.25">
      <c r="A290" t="s">
        <v>97</v>
      </c>
      <c r="B290" t="s">
        <v>217</v>
      </c>
      <c r="C290" s="3">
        <v>3.539339569641249E-3</v>
      </c>
    </row>
    <row r="291" spans="1:3" x14ac:dyDescent="0.25">
      <c r="A291" t="s">
        <v>97</v>
      </c>
      <c r="B291" t="s">
        <v>218</v>
      </c>
      <c r="C291" s="3">
        <v>2.4775376987488744E-3</v>
      </c>
    </row>
    <row r="292" spans="1:3" x14ac:dyDescent="0.25">
      <c r="A292" t="s">
        <v>98</v>
      </c>
      <c r="B292" t="s">
        <v>214</v>
      </c>
      <c r="C292" s="3">
        <v>4.3533876706587357E-2</v>
      </c>
    </row>
    <row r="293" spans="1:3" x14ac:dyDescent="0.25">
      <c r="A293" t="s">
        <v>98</v>
      </c>
      <c r="B293" t="s">
        <v>215</v>
      </c>
      <c r="C293" s="3">
        <v>3.7870933395161364E-2</v>
      </c>
    </row>
    <row r="294" spans="1:3" x14ac:dyDescent="0.25">
      <c r="A294" t="s">
        <v>98</v>
      </c>
      <c r="B294" t="s">
        <v>216</v>
      </c>
      <c r="C294" s="3">
        <v>1.3449490364636746E-2</v>
      </c>
    </row>
    <row r="295" spans="1:3" x14ac:dyDescent="0.25">
      <c r="A295" t="s">
        <v>98</v>
      </c>
      <c r="B295" t="s">
        <v>217</v>
      </c>
      <c r="C295" s="3">
        <v>3.539339569641249E-3</v>
      </c>
    </row>
    <row r="296" spans="1:3" x14ac:dyDescent="0.25">
      <c r="A296" t="s">
        <v>98</v>
      </c>
      <c r="B296" t="s">
        <v>218</v>
      </c>
      <c r="C296" s="3">
        <v>2.4775376987488744E-3</v>
      </c>
    </row>
    <row r="297" spans="1:3" x14ac:dyDescent="0.25">
      <c r="A297" t="s">
        <v>99</v>
      </c>
      <c r="B297" t="s">
        <v>214</v>
      </c>
      <c r="C297" s="3">
        <v>4.3533876706587357E-2</v>
      </c>
    </row>
    <row r="298" spans="1:3" x14ac:dyDescent="0.25">
      <c r="A298" t="s">
        <v>99</v>
      </c>
      <c r="B298" t="s">
        <v>215</v>
      </c>
      <c r="C298" s="3">
        <v>3.7870933395161364E-2</v>
      </c>
    </row>
    <row r="299" spans="1:3" x14ac:dyDescent="0.25">
      <c r="A299" t="s">
        <v>99</v>
      </c>
      <c r="B299" t="s">
        <v>216</v>
      </c>
      <c r="C299" s="3">
        <v>1.3449490364636746E-2</v>
      </c>
    </row>
    <row r="300" spans="1:3" x14ac:dyDescent="0.25">
      <c r="A300" t="s">
        <v>99</v>
      </c>
      <c r="B300" t="s">
        <v>217</v>
      </c>
      <c r="C300" s="3">
        <v>3.539339569641249E-3</v>
      </c>
    </row>
    <row r="301" spans="1:3" x14ac:dyDescent="0.25">
      <c r="A301" t="s">
        <v>99</v>
      </c>
      <c r="B301" t="s">
        <v>218</v>
      </c>
      <c r="C301" s="3">
        <v>2.4775376987488744E-3</v>
      </c>
    </row>
    <row r="302" spans="1:3" x14ac:dyDescent="0.25">
      <c r="A302" t="s">
        <v>100</v>
      </c>
      <c r="B302" t="s">
        <v>214</v>
      </c>
      <c r="C302" s="3">
        <v>4.3533876706587357E-2</v>
      </c>
    </row>
    <row r="303" spans="1:3" x14ac:dyDescent="0.25">
      <c r="A303" t="s">
        <v>100</v>
      </c>
      <c r="B303" t="s">
        <v>215</v>
      </c>
      <c r="C303" s="3">
        <v>3.7870933395161364E-2</v>
      </c>
    </row>
    <row r="304" spans="1:3" x14ac:dyDescent="0.25">
      <c r="A304" t="s">
        <v>100</v>
      </c>
      <c r="B304" t="s">
        <v>216</v>
      </c>
      <c r="C304" s="3">
        <v>1.3449490364636746E-2</v>
      </c>
    </row>
    <row r="305" spans="1:3" x14ac:dyDescent="0.25">
      <c r="A305" t="s">
        <v>100</v>
      </c>
      <c r="B305" t="s">
        <v>217</v>
      </c>
      <c r="C305" s="3">
        <v>3.539339569641249E-3</v>
      </c>
    </row>
    <row r="306" spans="1:3" x14ac:dyDescent="0.25">
      <c r="A306" t="s">
        <v>100</v>
      </c>
      <c r="B306" t="s">
        <v>218</v>
      </c>
      <c r="C306" s="3">
        <v>2.4775376987488744E-3</v>
      </c>
    </row>
    <row r="307" spans="1:3" x14ac:dyDescent="0.25">
      <c r="A307" t="s">
        <v>101</v>
      </c>
      <c r="B307" t="s">
        <v>214</v>
      </c>
      <c r="C307" s="3">
        <v>4.3533876706587357E-2</v>
      </c>
    </row>
    <row r="308" spans="1:3" x14ac:dyDescent="0.25">
      <c r="A308" t="s">
        <v>101</v>
      </c>
      <c r="B308" t="s">
        <v>215</v>
      </c>
      <c r="C308" s="3">
        <v>3.7870933395161364E-2</v>
      </c>
    </row>
    <row r="309" spans="1:3" x14ac:dyDescent="0.25">
      <c r="A309" t="s">
        <v>101</v>
      </c>
      <c r="B309" t="s">
        <v>216</v>
      </c>
      <c r="C309" s="3">
        <v>1.3449490364636746E-2</v>
      </c>
    </row>
    <row r="310" spans="1:3" x14ac:dyDescent="0.25">
      <c r="A310" t="s">
        <v>101</v>
      </c>
      <c r="B310" t="s">
        <v>217</v>
      </c>
      <c r="C310" s="3">
        <v>3.539339569641249E-3</v>
      </c>
    </row>
    <row r="311" spans="1:3" x14ac:dyDescent="0.25">
      <c r="A311" t="s">
        <v>101</v>
      </c>
      <c r="B311" t="s">
        <v>218</v>
      </c>
      <c r="C311" s="3">
        <v>2.4775376987488744E-3</v>
      </c>
    </row>
    <row r="312" spans="1:3" x14ac:dyDescent="0.25">
      <c r="A312" t="s">
        <v>102</v>
      </c>
      <c r="B312" t="s">
        <v>214</v>
      </c>
      <c r="C312" s="3">
        <v>4.3533876706587357E-2</v>
      </c>
    </row>
    <row r="313" spans="1:3" x14ac:dyDescent="0.25">
      <c r="A313" t="s">
        <v>102</v>
      </c>
      <c r="B313" t="s">
        <v>215</v>
      </c>
      <c r="C313" s="3">
        <v>3.7870933395161364E-2</v>
      </c>
    </row>
    <row r="314" spans="1:3" x14ac:dyDescent="0.25">
      <c r="A314" t="s">
        <v>102</v>
      </c>
      <c r="B314" t="s">
        <v>216</v>
      </c>
      <c r="C314" s="3">
        <v>1.3449490364636746E-2</v>
      </c>
    </row>
    <row r="315" spans="1:3" x14ac:dyDescent="0.25">
      <c r="A315" t="s">
        <v>102</v>
      </c>
      <c r="B315" t="s">
        <v>217</v>
      </c>
      <c r="C315" s="3">
        <v>3.539339569641249E-3</v>
      </c>
    </row>
    <row r="316" spans="1:3" x14ac:dyDescent="0.25">
      <c r="A316" t="s">
        <v>102</v>
      </c>
      <c r="B316" t="s">
        <v>218</v>
      </c>
      <c r="C316" s="3">
        <v>2.4775376987488744E-3</v>
      </c>
    </row>
    <row r="317" spans="1:3" x14ac:dyDescent="0.25">
      <c r="A317" t="s">
        <v>103</v>
      </c>
      <c r="B317" t="s">
        <v>214</v>
      </c>
      <c r="C317" s="3">
        <v>4.3533876706587357E-2</v>
      </c>
    </row>
    <row r="318" spans="1:3" x14ac:dyDescent="0.25">
      <c r="A318" t="s">
        <v>103</v>
      </c>
      <c r="B318" t="s">
        <v>215</v>
      </c>
      <c r="C318" s="3">
        <v>3.7870933395161364E-2</v>
      </c>
    </row>
    <row r="319" spans="1:3" x14ac:dyDescent="0.25">
      <c r="A319" t="s">
        <v>103</v>
      </c>
      <c r="B319" t="s">
        <v>216</v>
      </c>
      <c r="C319" s="3">
        <v>1.3449490364636746E-2</v>
      </c>
    </row>
    <row r="320" spans="1:3" x14ac:dyDescent="0.25">
      <c r="A320" t="s">
        <v>103</v>
      </c>
      <c r="B320" t="s">
        <v>217</v>
      </c>
      <c r="C320" s="3">
        <v>3.539339569641249E-3</v>
      </c>
    </row>
    <row r="321" spans="1:3" x14ac:dyDescent="0.25">
      <c r="A321" t="s">
        <v>103</v>
      </c>
      <c r="B321" t="s">
        <v>218</v>
      </c>
      <c r="C321" s="3">
        <v>2.4775376987488744E-3</v>
      </c>
    </row>
    <row r="322" spans="1:3" x14ac:dyDescent="0.25">
      <c r="A322" t="s">
        <v>104</v>
      </c>
      <c r="B322" t="s">
        <v>214</v>
      </c>
      <c r="C322" s="3">
        <v>4.3533876706587357E-2</v>
      </c>
    </row>
    <row r="323" spans="1:3" x14ac:dyDescent="0.25">
      <c r="A323" t="s">
        <v>104</v>
      </c>
      <c r="B323" t="s">
        <v>215</v>
      </c>
      <c r="C323" s="3">
        <v>3.7870933395161364E-2</v>
      </c>
    </row>
    <row r="324" spans="1:3" x14ac:dyDescent="0.25">
      <c r="A324" t="s">
        <v>104</v>
      </c>
      <c r="B324" t="s">
        <v>216</v>
      </c>
      <c r="C324" s="3">
        <v>1.3449490364636746E-2</v>
      </c>
    </row>
    <row r="325" spans="1:3" x14ac:dyDescent="0.25">
      <c r="A325" t="s">
        <v>104</v>
      </c>
      <c r="B325" t="s">
        <v>217</v>
      </c>
      <c r="C325" s="3">
        <v>3.539339569641249E-3</v>
      </c>
    </row>
    <row r="326" spans="1:3" x14ac:dyDescent="0.25">
      <c r="A326" t="s">
        <v>104</v>
      </c>
      <c r="B326" t="s">
        <v>218</v>
      </c>
      <c r="C326" s="3">
        <v>2.4775376987488744E-3</v>
      </c>
    </row>
    <row r="327" spans="1:3" x14ac:dyDescent="0.25">
      <c r="A327" t="s">
        <v>105</v>
      </c>
      <c r="B327" t="s">
        <v>214</v>
      </c>
      <c r="C327" s="3">
        <v>4.3533876706587357E-2</v>
      </c>
    </row>
    <row r="328" spans="1:3" x14ac:dyDescent="0.25">
      <c r="A328" t="s">
        <v>105</v>
      </c>
      <c r="B328" t="s">
        <v>215</v>
      </c>
      <c r="C328" s="3">
        <v>3.7870933395161364E-2</v>
      </c>
    </row>
    <row r="329" spans="1:3" x14ac:dyDescent="0.25">
      <c r="A329" t="s">
        <v>105</v>
      </c>
      <c r="B329" t="s">
        <v>216</v>
      </c>
      <c r="C329" s="3">
        <v>1.3449490364636746E-2</v>
      </c>
    </row>
    <row r="330" spans="1:3" x14ac:dyDescent="0.25">
      <c r="A330" t="s">
        <v>105</v>
      </c>
      <c r="B330" t="s">
        <v>217</v>
      </c>
      <c r="C330" s="3">
        <v>3.539339569641249E-3</v>
      </c>
    </row>
    <row r="331" spans="1:3" x14ac:dyDescent="0.25">
      <c r="A331" t="s">
        <v>105</v>
      </c>
      <c r="B331" t="s">
        <v>218</v>
      </c>
      <c r="C331" s="3">
        <v>2.4775376987488744E-3</v>
      </c>
    </row>
    <row r="332" spans="1:3" x14ac:dyDescent="0.25">
      <c r="A332" t="s">
        <v>106</v>
      </c>
      <c r="B332" t="s">
        <v>214</v>
      </c>
      <c r="C332" s="3">
        <v>4.3533876706587357E-2</v>
      </c>
    </row>
    <row r="333" spans="1:3" x14ac:dyDescent="0.25">
      <c r="A333" t="s">
        <v>106</v>
      </c>
      <c r="B333" t="s">
        <v>215</v>
      </c>
      <c r="C333" s="3">
        <v>3.7870933395161364E-2</v>
      </c>
    </row>
    <row r="334" spans="1:3" x14ac:dyDescent="0.25">
      <c r="A334" t="s">
        <v>106</v>
      </c>
      <c r="B334" t="s">
        <v>216</v>
      </c>
      <c r="C334" s="3">
        <v>1.3449490364636746E-2</v>
      </c>
    </row>
    <row r="335" spans="1:3" x14ac:dyDescent="0.25">
      <c r="A335" t="s">
        <v>106</v>
      </c>
      <c r="B335" t="s">
        <v>217</v>
      </c>
      <c r="C335" s="3">
        <v>3.539339569641249E-3</v>
      </c>
    </row>
    <row r="336" spans="1:3" x14ac:dyDescent="0.25">
      <c r="A336" t="s">
        <v>106</v>
      </c>
      <c r="B336" t="s">
        <v>218</v>
      </c>
      <c r="C336" s="3">
        <v>2.4775376987488744E-3</v>
      </c>
    </row>
    <row r="337" spans="1:3" x14ac:dyDescent="0.25">
      <c r="A337" t="s">
        <v>107</v>
      </c>
      <c r="B337" t="s">
        <v>214</v>
      </c>
      <c r="C337" s="3">
        <v>4.3533876706587357E-2</v>
      </c>
    </row>
    <row r="338" spans="1:3" x14ac:dyDescent="0.25">
      <c r="A338" t="s">
        <v>107</v>
      </c>
      <c r="B338" t="s">
        <v>215</v>
      </c>
      <c r="C338" s="3">
        <v>3.7870933395161364E-2</v>
      </c>
    </row>
    <row r="339" spans="1:3" x14ac:dyDescent="0.25">
      <c r="A339" t="s">
        <v>107</v>
      </c>
      <c r="B339" t="s">
        <v>216</v>
      </c>
      <c r="C339" s="3">
        <v>1.3449490364636746E-2</v>
      </c>
    </row>
    <row r="340" spans="1:3" x14ac:dyDescent="0.25">
      <c r="A340" t="s">
        <v>107</v>
      </c>
      <c r="B340" t="s">
        <v>217</v>
      </c>
      <c r="C340" s="3">
        <v>3.539339569641249E-3</v>
      </c>
    </row>
    <row r="341" spans="1:3" x14ac:dyDescent="0.25">
      <c r="A341" t="s">
        <v>107</v>
      </c>
      <c r="B341" t="s">
        <v>218</v>
      </c>
      <c r="C341" s="3">
        <v>2.4775376987488744E-3</v>
      </c>
    </row>
    <row r="342" spans="1:3" x14ac:dyDescent="0.25">
      <c r="A342" t="s">
        <v>108</v>
      </c>
      <c r="B342" t="s">
        <v>214</v>
      </c>
      <c r="C342" s="3">
        <v>4.3533876706587357E-2</v>
      </c>
    </row>
    <row r="343" spans="1:3" x14ac:dyDescent="0.25">
      <c r="A343" t="s">
        <v>108</v>
      </c>
      <c r="B343" t="s">
        <v>215</v>
      </c>
      <c r="C343" s="3">
        <v>3.7870933395161364E-2</v>
      </c>
    </row>
    <row r="344" spans="1:3" x14ac:dyDescent="0.25">
      <c r="A344" t="s">
        <v>108</v>
      </c>
      <c r="B344" t="s">
        <v>216</v>
      </c>
      <c r="C344" s="3">
        <v>1.3449490364636746E-2</v>
      </c>
    </row>
    <row r="345" spans="1:3" x14ac:dyDescent="0.25">
      <c r="A345" t="s">
        <v>108</v>
      </c>
      <c r="B345" t="s">
        <v>217</v>
      </c>
      <c r="C345" s="3">
        <v>3.539339569641249E-3</v>
      </c>
    </row>
    <row r="346" spans="1:3" x14ac:dyDescent="0.25">
      <c r="A346" t="s">
        <v>108</v>
      </c>
      <c r="B346" t="s">
        <v>218</v>
      </c>
      <c r="C346" s="3">
        <v>2.4775376987488744E-3</v>
      </c>
    </row>
    <row r="347" spans="1:3" x14ac:dyDescent="0.25">
      <c r="A347" t="s">
        <v>109</v>
      </c>
      <c r="B347" t="s">
        <v>214</v>
      </c>
      <c r="C347" s="3">
        <v>4.3533876706587357E-2</v>
      </c>
    </row>
    <row r="348" spans="1:3" x14ac:dyDescent="0.25">
      <c r="A348" t="s">
        <v>109</v>
      </c>
      <c r="B348" t="s">
        <v>215</v>
      </c>
      <c r="C348" s="3">
        <v>3.7870933395161364E-2</v>
      </c>
    </row>
    <row r="349" spans="1:3" x14ac:dyDescent="0.25">
      <c r="A349" t="s">
        <v>109</v>
      </c>
      <c r="B349" t="s">
        <v>216</v>
      </c>
      <c r="C349" s="3">
        <v>1.3449490364636746E-2</v>
      </c>
    </row>
    <row r="350" spans="1:3" x14ac:dyDescent="0.25">
      <c r="A350" t="s">
        <v>109</v>
      </c>
      <c r="B350" t="s">
        <v>217</v>
      </c>
      <c r="C350" s="3">
        <v>3.539339569641249E-3</v>
      </c>
    </row>
    <row r="351" spans="1:3" x14ac:dyDescent="0.25">
      <c r="A351" t="s">
        <v>109</v>
      </c>
      <c r="B351" t="s">
        <v>218</v>
      </c>
      <c r="C351" s="3">
        <v>2.4775376987488744E-3</v>
      </c>
    </row>
    <row r="352" spans="1:3" x14ac:dyDescent="0.25">
      <c r="A352" t="s">
        <v>110</v>
      </c>
      <c r="B352" t="s">
        <v>214</v>
      </c>
      <c r="C352" s="3">
        <v>4.3533876706587357E-2</v>
      </c>
    </row>
    <row r="353" spans="1:3" x14ac:dyDescent="0.25">
      <c r="A353" t="s">
        <v>110</v>
      </c>
      <c r="B353" t="s">
        <v>215</v>
      </c>
      <c r="C353" s="3">
        <v>3.7870933395161364E-2</v>
      </c>
    </row>
    <row r="354" spans="1:3" x14ac:dyDescent="0.25">
      <c r="A354" t="s">
        <v>110</v>
      </c>
      <c r="B354" t="s">
        <v>216</v>
      </c>
      <c r="C354" s="3">
        <v>1.3449490364636746E-2</v>
      </c>
    </row>
    <row r="355" spans="1:3" x14ac:dyDescent="0.25">
      <c r="A355" t="s">
        <v>110</v>
      </c>
      <c r="B355" t="s">
        <v>217</v>
      </c>
      <c r="C355" s="3">
        <v>3.539339569641249E-3</v>
      </c>
    </row>
    <row r="356" spans="1:3" x14ac:dyDescent="0.25">
      <c r="A356" t="s">
        <v>110</v>
      </c>
      <c r="B356" t="s">
        <v>218</v>
      </c>
      <c r="C356" s="3">
        <v>2.4775376987488744E-3</v>
      </c>
    </row>
    <row r="357" spans="1:3" x14ac:dyDescent="0.25">
      <c r="A357" t="s">
        <v>111</v>
      </c>
      <c r="B357" t="s">
        <v>214</v>
      </c>
      <c r="C357" s="3">
        <v>4.3533876706587357E-2</v>
      </c>
    </row>
    <row r="358" spans="1:3" x14ac:dyDescent="0.25">
      <c r="A358" t="s">
        <v>111</v>
      </c>
      <c r="B358" t="s">
        <v>215</v>
      </c>
      <c r="C358" s="3">
        <v>3.7870933395161364E-2</v>
      </c>
    </row>
    <row r="359" spans="1:3" x14ac:dyDescent="0.25">
      <c r="A359" t="s">
        <v>111</v>
      </c>
      <c r="B359" t="s">
        <v>216</v>
      </c>
      <c r="C359" s="3">
        <v>1.3449490364636746E-2</v>
      </c>
    </row>
    <row r="360" spans="1:3" x14ac:dyDescent="0.25">
      <c r="A360" t="s">
        <v>111</v>
      </c>
      <c r="B360" t="s">
        <v>217</v>
      </c>
      <c r="C360" s="3">
        <v>3.539339569641249E-3</v>
      </c>
    </row>
    <row r="361" spans="1:3" x14ac:dyDescent="0.25">
      <c r="A361" t="s">
        <v>111</v>
      </c>
      <c r="B361" t="s">
        <v>218</v>
      </c>
      <c r="C361" s="3">
        <v>2.4775376987488744E-3</v>
      </c>
    </row>
    <row r="362" spans="1:3" x14ac:dyDescent="0.25">
      <c r="A362" t="s">
        <v>112</v>
      </c>
      <c r="B362" t="s">
        <v>214</v>
      </c>
      <c r="C362" s="3">
        <v>4.3533876706587357E-2</v>
      </c>
    </row>
    <row r="363" spans="1:3" x14ac:dyDescent="0.25">
      <c r="A363" t="s">
        <v>112</v>
      </c>
      <c r="B363" t="s">
        <v>215</v>
      </c>
      <c r="C363" s="3">
        <v>3.7870933395161364E-2</v>
      </c>
    </row>
    <row r="364" spans="1:3" x14ac:dyDescent="0.25">
      <c r="A364" t="s">
        <v>112</v>
      </c>
      <c r="B364" t="s">
        <v>216</v>
      </c>
      <c r="C364" s="3">
        <v>1.3449490364636746E-2</v>
      </c>
    </row>
    <row r="365" spans="1:3" x14ac:dyDescent="0.25">
      <c r="A365" t="s">
        <v>112</v>
      </c>
      <c r="B365" t="s">
        <v>217</v>
      </c>
      <c r="C365" s="3">
        <v>3.539339569641249E-3</v>
      </c>
    </row>
    <row r="366" spans="1:3" x14ac:dyDescent="0.25">
      <c r="A366" t="s">
        <v>112</v>
      </c>
      <c r="B366" t="s">
        <v>218</v>
      </c>
      <c r="C366" s="3">
        <v>2.4775376987488744E-3</v>
      </c>
    </row>
    <row r="367" spans="1:3" x14ac:dyDescent="0.25">
      <c r="A367" t="s">
        <v>113</v>
      </c>
      <c r="B367" t="s">
        <v>214</v>
      </c>
      <c r="C367" s="3">
        <v>4.3533876706587357E-2</v>
      </c>
    </row>
    <row r="368" spans="1:3" x14ac:dyDescent="0.25">
      <c r="A368" t="s">
        <v>113</v>
      </c>
      <c r="B368" t="s">
        <v>215</v>
      </c>
      <c r="C368" s="3">
        <v>3.7870933395161364E-2</v>
      </c>
    </row>
    <row r="369" spans="1:3" x14ac:dyDescent="0.25">
      <c r="A369" t="s">
        <v>113</v>
      </c>
      <c r="B369" t="s">
        <v>216</v>
      </c>
      <c r="C369" s="3">
        <v>1.3449490364636746E-2</v>
      </c>
    </row>
    <row r="370" spans="1:3" x14ac:dyDescent="0.25">
      <c r="A370" t="s">
        <v>113</v>
      </c>
      <c r="B370" t="s">
        <v>217</v>
      </c>
      <c r="C370" s="3">
        <v>3.539339569641249E-3</v>
      </c>
    </row>
    <row r="371" spans="1:3" x14ac:dyDescent="0.25">
      <c r="A371" t="s">
        <v>113</v>
      </c>
      <c r="B371" t="s">
        <v>218</v>
      </c>
      <c r="C371" s="3">
        <v>2.4775376987488744E-3</v>
      </c>
    </row>
    <row r="372" spans="1:3" x14ac:dyDescent="0.25">
      <c r="A372" t="s">
        <v>114</v>
      </c>
      <c r="B372" t="s">
        <v>214</v>
      </c>
      <c r="C372" s="3">
        <v>4.3533876706587357E-2</v>
      </c>
    </row>
    <row r="373" spans="1:3" x14ac:dyDescent="0.25">
      <c r="A373" t="s">
        <v>114</v>
      </c>
      <c r="B373" t="s">
        <v>215</v>
      </c>
      <c r="C373" s="3">
        <v>3.7870933395161364E-2</v>
      </c>
    </row>
    <row r="374" spans="1:3" x14ac:dyDescent="0.25">
      <c r="A374" t="s">
        <v>114</v>
      </c>
      <c r="B374" t="s">
        <v>216</v>
      </c>
      <c r="C374" s="3">
        <v>1.3449490364636746E-2</v>
      </c>
    </row>
    <row r="375" spans="1:3" x14ac:dyDescent="0.25">
      <c r="A375" t="s">
        <v>114</v>
      </c>
      <c r="B375" t="s">
        <v>217</v>
      </c>
      <c r="C375" s="3">
        <v>3.539339569641249E-3</v>
      </c>
    </row>
    <row r="376" spans="1:3" x14ac:dyDescent="0.25">
      <c r="A376" t="s">
        <v>114</v>
      </c>
      <c r="B376" t="s">
        <v>218</v>
      </c>
      <c r="C376" s="3">
        <v>2.4775376987488744E-3</v>
      </c>
    </row>
    <row r="377" spans="1:3" x14ac:dyDescent="0.25">
      <c r="A377" t="s">
        <v>115</v>
      </c>
      <c r="B377" t="s">
        <v>214</v>
      </c>
      <c r="C377" s="3">
        <v>4.3533876706587357E-2</v>
      </c>
    </row>
    <row r="378" spans="1:3" x14ac:dyDescent="0.25">
      <c r="A378" t="s">
        <v>115</v>
      </c>
      <c r="B378" t="s">
        <v>215</v>
      </c>
      <c r="C378" s="3">
        <v>3.7870933395161364E-2</v>
      </c>
    </row>
    <row r="379" spans="1:3" x14ac:dyDescent="0.25">
      <c r="A379" t="s">
        <v>115</v>
      </c>
      <c r="B379" t="s">
        <v>216</v>
      </c>
      <c r="C379" s="3">
        <v>1.3449490364636746E-2</v>
      </c>
    </row>
    <row r="380" spans="1:3" x14ac:dyDescent="0.25">
      <c r="A380" t="s">
        <v>115</v>
      </c>
      <c r="B380" t="s">
        <v>217</v>
      </c>
      <c r="C380" s="3">
        <v>3.539339569641249E-3</v>
      </c>
    </row>
    <row r="381" spans="1:3" x14ac:dyDescent="0.25">
      <c r="A381" t="s">
        <v>115</v>
      </c>
      <c r="B381" t="s">
        <v>218</v>
      </c>
      <c r="C381" s="3">
        <v>2.4775376987488744E-3</v>
      </c>
    </row>
    <row r="382" spans="1:3" x14ac:dyDescent="0.25">
      <c r="A382" t="s">
        <v>116</v>
      </c>
      <c r="B382" t="s">
        <v>214</v>
      </c>
      <c r="C382" s="3">
        <v>4.3533876706587357E-2</v>
      </c>
    </row>
    <row r="383" spans="1:3" x14ac:dyDescent="0.25">
      <c r="A383" t="s">
        <v>116</v>
      </c>
      <c r="B383" t="s">
        <v>215</v>
      </c>
      <c r="C383" s="3">
        <v>3.7870933395161364E-2</v>
      </c>
    </row>
    <row r="384" spans="1:3" x14ac:dyDescent="0.25">
      <c r="A384" t="s">
        <v>116</v>
      </c>
      <c r="B384" t="s">
        <v>216</v>
      </c>
      <c r="C384" s="3">
        <v>1.3449490364636746E-2</v>
      </c>
    </row>
    <row r="385" spans="1:3" x14ac:dyDescent="0.25">
      <c r="A385" t="s">
        <v>116</v>
      </c>
      <c r="B385" t="s">
        <v>217</v>
      </c>
      <c r="C385" s="3">
        <v>3.539339569641249E-3</v>
      </c>
    </row>
    <row r="386" spans="1:3" x14ac:dyDescent="0.25">
      <c r="A386" t="s">
        <v>116</v>
      </c>
      <c r="B386" t="s">
        <v>218</v>
      </c>
      <c r="C386" s="3">
        <v>2.4775376987488744E-3</v>
      </c>
    </row>
    <row r="387" spans="1:3" x14ac:dyDescent="0.25">
      <c r="A387" t="s">
        <v>117</v>
      </c>
      <c r="B387" t="s">
        <v>214</v>
      </c>
      <c r="C387" s="3">
        <v>4.3533876706587357E-2</v>
      </c>
    </row>
    <row r="388" spans="1:3" x14ac:dyDescent="0.25">
      <c r="A388" t="s">
        <v>117</v>
      </c>
      <c r="B388" t="s">
        <v>215</v>
      </c>
      <c r="C388" s="3">
        <v>3.7870933395161364E-2</v>
      </c>
    </row>
    <row r="389" spans="1:3" x14ac:dyDescent="0.25">
      <c r="A389" t="s">
        <v>117</v>
      </c>
      <c r="B389" t="s">
        <v>216</v>
      </c>
      <c r="C389" s="3">
        <v>1.3449490364636746E-2</v>
      </c>
    </row>
    <row r="390" spans="1:3" x14ac:dyDescent="0.25">
      <c r="A390" t="s">
        <v>117</v>
      </c>
      <c r="B390" t="s">
        <v>217</v>
      </c>
      <c r="C390" s="3">
        <v>3.539339569641249E-3</v>
      </c>
    </row>
    <row r="391" spans="1:3" x14ac:dyDescent="0.25">
      <c r="A391" t="s">
        <v>117</v>
      </c>
      <c r="B391" t="s">
        <v>218</v>
      </c>
      <c r="C391" s="3">
        <v>2.4775376987488744E-3</v>
      </c>
    </row>
    <row r="392" spans="1:3" x14ac:dyDescent="0.25">
      <c r="A392" t="s">
        <v>118</v>
      </c>
      <c r="B392" t="s">
        <v>214</v>
      </c>
      <c r="C392" s="3">
        <v>4.3533876706587357E-2</v>
      </c>
    </row>
    <row r="393" spans="1:3" x14ac:dyDescent="0.25">
      <c r="A393" t="s">
        <v>118</v>
      </c>
      <c r="B393" t="s">
        <v>215</v>
      </c>
      <c r="C393" s="3">
        <v>3.7870933395161364E-2</v>
      </c>
    </row>
    <row r="394" spans="1:3" x14ac:dyDescent="0.25">
      <c r="A394" t="s">
        <v>118</v>
      </c>
      <c r="B394" t="s">
        <v>216</v>
      </c>
      <c r="C394" s="3">
        <v>1.3449490364636746E-2</v>
      </c>
    </row>
    <row r="395" spans="1:3" x14ac:dyDescent="0.25">
      <c r="A395" t="s">
        <v>118</v>
      </c>
      <c r="B395" t="s">
        <v>217</v>
      </c>
      <c r="C395" s="3">
        <v>3.539339569641249E-3</v>
      </c>
    </row>
    <row r="396" spans="1:3" x14ac:dyDescent="0.25">
      <c r="A396" t="s">
        <v>118</v>
      </c>
      <c r="B396" t="s">
        <v>218</v>
      </c>
      <c r="C396" s="3">
        <v>2.4775376987488744E-3</v>
      </c>
    </row>
    <row r="397" spans="1:3" x14ac:dyDescent="0.25">
      <c r="A397" t="s">
        <v>119</v>
      </c>
      <c r="B397" t="s">
        <v>214</v>
      </c>
      <c r="C397" s="3">
        <v>4.3533876706587357E-2</v>
      </c>
    </row>
    <row r="398" spans="1:3" x14ac:dyDescent="0.25">
      <c r="A398" t="s">
        <v>119</v>
      </c>
      <c r="B398" t="s">
        <v>215</v>
      </c>
      <c r="C398" s="3">
        <v>3.7870933395161364E-2</v>
      </c>
    </row>
    <row r="399" spans="1:3" x14ac:dyDescent="0.25">
      <c r="A399" t="s">
        <v>119</v>
      </c>
      <c r="B399" t="s">
        <v>216</v>
      </c>
      <c r="C399" s="3">
        <v>1.3449490364636746E-2</v>
      </c>
    </row>
    <row r="400" spans="1:3" x14ac:dyDescent="0.25">
      <c r="A400" t="s">
        <v>119</v>
      </c>
      <c r="B400" t="s">
        <v>217</v>
      </c>
      <c r="C400" s="3">
        <v>3.539339569641249E-3</v>
      </c>
    </row>
    <row r="401" spans="1:3" x14ac:dyDescent="0.25">
      <c r="A401" t="s">
        <v>119</v>
      </c>
      <c r="B401" t="s">
        <v>218</v>
      </c>
      <c r="C401" s="3">
        <v>2.4775376987488744E-3</v>
      </c>
    </row>
    <row r="402" spans="1:3" x14ac:dyDescent="0.25">
      <c r="A402" t="s">
        <v>120</v>
      </c>
      <c r="B402" t="s">
        <v>214</v>
      </c>
      <c r="C402" s="3">
        <v>4.3533876706587357E-2</v>
      </c>
    </row>
    <row r="403" spans="1:3" x14ac:dyDescent="0.25">
      <c r="A403" t="s">
        <v>120</v>
      </c>
      <c r="B403" t="s">
        <v>215</v>
      </c>
      <c r="C403" s="3">
        <v>3.7870933395161364E-2</v>
      </c>
    </row>
    <row r="404" spans="1:3" x14ac:dyDescent="0.25">
      <c r="A404" t="s">
        <v>120</v>
      </c>
      <c r="B404" t="s">
        <v>216</v>
      </c>
      <c r="C404" s="3">
        <v>1.3449490364636746E-2</v>
      </c>
    </row>
    <row r="405" spans="1:3" x14ac:dyDescent="0.25">
      <c r="A405" t="s">
        <v>120</v>
      </c>
      <c r="B405" t="s">
        <v>217</v>
      </c>
      <c r="C405" s="3">
        <v>3.539339569641249E-3</v>
      </c>
    </row>
    <row r="406" spans="1:3" x14ac:dyDescent="0.25">
      <c r="A406" t="s">
        <v>120</v>
      </c>
      <c r="B406" t="s">
        <v>218</v>
      </c>
      <c r="C406" s="3">
        <v>2.4775376987488744E-3</v>
      </c>
    </row>
    <row r="407" spans="1:3" x14ac:dyDescent="0.25">
      <c r="A407" t="s">
        <v>121</v>
      </c>
      <c r="B407" t="s">
        <v>214</v>
      </c>
      <c r="C407" s="3">
        <v>4.3533876706587357E-2</v>
      </c>
    </row>
    <row r="408" spans="1:3" x14ac:dyDescent="0.25">
      <c r="A408" t="s">
        <v>121</v>
      </c>
      <c r="B408" t="s">
        <v>215</v>
      </c>
      <c r="C408" s="3">
        <v>3.7870933395161364E-2</v>
      </c>
    </row>
    <row r="409" spans="1:3" x14ac:dyDescent="0.25">
      <c r="A409" t="s">
        <v>121</v>
      </c>
      <c r="B409" t="s">
        <v>216</v>
      </c>
      <c r="C409" s="3">
        <v>1.3449490364636746E-2</v>
      </c>
    </row>
    <row r="410" spans="1:3" x14ac:dyDescent="0.25">
      <c r="A410" t="s">
        <v>121</v>
      </c>
      <c r="B410" t="s">
        <v>217</v>
      </c>
      <c r="C410" s="3">
        <v>3.539339569641249E-3</v>
      </c>
    </row>
    <row r="411" spans="1:3" x14ac:dyDescent="0.25">
      <c r="A411" t="s">
        <v>121</v>
      </c>
      <c r="B411" t="s">
        <v>218</v>
      </c>
      <c r="C411" s="3">
        <v>2.4775376987488744E-3</v>
      </c>
    </row>
    <row r="412" spans="1:3" x14ac:dyDescent="0.25">
      <c r="A412" t="s">
        <v>122</v>
      </c>
      <c r="B412" t="s">
        <v>214</v>
      </c>
      <c r="C412" s="3">
        <v>4.3533876706587357E-2</v>
      </c>
    </row>
    <row r="413" spans="1:3" x14ac:dyDescent="0.25">
      <c r="A413" t="s">
        <v>122</v>
      </c>
      <c r="B413" t="s">
        <v>215</v>
      </c>
      <c r="C413" s="3">
        <v>3.7870933395161364E-2</v>
      </c>
    </row>
    <row r="414" spans="1:3" x14ac:dyDescent="0.25">
      <c r="A414" t="s">
        <v>122</v>
      </c>
      <c r="B414" t="s">
        <v>216</v>
      </c>
      <c r="C414" s="3">
        <v>1.3449490364636746E-2</v>
      </c>
    </row>
    <row r="415" spans="1:3" x14ac:dyDescent="0.25">
      <c r="A415" t="s">
        <v>122</v>
      </c>
      <c r="B415" t="s">
        <v>217</v>
      </c>
      <c r="C415" s="3">
        <v>3.539339569641249E-3</v>
      </c>
    </row>
    <row r="416" spans="1:3" x14ac:dyDescent="0.25">
      <c r="A416" t="s">
        <v>122</v>
      </c>
      <c r="B416" t="s">
        <v>218</v>
      </c>
      <c r="C416" s="3">
        <v>2.4775376987488744E-3</v>
      </c>
    </row>
    <row r="417" spans="1:3" x14ac:dyDescent="0.25">
      <c r="A417" t="s">
        <v>123</v>
      </c>
      <c r="B417" t="s">
        <v>214</v>
      </c>
      <c r="C417" s="3">
        <v>4.3533876706587357E-2</v>
      </c>
    </row>
    <row r="418" spans="1:3" x14ac:dyDescent="0.25">
      <c r="A418" t="s">
        <v>123</v>
      </c>
      <c r="B418" t="s">
        <v>215</v>
      </c>
      <c r="C418" s="3">
        <v>3.7870933395161364E-2</v>
      </c>
    </row>
    <row r="419" spans="1:3" x14ac:dyDescent="0.25">
      <c r="A419" t="s">
        <v>123</v>
      </c>
      <c r="B419" t="s">
        <v>216</v>
      </c>
      <c r="C419" s="3">
        <v>1.3449490364636746E-2</v>
      </c>
    </row>
    <row r="420" spans="1:3" x14ac:dyDescent="0.25">
      <c r="A420" t="s">
        <v>123</v>
      </c>
      <c r="B420" t="s">
        <v>217</v>
      </c>
      <c r="C420" s="3">
        <v>3.539339569641249E-3</v>
      </c>
    </row>
    <row r="421" spans="1:3" x14ac:dyDescent="0.25">
      <c r="A421" t="s">
        <v>123</v>
      </c>
      <c r="B421" t="s">
        <v>218</v>
      </c>
      <c r="C421" s="3">
        <v>2.4775376987488744E-3</v>
      </c>
    </row>
    <row r="422" spans="1:3" x14ac:dyDescent="0.25">
      <c r="A422" t="s">
        <v>124</v>
      </c>
      <c r="B422" t="s">
        <v>214</v>
      </c>
      <c r="C422" s="3">
        <v>4.3533876706587357E-2</v>
      </c>
    </row>
    <row r="423" spans="1:3" x14ac:dyDescent="0.25">
      <c r="A423" t="s">
        <v>124</v>
      </c>
      <c r="B423" t="s">
        <v>215</v>
      </c>
      <c r="C423" s="3">
        <v>3.7870933395161364E-2</v>
      </c>
    </row>
    <row r="424" spans="1:3" x14ac:dyDescent="0.25">
      <c r="A424" t="s">
        <v>124</v>
      </c>
      <c r="B424" t="s">
        <v>216</v>
      </c>
      <c r="C424" s="3">
        <v>1.3449490364636746E-2</v>
      </c>
    </row>
    <row r="425" spans="1:3" x14ac:dyDescent="0.25">
      <c r="A425" t="s">
        <v>124</v>
      </c>
      <c r="B425" t="s">
        <v>217</v>
      </c>
      <c r="C425" s="3">
        <v>3.539339569641249E-3</v>
      </c>
    </row>
    <row r="426" spans="1:3" x14ac:dyDescent="0.25">
      <c r="A426" t="s">
        <v>124</v>
      </c>
      <c r="B426" t="s">
        <v>218</v>
      </c>
      <c r="C426" s="3">
        <v>2.4775376987488744E-3</v>
      </c>
    </row>
    <row r="427" spans="1:3" x14ac:dyDescent="0.25">
      <c r="A427" t="s">
        <v>125</v>
      </c>
      <c r="B427" t="s">
        <v>214</v>
      </c>
      <c r="C427" s="3">
        <v>4.3533876706587357E-2</v>
      </c>
    </row>
    <row r="428" spans="1:3" x14ac:dyDescent="0.25">
      <c r="A428" t="s">
        <v>125</v>
      </c>
      <c r="B428" t="s">
        <v>215</v>
      </c>
      <c r="C428" s="3">
        <v>3.7870933395161364E-2</v>
      </c>
    </row>
    <row r="429" spans="1:3" x14ac:dyDescent="0.25">
      <c r="A429" t="s">
        <v>125</v>
      </c>
      <c r="B429" t="s">
        <v>216</v>
      </c>
      <c r="C429" s="3">
        <v>1.3449490364636746E-2</v>
      </c>
    </row>
    <row r="430" spans="1:3" x14ac:dyDescent="0.25">
      <c r="A430" t="s">
        <v>125</v>
      </c>
      <c r="B430" t="s">
        <v>217</v>
      </c>
      <c r="C430" s="3">
        <v>3.539339569641249E-3</v>
      </c>
    </row>
    <row r="431" spans="1:3" x14ac:dyDescent="0.25">
      <c r="A431" t="s">
        <v>125</v>
      </c>
      <c r="B431" t="s">
        <v>218</v>
      </c>
      <c r="C431" s="3">
        <v>2.4775376987488744E-3</v>
      </c>
    </row>
    <row r="432" spans="1:3" x14ac:dyDescent="0.25">
      <c r="A432" t="s">
        <v>126</v>
      </c>
      <c r="B432" t="s">
        <v>214</v>
      </c>
      <c r="C432" s="3">
        <v>4.3533876706587357E-2</v>
      </c>
    </row>
    <row r="433" spans="1:3" x14ac:dyDescent="0.25">
      <c r="A433" t="s">
        <v>126</v>
      </c>
      <c r="B433" t="s">
        <v>215</v>
      </c>
      <c r="C433" s="3">
        <v>3.7870933395161364E-2</v>
      </c>
    </row>
    <row r="434" spans="1:3" x14ac:dyDescent="0.25">
      <c r="A434" t="s">
        <v>126</v>
      </c>
      <c r="B434" t="s">
        <v>216</v>
      </c>
      <c r="C434" s="3">
        <v>1.3449490364636746E-2</v>
      </c>
    </row>
    <row r="435" spans="1:3" x14ac:dyDescent="0.25">
      <c r="A435" t="s">
        <v>126</v>
      </c>
      <c r="B435" t="s">
        <v>217</v>
      </c>
      <c r="C435" s="3">
        <v>3.539339569641249E-3</v>
      </c>
    </row>
    <row r="436" spans="1:3" x14ac:dyDescent="0.25">
      <c r="A436" t="s">
        <v>126</v>
      </c>
      <c r="B436" t="s">
        <v>218</v>
      </c>
      <c r="C436" s="3">
        <v>2.4775376987488744E-3</v>
      </c>
    </row>
    <row r="437" spans="1:3" x14ac:dyDescent="0.25">
      <c r="A437" t="s">
        <v>127</v>
      </c>
      <c r="B437" t="s">
        <v>214</v>
      </c>
      <c r="C437" s="3">
        <v>4.3533876706587357E-2</v>
      </c>
    </row>
    <row r="438" spans="1:3" x14ac:dyDescent="0.25">
      <c r="A438" t="s">
        <v>127</v>
      </c>
      <c r="B438" t="s">
        <v>215</v>
      </c>
      <c r="C438" s="3">
        <v>3.7870933395161364E-2</v>
      </c>
    </row>
    <row r="439" spans="1:3" x14ac:dyDescent="0.25">
      <c r="A439" t="s">
        <v>127</v>
      </c>
      <c r="B439" t="s">
        <v>216</v>
      </c>
      <c r="C439" s="3">
        <v>1.3449490364636746E-2</v>
      </c>
    </row>
    <row r="440" spans="1:3" x14ac:dyDescent="0.25">
      <c r="A440" t="s">
        <v>127</v>
      </c>
      <c r="B440" t="s">
        <v>217</v>
      </c>
      <c r="C440" s="3">
        <v>3.539339569641249E-3</v>
      </c>
    </row>
    <row r="441" spans="1:3" x14ac:dyDescent="0.25">
      <c r="A441" t="s">
        <v>127</v>
      </c>
      <c r="B441" t="s">
        <v>218</v>
      </c>
      <c r="C441" s="3">
        <v>2.4775376987488744E-3</v>
      </c>
    </row>
    <row r="442" spans="1:3" x14ac:dyDescent="0.25">
      <c r="A442" t="s">
        <v>128</v>
      </c>
      <c r="B442" t="s">
        <v>214</v>
      </c>
      <c r="C442" s="3">
        <v>4.3533876706587357E-2</v>
      </c>
    </row>
    <row r="443" spans="1:3" x14ac:dyDescent="0.25">
      <c r="A443" t="s">
        <v>128</v>
      </c>
      <c r="B443" t="s">
        <v>215</v>
      </c>
      <c r="C443" s="3">
        <v>3.7870933395161364E-2</v>
      </c>
    </row>
    <row r="444" spans="1:3" x14ac:dyDescent="0.25">
      <c r="A444" t="s">
        <v>128</v>
      </c>
      <c r="B444" t="s">
        <v>216</v>
      </c>
      <c r="C444" s="3">
        <v>1.3449490364636746E-2</v>
      </c>
    </row>
    <row r="445" spans="1:3" x14ac:dyDescent="0.25">
      <c r="A445" t="s">
        <v>128</v>
      </c>
      <c r="B445" t="s">
        <v>217</v>
      </c>
      <c r="C445" s="3">
        <v>3.539339569641249E-3</v>
      </c>
    </row>
    <row r="446" spans="1:3" x14ac:dyDescent="0.25">
      <c r="A446" t="s">
        <v>128</v>
      </c>
      <c r="B446" t="s">
        <v>218</v>
      </c>
      <c r="C446" s="3">
        <v>2.4775376987488744E-3</v>
      </c>
    </row>
    <row r="447" spans="1:3" x14ac:dyDescent="0.25">
      <c r="A447" t="s">
        <v>129</v>
      </c>
      <c r="B447" t="s">
        <v>214</v>
      </c>
      <c r="C447" s="3">
        <v>4.3533876706587357E-2</v>
      </c>
    </row>
    <row r="448" spans="1:3" x14ac:dyDescent="0.25">
      <c r="A448" t="s">
        <v>129</v>
      </c>
      <c r="B448" t="s">
        <v>215</v>
      </c>
      <c r="C448" s="3">
        <v>3.7870933395161364E-2</v>
      </c>
    </row>
    <row r="449" spans="1:3" x14ac:dyDescent="0.25">
      <c r="A449" t="s">
        <v>129</v>
      </c>
      <c r="B449" t="s">
        <v>216</v>
      </c>
      <c r="C449" s="3">
        <v>1.3449490364636746E-2</v>
      </c>
    </row>
    <row r="450" spans="1:3" x14ac:dyDescent="0.25">
      <c r="A450" t="s">
        <v>129</v>
      </c>
      <c r="B450" t="s">
        <v>217</v>
      </c>
      <c r="C450" s="3">
        <v>3.539339569641249E-3</v>
      </c>
    </row>
    <row r="451" spans="1:3" x14ac:dyDescent="0.25">
      <c r="A451" t="s">
        <v>129</v>
      </c>
      <c r="B451" t="s">
        <v>218</v>
      </c>
      <c r="C451" s="3">
        <v>2.4775376987488744E-3</v>
      </c>
    </row>
    <row r="452" spans="1:3" x14ac:dyDescent="0.25">
      <c r="A452" t="s">
        <v>130</v>
      </c>
      <c r="B452" t="s">
        <v>214</v>
      </c>
      <c r="C452" s="3">
        <v>4.3533876706587357E-2</v>
      </c>
    </row>
    <row r="453" spans="1:3" x14ac:dyDescent="0.25">
      <c r="A453" t="s">
        <v>130</v>
      </c>
      <c r="B453" t="s">
        <v>215</v>
      </c>
      <c r="C453" s="3">
        <v>3.7870933395161364E-2</v>
      </c>
    </row>
    <row r="454" spans="1:3" x14ac:dyDescent="0.25">
      <c r="A454" t="s">
        <v>130</v>
      </c>
      <c r="B454" t="s">
        <v>216</v>
      </c>
      <c r="C454" s="3">
        <v>1.3449490364636746E-2</v>
      </c>
    </row>
    <row r="455" spans="1:3" x14ac:dyDescent="0.25">
      <c r="A455" t="s">
        <v>130</v>
      </c>
      <c r="B455" t="s">
        <v>217</v>
      </c>
      <c r="C455" s="3">
        <v>3.539339569641249E-3</v>
      </c>
    </row>
    <row r="456" spans="1:3" x14ac:dyDescent="0.25">
      <c r="A456" t="s">
        <v>130</v>
      </c>
      <c r="B456" t="s">
        <v>218</v>
      </c>
      <c r="C456" s="3">
        <v>2.4775376987488744E-3</v>
      </c>
    </row>
    <row r="457" spans="1:3" x14ac:dyDescent="0.25">
      <c r="A457" t="s">
        <v>131</v>
      </c>
      <c r="B457" t="s">
        <v>214</v>
      </c>
      <c r="C457" s="3">
        <v>4.3533876706587357E-2</v>
      </c>
    </row>
    <row r="458" spans="1:3" x14ac:dyDescent="0.25">
      <c r="A458" t="s">
        <v>131</v>
      </c>
      <c r="B458" t="s">
        <v>215</v>
      </c>
      <c r="C458" s="3">
        <v>3.7870933395161364E-2</v>
      </c>
    </row>
    <row r="459" spans="1:3" x14ac:dyDescent="0.25">
      <c r="A459" t="s">
        <v>131</v>
      </c>
      <c r="B459" t="s">
        <v>216</v>
      </c>
      <c r="C459" s="3">
        <v>1.3449490364636746E-2</v>
      </c>
    </row>
    <row r="460" spans="1:3" x14ac:dyDescent="0.25">
      <c r="A460" t="s">
        <v>131</v>
      </c>
      <c r="B460" t="s">
        <v>217</v>
      </c>
      <c r="C460" s="3">
        <v>3.539339569641249E-3</v>
      </c>
    </row>
    <row r="461" spans="1:3" x14ac:dyDescent="0.25">
      <c r="A461" t="s">
        <v>131</v>
      </c>
      <c r="B461" t="s">
        <v>218</v>
      </c>
      <c r="C461" s="3">
        <v>2.4775376987488744E-3</v>
      </c>
    </row>
    <row r="462" spans="1:3" x14ac:dyDescent="0.25">
      <c r="A462" t="s">
        <v>132</v>
      </c>
      <c r="B462" t="s">
        <v>214</v>
      </c>
      <c r="C462" s="3">
        <v>4.3533876706587357E-2</v>
      </c>
    </row>
    <row r="463" spans="1:3" x14ac:dyDescent="0.25">
      <c r="A463" t="s">
        <v>132</v>
      </c>
      <c r="B463" t="s">
        <v>215</v>
      </c>
      <c r="C463" s="3">
        <v>3.7870933395161364E-2</v>
      </c>
    </row>
    <row r="464" spans="1:3" x14ac:dyDescent="0.25">
      <c r="A464" t="s">
        <v>132</v>
      </c>
      <c r="B464" t="s">
        <v>216</v>
      </c>
      <c r="C464" s="3">
        <v>1.3449490364636746E-2</v>
      </c>
    </row>
    <row r="465" spans="1:3" x14ac:dyDescent="0.25">
      <c r="A465" t="s">
        <v>132</v>
      </c>
      <c r="B465" t="s">
        <v>217</v>
      </c>
      <c r="C465" s="3">
        <v>3.539339569641249E-3</v>
      </c>
    </row>
    <row r="466" spans="1:3" x14ac:dyDescent="0.25">
      <c r="A466" t="s">
        <v>132</v>
      </c>
      <c r="B466" t="s">
        <v>218</v>
      </c>
      <c r="C466" s="3">
        <v>2.4775376987488744E-3</v>
      </c>
    </row>
    <row r="467" spans="1:3" x14ac:dyDescent="0.25">
      <c r="A467" t="s">
        <v>133</v>
      </c>
      <c r="B467" t="s">
        <v>214</v>
      </c>
      <c r="C467" s="3">
        <v>4.3533876706587357E-2</v>
      </c>
    </row>
    <row r="468" spans="1:3" x14ac:dyDescent="0.25">
      <c r="A468" t="s">
        <v>133</v>
      </c>
      <c r="B468" t="s">
        <v>215</v>
      </c>
      <c r="C468" s="3">
        <v>3.7870933395161364E-2</v>
      </c>
    </row>
    <row r="469" spans="1:3" x14ac:dyDescent="0.25">
      <c r="A469" t="s">
        <v>133</v>
      </c>
      <c r="B469" t="s">
        <v>216</v>
      </c>
      <c r="C469" s="3">
        <v>1.3449490364636746E-2</v>
      </c>
    </row>
    <row r="470" spans="1:3" x14ac:dyDescent="0.25">
      <c r="A470" t="s">
        <v>133</v>
      </c>
      <c r="B470" t="s">
        <v>217</v>
      </c>
      <c r="C470" s="3">
        <v>3.539339569641249E-3</v>
      </c>
    </row>
    <row r="471" spans="1:3" x14ac:dyDescent="0.25">
      <c r="A471" t="s">
        <v>133</v>
      </c>
      <c r="B471" t="s">
        <v>218</v>
      </c>
      <c r="C471" s="3">
        <v>2.4775376987488744E-3</v>
      </c>
    </row>
    <row r="472" spans="1:3" x14ac:dyDescent="0.25">
      <c r="A472" t="s">
        <v>134</v>
      </c>
      <c r="B472" t="s">
        <v>214</v>
      </c>
      <c r="C472" s="3">
        <v>4.3533876706587357E-2</v>
      </c>
    </row>
    <row r="473" spans="1:3" x14ac:dyDescent="0.25">
      <c r="A473" t="s">
        <v>134</v>
      </c>
      <c r="B473" t="s">
        <v>215</v>
      </c>
      <c r="C473" s="3">
        <v>3.7870933395161364E-2</v>
      </c>
    </row>
    <row r="474" spans="1:3" x14ac:dyDescent="0.25">
      <c r="A474" t="s">
        <v>134</v>
      </c>
      <c r="B474" t="s">
        <v>216</v>
      </c>
      <c r="C474" s="3">
        <v>1.3449490364636746E-2</v>
      </c>
    </row>
    <row r="475" spans="1:3" x14ac:dyDescent="0.25">
      <c r="A475" t="s">
        <v>134</v>
      </c>
      <c r="B475" t="s">
        <v>217</v>
      </c>
      <c r="C475" s="3">
        <v>3.539339569641249E-3</v>
      </c>
    </row>
    <row r="476" spans="1:3" x14ac:dyDescent="0.25">
      <c r="A476" t="s">
        <v>134</v>
      </c>
      <c r="B476" t="s">
        <v>218</v>
      </c>
      <c r="C476" s="3">
        <v>2.4775376987488744E-3</v>
      </c>
    </row>
    <row r="477" spans="1:3" x14ac:dyDescent="0.25">
      <c r="A477" t="s">
        <v>135</v>
      </c>
      <c r="B477" t="s">
        <v>214</v>
      </c>
      <c r="C477" s="3">
        <v>4.3533876706587357E-2</v>
      </c>
    </row>
    <row r="478" spans="1:3" x14ac:dyDescent="0.25">
      <c r="A478" t="s">
        <v>135</v>
      </c>
      <c r="B478" t="s">
        <v>215</v>
      </c>
      <c r="C478" s="3">
        <v>3.7870933395161364E-2</v>
      </c>
    </row>
    <row r="479" spans="1:3" x14ac:dyDescent="0.25">
      <c r="A479" t="s">
        <v>135</v>
      </c>
      <c r="B479" t="s">
        <v>216</v>
      </c>
      <c r="C479" s="3">
        <v>1.3449490364636746E-2</v>
      </c>
    </row>
    <row r="480" spans="1:3" x14ac:dyDescent="0.25">
      <c r="A480" t="s">
        <v>135</v>
      </c>
      <c r="B480" t="s">
        <v>217</v>
      </c>
      <c r="C480" s="3">
        <v>3.539339569641249E-3</v>
      </c>
    </row>
    <row r="481" spans="1:3" x14ac:dyDescent="0.25">
      <c r="A481" t="s">
        <v>135</v>
      </c>
      <c r="B481" t="s">
        <v>218</v>
      </c>
      <c r="C481" s="3">
        <v>2.4775376987488744E-3</v>
      </c>
    </row>
    <row r="482" spans="1:3" x14ac:dyDescent="0.25">
      <c r="A482" t="s">
        <v>136</v>
      </c>
      <c r="B482" t="s">
        <v>214</v>
      </c>
      <c r="C482" s="3">
        <v>4.3533876706587357E-2</v>
      </c>
    </row>
    <row r="483" spans="1:3" x14ac:dyDescent="0.25">
      <c r="A483" t="s">
        <v>136</v>
      </c>
      <c r="B483" t="s">
        <v>215</v>
      </c>
      <c r="C483" s="3">
        <v>3.7870933395161364E-2</v>
      </c>
    </row>
    <row r="484" spans="1:3" x14ac:dyDescent="0.25">
      <c r="A484" t="s">
        <v>136</v>
      </c>
      <c r="B484" t="s">
        <v>216</v>
      </c>
      <c r="C484" s="3">
        <v>1.3449490364636746E-2</v>
      </c>
    </row>
    <row r="485" spans="1:3" x14ac:dyDescent="0.25">
      <c r="A485" t="s">
        <v>136</v>
      </c>
      <c r="B485" t="s">
        <v>217</v>
      </c>
      <c r="C485" s="3">
        <v>3.539339569641249E-3</v>
      </c>
    </row>
    <row r="486" spans="1:3" x14ac:dyDescent="0.25">
      <c r="A486" t="s">
        <v>136</v>
      </c>
      <c r="B486" t="s">
        <v>218</v>
      </c>
      <c r="C486" s="3">
        <v>2.4775376987488744E-3</v>
      </c>
    </row>
    <row r="487" spans="1:3" x14ac:dyDescent="0.25">
      <c r="A487" t="s">
        <v>137</v>
      </c>
      <c r="B487" t="s">
        <v>214</v>
      </c>
      <c r="C487" s="3">
        <v>4.3533876706587357E-2</v>
      </c>
    </row>
    <row r="488" spans="1:3" x14ac:dyDescent="0.25">
      <c r="A488" t="s">
        <v>137</v>
      </c>
      <c r="B488" t="s">
        <v>215</v>
      </c>
      <c r="C488" s="3">
        <v>3.7870933395161364E-2</v>
      </c>
    </row>
    <row r="489" spans="1:3" x14ac:dyDescent="0.25">
      <c r="A489" t="s">
        <v>137</v>
      </c>
      <c r="B489" t="s">
        <v>216</v>
      </c>
      <c r="C489" s="3">
        <v>1.3449490364636746E-2</v>
      </c>
    </row>
    <row r="490" spans="1:3" x14ac:dyDescent="0.25">
      <c r="A490" t="s">
        <v>137</v>
      </c>
      <c r="B490" t="s">
        <v>217</v>
      </c>
      <c r="C490" s="3">
        <v>3.539339569641249E-3</v>
      </c>
    </row>
    <row r="491" spans="1:3" x14ac:dyDescent="0.25">
      <c r="A491" t="s">
        <v>137</v>
      </c>
      <c r="B491" t="s">
        <v>218</v>
      </c>
      <c r="C491" s="3">
        <v>2.4775376987488744E-3</v>
      </c>
    </row>
    <row r="492" spans="1:3" x14ac:dyDescent="0.25">
      <c r="A492" t="s">
        <v>138</v>
      </c>
      <c r="B492" t="s">
        <v>214</v>
      </c>
      <c r="C492" s="3">
        <v>4.3533876706587357E-2</v>
      </c>
    </row>
    <row r="493" spans="1:3" x14ac:dyDescent="0.25">
      <c r="A493" t="s">
        <v>138</v>
      </c>
      <c r="B493" t="s">
        <v>215</v>
      </c>
      <c r="C493" s="3">
        <v>3.7870933395161364E-2</v>
      </c>
    </row>
    <row r="494" spans="1:3" x14ac:dyDescent="0.25">
      <c r="A494" t="s">
        <v>138</v>
      </c>
      <c r="B494" t="s">
        <v>216</v>
      </c>
      <c r="C494" s="3">
        <v>1.3449490364636746E-2</v>
      </c>
    </row>
    <row r="495" spans="1:3" x14ac:dyDescent="0.25">
      <c r="A495" t="s">
        <v>138</v>
      </c>
      <c r="B495" t="s">
        <v>217</v>
      </c>
      <c r="C495" s="3">
        <v>3.539339569641249E-3</v>
      </c>
    </row>
    <row r="496" spans="1:3" x14ac:dyDescent="0.25">
      <c r="A496" t="s">
        <v>138</v>
      </c>
      <c r="B496" t="s">
        <v>218</v>
      </c>
      <c r="C496" s="3">
        <v>2.4775376987488744E-3</v>
      </c>
    </row>
    <row r="497" spans="1:3" x14ac:dyDescent="0.25">
      <c r="A497" t="s">
        <v>139</v>
      </c>
      <c r="B497" t="s">
        <v>214</v>
      </c>
      <c r="C497" s="3">
        <v>4.3533876706587357E-2</v>
      </c>
    </row>
    <row r="498" spans="1:3" x14ac:dyDescent="0.25">
      <c r="A498" t="s">
        <v>139</v>
      </c>
      <c r="B498" t="s">
        <v>215</v>
      </c>
      <c r="C498" s="3">
        <v>3.7870933395161364E-2</v>
      </c>
    </row>
    <row r="499" spans="1:3" x14ac:dyDescent="0.25">
      <c r="A499" t="s">
        <v>139</v>
      </c>
      <c r="B499" t="s">
        <v>216</v>
      </c>
      <c r="C499" s="3">
        <v>1.3449490364636746E-2</v>
      </c>
    </row>
    <row r="500" spans="1:3" x14ac:dyDescent="0.25">
      <c r="A500" t="s">
        <v>139</v>
      </c>
      <c r="B500" t="s">
        <v>217</v>
      </c>
      <c r="C500" s="3">
        <v>3.539339569641249E-3</v>
      </c>
    </row>
    <row r="501" spans="1:3" x14ac:dyDescent="0.25">
      <c r="A501" t="s">
        <v>139</v>
      </c>
      <c r="B501" t="s">
        <v>218</v>
      </c>
      <c r="C501" s="3">
        <v>2.4775376987488744E-3</v>
      </c>
    </row>
    <row r="502" spans="1:3" x14ac:dyDescent="0.25">
      <c r="A502" t="s">
        <v>140</v>
      </c>
      <c r="B502" t="s">
        <v>214</v>
      </c>
      <c r="C502" s="3">
        <v>4.3533876706587357E-2</v>
      </c>
    </row>
    <row r="503" spans="1:3" x14ac:dyDescent="0.25">
      <c r="A503" t="s">
        <v>140</v>
      </c>
      <c r="B503" t="s">
        <v>215</v>
      </c>
      <c r="C503" s="3">
        <v>3.7870933395161364E-2</v>
      </c>
    </row>
    <row r="504" spans="1:3" x14ac:dyDescent="0.25">
      <c r="A504" t="s">
        <v>140</v>
      </c>
      <c r="B504" t="s">
        <v>216</v>
      </c>
      <c r="C504" s="3">
        <v>1.3449490364636746E-2</v>
      </c>
    </row>
    <row r="505" spans="1:3" x14ac:dyDescent="0.25">
      <c r="A505" t="s">
        <v>140</v>
      </c>
      <c r="B505" t="s">
        <v>217</v>
      </c>
      <c r="C505" s="3">
        <v>3.539339569641249E-3</v>
      </c>
    </row>
    <row r="506" spans="1:3" x14ac:dyDescent="0.25">
      <c r="A506" t="s">
        <v>140</v>
      </c>
      <c r="B506" t="s">
        <v>218</v>
      </c>
      <c r="C506" s="3">
        <v>2.4775376987488744E-3</v>
      </c>
    </row>
    <row r="507" spans="1:3" x14ac:dyDescent="0.25">
      <c r="A507" t="s">
        <v>141</v>
      </c>
      <c r="B507" t="s">
        <v>214</v>
      </c>
      <c r="C507" s="3">
        <v>4.3533876706587357E-2</v>
      </c>
    </row>
    <row r="508" spans="1:3" x14ac:dyDescent="0.25">
      <c r="A508" t="s">
        <v>141</v>
      </c>
      <c r="B508" t="s">
        <v>215</v>
      </c>
      <c r="C508" s="3">
        <v>3.7870933395161364E-2</v>
      </c>
    </row>
    <row r="509" spans="1:3" x14ac:dyDescent="0.25">
      <c r="A509" t="s">
        <v>141</v>
      </c>
      <c r="B509" t="s">
        <v>216</v>
      </c>
      <c r="C509" s="3">
        <v>1.3449490364636746E-2</v>
      </c>
    </row>
    <row r="510" spans="1:3" x14ac:dyDescent="0.25">
      <c r="A510" t="s">
        <v>141</v>
      </c>
      <c r="B510" t="s">
        <v>217</v>
      </c>
      <c r="C510" s="3">
        <v>3.539339569641249E-3</v>
      </c>
    </row>
    <row r="511" spans="1:3" x14ac:dyDescent="0.25">
      <c r="A511" t="s">
        <v>141</v>
      </c>
      <c r="B511" t="s">
        <v>218</v>
      </c>
      <c r="C511" s="3">
        <v>2.4775376987488744E-3</v>
      </c>
    </row>
    <row r="512" spans="1:3" x14ac:dyDescent="0.25">
      <c r="A512" t="s">
        <v>142</v>
      </c>
      <c r="B512" t="s">
        <v>214</v>
      </c>
      <c r="C512" s="3">
        <v>4.3533876706587357E-2</v>
      </c>
    </row>
    <row r="513" spans="1:3" x14ac:dyDescent="0.25">
      <c r="A513" t="s">
        <v>142</v>
      </c>
      <c r="B513" t="s">
        <v>215</v>
      </c>
      <c r="C513" s="3">
        <v>3.7870933395161364E-2</v>
      </c>
    </row>
    <row r="514" spans="1:3" x14ac:dyDescent="0.25">
      <c r="A514" t="s">
        <v>142</v>
      </c>
      <c r="B514" t="s">
        <v>216</v>
      </c>
      <c r="C514" s="3">
        <v>1.3449490364636746E-2</v>
      </c>
    </row>
    <row r="515" spans="1:3" x14ac:dyDescent="0.25">
      <c r="A515" t="s">
        <v>142</v>
      </c>
      <c r="B515" t="s">
        <v>217</v>
      </c>
      <c r="C515" s="3">
        <v>3.539339569641249E-3</v>
      </c>
    </row>
    <row r="516" spans="1:3" x14ac:dyDescent="0.25">
      <c r="A516" t="s">
        <v>142</v>
      </c>
      <c r="B516" t="s">
        <v>218</v>
      </c>
      <c r="C516" s="3">
        <v>2.4775376987488744E-3</v>
      </c>
    </row>
    <row r="517" spans="1:3" x14ac:dyDescent="0.25">
      <c r="A517" t="s">
        <v>143</v>
      </c>
      <c r="B517" t="s">
        <v>214</v>
      </c>
      <c r="C517" s="3">
        <v>4.3533876706587357E-2</v>
      </c>
    </row>
    <row r="518" spans="1:3" x14ac:dyDescent="0.25">
      <c r="A518" t="s">
        <v>143</v>
      </c>
      <c r="B518" t="s">
        <v>215</v>
      </c>
      <c r="C518" s="3">
        <v>3.7870933395161364E-2</v>
      </c>
    </row>
    <row r="519" spans="1:3" x14ac:dyDescent="0.25">
      <c r="A519" t="s">
        <v>143</v>
      </c>
      <c r="B519" t="s">
        <v>216</v>
      </c>
      <c r="C519" s="3">
        <v>1.3449490364636746E-2</v>
      </c>
    </row>
    <row r="520" spans="1:3" x14ac:dyDescent="0.25">
      <c r="A520" t="s">
        <v>143</v>
      </c>
      <c r="B520" t="s">
        <v>217</v>
      </c>
      <c r="C520" s="3">
        <v>3.539339569641249E-3</v>
      </c>
    </row>
    <row r="521" spans="1:3" x14ac:dyDescent="0.25">
      <c r="A521" t="s">
        <v>143</v>
      </c>
      <c r="B521" t="s">
        <v>218</v>
      </c>
      <c r="C521" s="3">
        <v>2.4775376987488744E-3</v>
      </c>
    </row>
    <row r="522" spans="1:3" x14ac:dyDescent="0.25">
      <c r="A522" t="s">
        <v>144</v>
      </c>
      <c r="B522" t="s">
        <v>214</v>
      </c>
      <c r="C522" s="3">
        <v>4.3533876706587357E-2</v>
      </c>
    </row>
    <row r="523" spans="1:3" x14ac:dyDescent="0.25">
      <c r="A523" t="s">
        <v>144</v>
      </c>
      <c r="B523" t="s">
        <v>215</v>
      </c>
      <c r="C523" s="3">
        <v>3.7870933395161364E-2</v>
      </c>
    </row>
    <row r="524" spans="1:3" x14ac:dyDescent="0.25">
      <c r="A524" t="s">
        <v>144</v>
      </c>
      <c r="B524" t="s">
        <v>216</v>
      </c>
      <c r="C524" s="3">
        <v>1.3449490364636746E-2</v>
      </c>
    </row>
    <row r="525" spans="1:3" x14ac:dyDescent="0.25">
      <c r="A525" t="s">
        <v>144</v>
      </c>
      <c r="B525" t="s">
        <v>217</v>
      </c>
      <c r="C525" s="3">
        <v>3.539339569641249E-3</v>
      </c>
    </row>
    <row r="526" spans="1:3" x14ac:dyDescent="0.25">
      <c r="A526" t="s">
        <v>144</v>
      </c>
      <c r="B526" t="s">
        <v>218</v>
      </c>
      <c r="C526" s="3">
        <v>2.4775376987488744E-3</v>
      </c>
    </row>
    <row r="527" spans="1:3" x14ac:dyDescent="0.25">
      <c r="A527" t="s">
        <v>145</v>
      </c>
      <c r="B527" t="s">
        <v>214</v>
      </c>
      <c r="C527" s="3">
        <v>4.3533876706587357E-2</v>
      </c>
    </row>
    <row r="528" spans="1:3" x14ac:dyDescent="0.25">
      <c r="A528" t="s">
        <v>145</v>
      </c>
      <c r="B528" t="s">
        <v>215</v>
      </c>
      <c r="C528" s="3">
        <v>3.7870933395161364E-2</v>
      </c>
    </row>
    <row r="529" spans="1:3" x14ac:dyDescent="0.25">
      <c r="A529" t="s">
        <v>145</v>
      </c>
      <c r="B529" t="s">
        <v>216</v>
      </c>
      <c r="C529" s="3">
        <v>1.3449490364636746E-2</v>
      </c>
    </row>
    <row r="530" spans="1:3" x14ac:dyDescent="0.25">
      <c r="A530" t="s">
        <v>145</v>
      </c>
      <c r="B530" t="s">
        <v>217</v>
      </c>
      <c r="C530" s="3">
        <v>3.539339569641249E-3</v>
      </c>
    </row>
    <row r="531" spans="1:3" x14ac:dyDescent="0.25">
      <c r="A531" t="s">
        <v>145</v>
      </c>
      <c r="B531" t="s">
        <v>218</v>
      </c>
      <c r="C531" s="3">
        <v>2.4775376987488744E-3</v>
      </c>
    </row>
    <row r="532" spans="1:3" x14ac:dyDescent="0.25">
      <c r="A532" t="s">
        <v>146</v>
      </c>
      <c r="B532" t="s">
        <v>214</v>
      </c>
      <c r="C532" s="3">
        <v>4.3533876706587357E-2</v>
      </c>
    </row>
    <row r="533" spans="1:3" x14ac:dyDescent="0.25">
      <c r="A533" t="s">
        <v>146</v>
      </c>
      <c r="B533" t="s">
        <v>215</v>
      </c>
      <c r="C533" s="3">
        <v>3.7870933395161364E-2</v>
      </c>
    </row>
    <row r="534" spans="1:3" x14ac:dyDescent="0.25">
      <c r="A534" t="s">
        <v>146</v>
      </c>
      <c r="B534" t="s">
        <v>216</v>
      </c>
      <c r="C534" s="3">
        <v>1.3449490364636746E-2</v>
      </c>
    </row>
    <row r="535" spans="1:3" x14ac:dyDescent="0.25">
      <c r="A535" t="s">
        <v>146</v>
      </c>
      <c r="B535" t="s">
        <v>217</v>
      </c>
      <c r="C535" s="3">
        <v>3.539339569641249E-3</v>
      </c>
    </row>
    <row r="536" spans="1:3" x14ac:dyDescent="0.25">
      <c r="A536" t="s">
        <v>146</v>
      </c>
      <c r="B536" t="s">
        <v>218</v>
      </c>
      <c r="C536" s="3">
        <v>2.4775376987488744E-3</v>
      </c>
    </row>
    <row r="537" spans="1:3" x14ac:dyDescent="0.25">
      <c r="A537" t="s">
        <v>147</v>
      </c>
      <c r="B537" t="s">
        <v>214</v>
      </c>
      <c r="C537" s="3">
        <v>4.3533876706587357E-2</v>
      </c>
    </row>
    <row r="538" spans="1:3" x14ac:dyDescent="0.25">
      <c r="A538" t="s">
        <v>147</v>
      </c>
      <c r="B538" t="s">
        <v>215</v>
      </c>
      <c r="C538" s="3">
        <v>3.7870933395161364E-2</v>
      </c>
    </row>
    <row r="539" spans="1:3" x14ac:dyDescent="0.25">
      <c r="A539" t="s">
        <v>147</v>
      </c>
      <c r="B539" t="s">
        <v>216</v>
      </c>
      <c r="C539" s="3">
        <v>1.3449490364636746E-2</v>
      </c>
    </row>
    <row r="540" spans="1:3" x14ac:dyDescent="0.25">
      <c r="A540" t="s">
        <v>147</v>
      </c>
      <c r="B540" t="s">
        <v>217</v>
      </c>
      <c r="C540" s="3">
        <v>3.539339569641249E-3</v>
      </c>
    </row>
    <row r="541" spans="1:3" x14ac:dyDescent="0.25">
      <c r="A541" t="s">
        <v>147</v>
      </c>
      <c r="B541" t="s">
        <v>218</v>
      </c>
      <c r="C541" s="3">
        <v>2.4775376987488744E-3</v>
      </c>
    </row>
    <row r="542" spans="1:3" x14ac:dyDescent="0.25">
      <c r="A542" t="s">
        <v>148</v>
      </c>
      <c r="B542" t="s">
        <v>214</v>
      </c>
      <c r="C542" s="3">
        <v>4.3533876706587357E-2</v>
      </c>
    </row>
    <row r="543" spans="1:3" x14ac:dyDescent="0.25">
      <c r="A543" t="s">
        <v>148</v>
      </c>
      <c r="B543" t="s">
        <v>215</v>
      </c>
      <c r="C543" s="3">
        <v>3.7870933395161364E-2</v>
      </c>
    </row>
    <row r="544" spans="1:3" x14ac:dyDescent="0.25">
      <c r="A544" t="s">
        <v>148</v>
      </c>
      <c r="B544" t="s">
        <v>216</v>
      </c>
      <c r="C544" s="3">
        <v>1.3449490364636746E-2</v>
      </c>
    </row>
    <row r="545" spans="1:3" x14ac:dyDescent="0.25">
      <c r="A545" t="s">
        <v>148</v>
      </c>
      <c r="B545" t="s">
        <v>217</v>
      </c>
      <c r="C545" s="3">
        <v>3.539339569641249E-3</v>
      </c>
    </row>
    <row r="546" spans="1:3" x14ac:dyDescent="0.25">
      <c r="A546" t="s">
        <v>148</v>
      </c>
      <c r="B546" t="s">
        <v>218</v>
      </c>
      <c r="C546" s="3">
        <v>2.4775376987488744E-3</v>
      </c>
    </row>
    <row r="547" spans="1:3" x14ac:dyDescent="0.25">
      <c r="A547" t="s">
        <v>149</v>
      </c>
      <c r="B547" t="s">
        <v>214</v>
      </c>
      <c r="C547" s="3">
        <v>4.3533876706587357E-2</v>
      </c>
    </row>
    <row r="548" spans="1:3" x14ac:dyDescent="0.25">
      <c r="A548" t="s">
        <v>149</v>
      </c>
      <c r="B548" t="s">
        <v>215</v>
      </c>
      <c r="C548" s="3">
        <v>3.7870933395161364E-2</v>
      </c>
    </row>
    <row r="549" spans="1:3" x14ac:dyDescent="0.25">
      <c r="A549" t="s">
        <v>149</v>
      </c>
      <c r="B549" t="s">
        <v>216</v>
      </c>
      <c r="C549" s="3">
        <v>1.3449490364636746E-2</v>
      </c>
    </row>
    <row r="550" spans="1:3" x14ac:dyDescent="0.25">
      <c r="A550" t="s">
        <v>149</v>
      </c>
      <c r="B550" t="s">
        <v>217</v>
      </c>
      <c r="C550" s="3">
        <v>3.539339569641249E-3</v>
      </c>
    </row>
    <row r="551" spans="1:3" x14ac:dyDescent="0.25">
      <c r="A551" t="s">
        <v>149</v>
      </c>
      <c r="B551" t="s">
        <v>218</v>
      </c>
      <c r="C551" s="3">
        <v>2.4775376987488744E-3</v>
      </c>
    </row>
    <row r="552" spans="1:3" x14ac:dyDescent="0.25">
      <c r="A552" t="s">
        <v>150</v>
      </c>
      <c r="B552" t="s">
        <v>214</v>
      </c>
      <c r="C552" s="3">
        <v>4.3533876706587357E-2</v>
      </c>
    </row>
    <row r="553" spans="1:3" x14ac:dyDescent="0.25">
      <c r="A553" t="s">
        <v>150</v>
      </c>
      <c r="B553" t="s">
        <v>215</v>
      </c>
      <c r="C553" s="3">
        <v>3.7870933395161364E-2</v>
      </c>
    </row>
    <row r="554" spans="1:3" x14ac:dyDescent="0.25">
      <c r="A554" t="s">
        <v>150</v>
      </c>
      <c r="B554" t="s">
        <v>216</v>
      </c>
      <c r="C554" s="3">
        <v>1.3449490364636746E-2</v>
      </c>
    </row>
    <row r="555" spans="1:3" x14ac:dyDescent="0.25">
      <c r="A555" t="s">
        <v>150</v>
      </c>
      <c r="B555" t="s">
        <v>217</v>
      </c>
      <c r="C555" s="3">
        <v>3.539339569641249E-3</v>
      </c>
    </row>
    <row r="556" spans="1:3" x14ac:dyDescent="0.25">
      <c r="A556" t="s">
        <v>150</v>
      </c>
      <c r="B556" t="s">
        <v>218</v>
      </c>
      <c r="C556" s="3">
        <v>2.4775376987488744E-3</v>
      </c>
    </row>
    <row r="557" spans="1:3" x14ac:dyDescent="0.25">
      <c r="A557" t="s">
        <v>151</v>
      </c>
      <c r="B557" t="s">
        <v>214</v>
      </c>
      <c r="C557" s="3">
        <v>4.3533876706587357E-2</v>
      </c>
    </row>
    <row r="558" spans="1:3" x14ac:dyDescent="0.25">
      <c r="A558" t="s">
        <v>151</v>
      </c>
      <c r="B558" t="s">
        <v>215</v>
      </c>
      <c r="C558" s="3">
        <v>3.7870933395161364E-2</v>
      </c>
    </row>
    <row r="559" spans="1:3" x14ac:dyDescent="0.25">
      <c r="A559" t="s">
        <v>151</v>
      </c>
      <c r="B559" t="s">
        <v>216</v>
      </c>
      <c r="C559" s="3">
        <v>1.3449490364636746E-2</v>
      </c>
    </row>
    <row r="560" spans="1:3" x14ac:dyDescent="0.25">
      <c r="A560" t="s">
        <v>151</v>
      </c>
      <c r="B560" t="s">
        <v>217</v>
      </c>
      <c r="C560" s="3">
        <v>3.539339569641249E-3</v>
      </c>
    </row>
    <row r="561" spans="1:3" x14ac:dyDescent="0.25">
      <c r="A561" t="s">
        <v>151</v>
      </c>
      <c r="B561" t="s">
        <v>218</v>
      </c>
      <c r="C561" s="3">
        <v>2.4775376987488744E-3</v>
      </c>
    </row>
    <row r="562" spans="1:3" x14ac:dyDescent="0.25">
      <c r="A562" t="s">
        <v>152</v>
      </c>
      <c r="B562" t="s">
        <v>214</v>
      </c>
      <c r="C562" s="3">
        <v>4.3533876706587357E-2</v>
      </c>
    </row>
    <row r="563" spans="1:3" x14ac:dyDescent="0.25">
      <c r="A563" t="s">
        <v>152</v>
      </c>
      <c r="B563" t="s">
        <v>215</v>
      </c>
      <c r="C563" s="3">
        <v>3.7870933395161364E-2</v>
      </c>
    </row>
    <row r="564" spans="1:3" x14ac:dyDescent="0.25">
      <c r="A564" t="s">
        <v>152</v>
      </c>
      <c r="B564" t="s">
        <v>216</v>
      </c>
      <c r="C564" s="3">
        <v>1.3449490364636746E-2</v>
      </c>
    </row>
    <row r="565" spans="1:3" x14ac:dyDescent="0.25">
      <c r="A565" t="s">
        <v>152</v>
      </c>
      <c r="B565" t="s">
        <v>217</v>
      </c>
      <c r="C565" s="3">
        <v>3.539339569641249E-3</v>
      </c>
    </row>
    <row r="566" spans="1:3" x14ac:dyDescent="0.25">
      <c r="A566" t="s">
        <v>152</v>
      </c>
      <c r="B566" t="s">
        <v>218</v>
      </c>
      <c r="C566" s="3">
        <v>2.4775376987488744E-3</v>
      </c>
    </row>
    <row r="567" spans="1:3" x14ac:dyDescent="0.25">
      <c r="A567" t="s">
        <v>153</v>
      </c>
      <c r="B567" t="s">
        <v>214</v>
      </c>
      <c r="C567" s="3">
        <v>4.3533876706587357E-2</v>
      </c>
    </row>
    <row r="568" spans="1:3" x14ac:dyDescent="0.25">
      <c r="A568" t="s">
        <v>153</v>
      </c>
      <c r="B568" t="s">
        <v>215</v>
      </c>
      <c r="C568" s="3">
        <v>3.7870933395161364E-2</v>
      </c>
    </row>
    <row r="569" spans="1:3" x14ac:dyDescent="0.25">
      <c r="A569" t="s">
        <v>153</v>
      </c>
      <c r="B569" t="s">
        <v>216</v>
      </c>
      <c r="C569" s="3">
        <v>1.3449490364636746E-2</v>
      </c>
    </row>
    <row r="570" spans="1:3" x14ac:dyDescent="0.25">
      <c r="A570" t="s">
        <v>153</v>
      </c>
      <c r="B570" t="s">
        <v>217</v>
      </c>
      <c r="C570" s="3">
        <v>3.539339569641249E-3</v>
      </c>
    </row>
    <row r="571" spans="1:3" x14ac:dyDescent="0.25">
      <c r="A571" t="s">
        <v>153</v>
      </c>
      <c r="B571" t="s">
        <v>218</v>
      </c>
      <c r="C571" s="3">
        <v>2.4775376987488744E-3</v>
      </c>
    </row>
    <row r="572" spans="1:3" x14ac:dyDescent="0.25">
      <c r="A572" t="s">
        <v>154</v>
      </c>
      <c r="B572" t="s">
        <v>214</v>
      </c>
      <c r="C572" s="3">
        <v>4.3533876706587357E-2</v>
      </c>
    </row>
    <row r="573" spans="1:3" x14ac:dyDescent="0.25">
      <c r="A573" t="s">
        <v>154</v>
      </c>
      <c r="B573" t="s">
        <v>215</v>
      </c>
      <c r="C573" s="3">
        <v>3.7870933395161364E-2</v>
      </c>
    </row>
    <row r="574" spans="1:3" x14ac:dyDescent="0.25">
      <c r="A574" t="s">
        <v>154</v>
      </c>
      <c r="B574" t="s">
        <v>216</v>
      </c>
      <c r="C574" s="3">
        <v>1.3449490364636746E-2</v>
      </c>
    </row>
    <row r="575" spans="1:3" x14ac:dyDescent="0.25">
      <c r="A575" t="s">
        <v>154</v>
      </c>
      <c r="B575" t="s">
        <v>217</v>
      </c>
      <c r="C575" s="3">
        <v>3.539339569641249E-3</v>
      </c>
    </row>
    <row r="576" spans="1:3" x14ac:dyDescent="0.25">
      <c r="A576" t="s">
        <v>154</v>
      </c>
      <c r="B576" t="s">
        <v>218</v>
      </c>
      <c r="C576" s="3">
        <v>2.4775376987488744E-3</v>
      </c>
    </row>
    <row r="577" spans="1:3" x14ac:dyDescent="0.25">
      <c r="A577" t="s">
        <v>155</v>
      </c>
      <c r="B577" t="s">
        <v>214</v>
      </c>
      <c r="C577" s="3">
        <v>4.3533876706587357E-2</v>
      </c>
    </row>
    <row r="578" spans="1:3" x14ac:dyDescent="0.25">
      <c r="A578" t="s">
        <v>155</v>
      </c>
      <c r="B578" t="s">
        <v>215</v>
      </c>
      <c r="C578" s="3">
        <v>3.7870933395161364E-2</v>
      </c>
    </row>
    <row r="579" spans="1:3" x14ac:dyDescent="0.25">
      <c r="A579" t="s">
        <v>155</v>
      </c>
      <c r="B579" t="s">
        <v>216</v>
      </c>
      <c r="C579" s="3">
        <v>1.3449490364636746E-2</v>
      </c>
    </row>
    <row r="580" spans="1:3" x14ac:dyDescent="0.25">
      <c r="A580" t="s">
        <v>155</v>
      </c>
      <c r="B580" t="s">
        <v>217</v>
      </c>
      <c r="C580" s="3">
        <v>3.539339569641249E-3</v>
      </c>
    </row>
    <row r="581" spans="1:3" x14ac:dyDescent="0.25">
      <c r="A581" t="s">
        <v>155</v>
      </c>
      <c r="B581" t="s">
        <v>218</v>
      </c>
      <c r="C581" s="3">
        <v>2.4775376987488744E-3</v>
      </c>
    </row>
    <row r="582" spans="1:3" x14ac:dyDescent="0.25">
      <c r="A582" t="s">
        <v>156</v>
      </c>
      <c r="B582" t="s">
        <v>214</v>
      </c>
      <c r="C582" s="3">
        <v>4.3533876706587357E-2</v>
      </c>
    </row>
    <row r="583" spans="1:3" x14ac:dyDescent="0.25">
      <c r="A583" t="s">
        <v>156</v>
      </c>
      <c r="B583" t="s">
        <v>215</v>
      </c>
      <c r="C583" s="3">
        <v>3.7870933395161364E-2</v>
      </c>
    </row>
    <row r="584" spans="1:3" x14ac:dyDescent="0.25">
      <c r="A584" t="s">
        <v>156</v>
      </c>
      <c r="B584" t="s">
        <v>216</v>
      </c>
      <c r="C584" s="3">
        <v>1.3449490364636746E-2</v>
      </c>
    </row>
    <row r="585" spans="1:3" x14ac:dyDescent="0.25">
      <c r="A585" t="s">
        <v>156</v>
      </c>
      <c r="B585" t="s">
        <v>217</v>
      </c>
      <c r="C585" s="3">
        <v>3.539339569641249E-3</v>
      </c>
    </row>
    <row r="586" spans="1:3" x14ac:dyDescent="0.25">
      <c r="A586" t="s">
        <v>156</v>
      </c>
      <c r="B586" t="s">
        <v>218</v>
      </c>
      <c r="C586" s="3">
        <v>2.4775376987488744E-3</v>
      </c>
    </row>
    <row r="587" spans="1:3" x14ac:dyDescent="0.25">
      <c r="A587" t="s">
        <v>157</v>
      </c>
      <c r="B587" t="s">
        <v>214</v>
      </c>
      <c r="C587" s="3">
        <v>4.3533876706587357E-2</v>
      </c>
    </row>
    <row r="588" spans="1:3" x14ac:dyDescent="0.25">
      <c r="A588" t="s">
        <v>157</v>
      </c>
      <c r="B588" t="s">
        <v>215</v>
      </c>
      <c r="C588" s="3">
        <v>3.7870933395161364E-2</v>
      </c>
    </row>
    <row r="589" spans="1:3" x14ac:dyDescent="0.25">
      <c r="A589" t="s">
        <v>157</v>
      </c>
      <c r="B589" t="s">
        <v>216</v>
      </c>
      <c r="C589" s="3">
        <v>1.3449490364636746E-2</v>
      </c>
    </row>
    <row r="590" spans="1:3" x14ac:dyDescent="0.25">
      <c r="A590" t="s">
        <v>157</v>
      </c>
      <c r="B590" t="s">
        <v>217</v>
      </c>
      <c r="C590" s="3">
        <v>3.539339569641249E-3</v>
      </c>
    </row>
    <row r="591" spans="1:3" x14ac:dyDescent="0.25">
      <c r="A591" t="s">
        <v>157</v>
      </c>
      <c r="B591" t="s">
        <v>218</v>
      </c>
      <c r="C591" s="3">
        <v>2.4775376987488744E-3</v>
      </c>
    </row>
    <row r="592" spans="1:3" x14ac:dyDescent="0.25">
      <c r="A592" t="s">
        <v>158</v>
      </c>
      <c r="B592" t="s">
        <v>214</v>
      </c>
      <c r="C592" s="3">
        <v>4.3533876706587357E-2</v>
      </c>
    </row>
    <row r="593" spans="1:3" x14ac:dyDescent="0.25">
      <c r="A593" t="s">
        <v>158</v>
      </c>
      <c r="B593" t="s">
        <v>215</v>
      </c>
      <c r="C593" s="3">
        <v>3.7870933395161364E-2</v>
      </c>
    </row>
    <row r="594" spans="1:3" x14ac:dyDescent="0.25">
      <c r="A594" t="s">
        <v>158</v>
      </c>
      <c r="B594" t="s">
        <v>216</v>
      </c>
      <c r="C594" s="3">
        <v>1.3449490364636746E-2</v>
      </c>
    </row>
    <row r="595" spans="1:3" x14ac:dyDescent="0.25">
      <c r="A595" t="s">
        <v>158</v>
      </c>
      <c r="B595" t="s">
        <v>217</v>
      </c>
      <c r="C595" s="3">
        <v>3.539339569641249E-3</v>
      </c>
    </row>
    <row r="596" spans="1:3" x14ac:dyDescent="0.25">
      <c r="A596" t="s">
        <v>158</v>
      </c>
      <c r="B596" t="s">
        <v>218</v>
      </c>
      <c r="C596" s="3">
        <v>2.4775376987488744E-3</v>
      </c>
    </row>
    <row r="597" spans="1:3" x14ac:dyDescent="0.25">
      <c r="A597" t="s">
        <v>159</v>
      </c>
      <c r="B597" t="s">
        <v>214</v>
      </c>
      <c r="C597" s="3">
        <v>4.3533876706587357E-2</v>
      </c>
    </row>
    <row r="598" spans="1:3" x14ac:dyDescent="0.25">
      <c r="A598" t="s">
        <v>159</v>
      </c>
      <c r="B598" t="s">
        <v>215</v>
      </c>
      <c r="C598" s="3">
        <v>3.7870933395161364E-2</v>
      </c>
    </row>
    <row r="599" spans="1:3" x14ac:dyDescent="0.25">
      <c r="A599" t="s">
        <v>159</v>
      </c>
      <c r="B599" t="s">
        <v>216</v>
      </c>
      <c r="C599" s="3">
        <v>1.3449490364636746E-2</v>
      </c>
    </row>
    <row r="600" spans="1:3" x14ac:dyDescent="0.25">
      <c r="A600" t="s">
        <v>159</v>
      </c>
      <c r="B600" t="s">
        <v>217</v>
      </c>
      <c r="C600" s="3">
        <v>3.539339569641249E-3</v>
      </c>
    </row>
    <row r="601" spans="1:3" x14ac:dyDescent="0.25">
      <c r="A601" t="s">
        <v>159</v>
      </c>
      <c r="B601" t="s">
        <v>218</v>
      </c>
      <c r="C601" s="3">
        <v>2.4775376987488744E-3</v>
      </c>
    </row>
    <row r="602" spans="1:3" x14ac:dyDescent="0.25">
      <c r="A602" t="s">
        <v>160</v>
      </c>
      <c r="B602" t="s">
        <v>214</v>
      </c>
      <c r="C602" s="3">
        <v>4.3533876706587357E-2</v>
      </c>
    </row>
    <row r="603" spans="1:3" x14ac:dyDescent="0.25">
      <c r="A603" t="s">
        <v>160</v>
      </c>
      <c r="B603" t="s">
        <v>215</v>
      </c>
      <c r="C603" s="3">
        <v>3.7870933395161364E-2</v>
      </c>
    </row>
    <row r="604" spans="1:3" x14ac:dyDescent="0.25">
      <c r="A604" t="s">
        <v>160</v>
      </c>
      <c r="B604" t="s">
        <v>216</v>
      </c>
      <c r="C604" s="3">
        <v>1.3449490364636746E-2</v>
      </c>
    </row>
    <row r="605" spans="1:3" x14ac:dyDescent="0.25">
      <c r="A605" t="s">
        <v>160</v>
      </c>
      <c r="B605" t="s">
        <v>217</v>
      </c>
      <c r="C605" s="3">
        <v>3.539339569641249E-3</v>
      </c>
    </row>
    <row r="606" spans="1:3" x14ac:dyDescent="0.25">
      <c r="A606" t="s">
        <v>160</v>
      </c>
      <c r="B606" t="s">
        <v>218</v>
      </c>
      <c r="C606" s="3">
        <v>2.4775376987488744E-3</v>
      </c>
    </row>
    <row r="607" spans="1:3" x14ac:dyDescent="0.25">
      <c r="A607" t="s">
        <v>161</v>
      </c>
      <c r="B607" t="s">
        <v>214</v>
      </c>
      <c r="C607" s="3">
        <v>4.3533876706587357E-2</v>
      </c>
    </row>
    <row r="608" spans="1:3" x14ac:dyDescent="0.25">
      <c r="A608" t="s">
        <v>161</v>
      </c>
      <c r="B608" t="s">
        <v>215</v>
      </c>
      <c r="C608" s="3">
        <v>3.7870933395161364E-2</v>
      </c>
    </row>
    <row r="609" spans="1:3" x14ac:dyDescent="0.25">
      <c r="A609" t="s">
        <v>161</v>
      </c>
      <c r="B609" t="s">
        <v>216</v>
      </c>
      <c r="C609" s="3">
        <v>1.3449490364636746E-2</v>
      </c>
    </row>
    <row r="610" spans="1:3" x14ac:dyDescent="0.25">
      <c r="A610" t="s">
        <v>161</v>
      </c>
      <c r="B610" t="s">
        <v>217</v>
      </c>
      <c r="C610" s="3">
        <v>3.539339569641249E-3</v>
      </c>
    </row>
    <row r="611" spans="1:3" x14ac:dyDescent="0.25">
      <c r="A611" t="s">
        <v>161</v>
      </c>
      <c r="B611" t="s">
        <v>218</v>
      </c>
      <c r="C611" s="3">
        <v>2.4775376987488744E-3</v>
      </c>
    </row>
    <row r="612" spans="1:3" x14ac:dyDescent="0.25">
      <c r="A612" t="s">
        <v>162</v>
      </c>
      <c r="B612" t="s">
        <v>214</v>
      </c>
      <c r="C612" s="3">
        <v>4.3533876706587357E-2</v>
      </c>
    </row>
    <row r="613" spans="1:3" x14ac:dyDescent="0.25">
      <c r="A613" t="s">
        <v>162</v>
      </c>
      <c r="B613" t="s">
        <v>215</v>
      </c>
      <c r="C613" s="3">
        <v>3.7870933395161364E-2</v>
      </c>
    </row>
    <row r="614" spans="1:3" x14ac:dyDescent="0.25">
      <c r="A614" t="s">
        <v>162</v>
      </c>
      <c r="B614" t="s">
        <v>216</v>
      </c>
      <c r="C614" s="3">
        <v>1.3449490364636746E-2</v>
      </c>
    </row>
    <row r="615" spans="1:3" x14ac:dyDescent="0.25">
      <c r="A615" t="s">
        <v>162</v>
      </c>
      <c r="B615" t="s">
        <v>217</v>
      </c>
      <c r="C615" s="3">
        <v>3.539339569641249E-3</v>
      </c>
    </row>
    <row r="616" spans="1:3" x14ac:dyDescent="0.25">
      <c r="A616" t="s">
        <v>162</v>
      </c>
      <c r="B616" t="s">
        <v>218</v>
      </c>
      <c r="C616" s="3">
        <v>2.4775376987488744E-3</v>
      </c>
    </row>
    <row r="617" spans="1:3" x14ac:dyDescent="0.25">
      <c r="A617" t="s">
        <v>163</v>
      </c>
      <c r="B617" t="s">
        <v>214</v>
      </c>
      <c r="C617" s="3">
        <v>4.3533876706587357E-2</v>
      </c>
    </row>
    <row r="618" spans="1:3" x14ac:dyDescent="0.25">
      <c r="A618" t="s">
        <v>163</v>
      </c>
      <c r="B618" t="s">
        <v>215</v>
      </c>
      <c r="C618" s="3">
        <v>3.7870933395161364E-2</v>
      </c>
    </row>
    <row r="619" spans="1:3" x14ac:dyDescent="0.25">
      <c r="A619" t="s">
        <v>163</v>
      </c>
      <c r="B619" t="s">
        <v>216</v>
      </c>
      <c r="C619" s="3">
        <v>1.3449490364636746E-2</v>
      </c>
    </row>
    <row r="620" spans="1:3" x14ac:dyDescent="0.25">
      <c r="A620" t="s">
        <v>163</v>
      </c>
      <c r="B620" t="s">
        <v>217</v>
      </c>
      <c r="C620" s="3">
        <v>3.539339569641249E-3</v>
      </c>
    </row>
    <row r="621" spans="1:3" x14ac:dyDescent="0.25">
      <c r="A621" t="s">
        <v>163</v>
      </c>
      <c r="B621" t="s">
        <v>218</v>
      </c>
      <c r="C621" s="3">
        <v>2.4775376987488744E-3</v>
      </c>
    </row>
    <row r="622" spans="1:3" x14ac:dyDescent="0.25">
      <c r="A622" t="s">
        <v>164</v>
      </c>
      <c r="B622" t="s">
        <v>214</v>
      </c>
      <c r="C622" s="3">
        <v>4.3533876706587357E-2</v>
      </c>
    </row>
    <row r="623" spans="1:3" x14ac:dyDescent="0.25">
      <c r="A623" t="s">
        <v>164</v>
      </c>
      <c r="B623" t="s">
        <v>215</v>
      </c>
      <c r="C623" s="3">
        <v>3.7870933395161364E-2</v>
      </c>
    </row>
    <row r="624" spans="1:3" x14ac:dyDescent="0.25">
      <c r="A624" t="s">
        <v>164</v>
      </c>
      <c r="B624" t="s">
        <v>216</v>
      </c>
      <c r="C624" s="3">
        <v>1.3449490364636746E-2</v>
      </c>
    </row>
    <row r="625" spans="1:3" x14ac:dyDescent="0.25">
      <c r="A625" t="s">
        <v>164</v>
      </c>
      <c r="B625" t="s">
        <v>217</v>
      </c>
      <c r="C625" s="3">
        <v>3.539339569641249E-3</v>
      </c>
    </row>
    <row r="626" spans="1:3" x14ac:dyDescent="0.25">
      <c r="A626" t="s">
        <v>164</v>
      </c>
      <c r="B626" t="s">
        <v>218</v>
      </c>
      <c r="C626" s="3">
        <v>2.4775376987488744E-3</v>
      </c>
    </row>
    <row r="627" spans="1:3" x14ac:dyDescent="0.25">
      <c r="A627" t="s">
        <v>165</v>
      </c>
      <c r="B627" t="s">
        <v>214</v>
      </c>
      <c r="C627" s="3">
        <v>4.3533876706587357E-2</v>
      </c>
    </row>
    <row r="628" spans="1:3" x14ac:dyDescent="0.25">
      <c r="A628" t="s">
        <v>165</v>
      </c>
      <c r="B628" t="s">
        <v>215</v>
      </c>
      <c r="C628" s="3">
        <v>3.7870933395161364E-2</v>
      </c>
    </row>
    <row r="629" spans="1:3" x14ac:dyDescent="0.25">
      <c r="A629" t="s">
        <v>165</v>
      </c>
      <c r="B629" t="s">
        <v>216</v>
      </c>
      <c r="C629" s="3">
        <v>1.3449490364636746E-2</v>
      </c>
    </row>
    <row r="630" spans="1:3" x14ac:dyDescent="0.25">
      <c r="A630" t="s">
        <v>165</v>
      </c>
      <c r="B630" t="s">
        <v>217</v>
      </c>
      <c r="C630" s="3">
        <v>3.539339569641249E-3</v>
      </c>
    </row>
    <row r="631" spans="1:3" x14ac:dyDescent="0.25">
      <c r="A631" t="s">
        <v>165</v>
      </c>
      <c r="B631" t="s">
        <v>218</v>
      </c>
      <c r="C631" s="3">
        <v>2.4775376987488744E-3</v>
      </c>
    </row>
    <row r="632" spans="1:3" x14ac:dyDescent="0.25">
      <c r="A632" t="s">
        <v>166</v>
      </c>
      <c r="B632" t="s">
        <v>214</v>
      </c>
      <c r="C632" s="3">
        <v>4.3533876706587357E-2</v>
      </c>
    </row>
    <row r="633" spans="1:3" x14ac:dyDescent="0.25">
      <c r="A633" t="s">
        <v>166</v>
      </c>
      <c r="B633" t="s">
        <v>215</v>
      </c>
      <c r="C633" s="3">
        <v>3.7870933395161364E-2</v>
      </c>
    </row>
    <row r="634" spans="1:3" x14ac:dyDescent="0.25">
      <c r="A634" t="s">
        <v>166</v>
      </c>
      <c r="B634" t="s">
        <v>216</v>
      </c>
      <c r="C634" s="3">
        <v>1.3449490364636746E-2</v>
      </c>
    </row>
    <row r="635" spans="1:3" x14ac:dyDescent="0.25">
      <c r="A635" t="s">
        <v>166</v>
      </c>
      <c r="B635" t="s">
        <v>217</v>
      </c>
      <c r="C635" s="3">
        <v>3.539339569641249E-3</v>
      </c>
    </row>
    <row r="636" spans="1:3" x14ac:dyDescent="0.25">
      <c r="A636" t="s">
        <v>166</v>
      </c>
      <c r="B636" t="s">
        <v>218</v>
      </c>
      <c r="C636" s="3">
        <v>2.4775376987488744E-3</v>
      </c>
    </row>
    <row r="637" spans="1:3" x14ac:dyDescent="0.25">
      <c r="A637" t="s">
        <v>167</v>
      </c>
      <c r="B637" t="s">
        <v>214</v>
      </c>
      <c r="C637" s="3">
        <v>4.3533876706587357E-2</v>
      </c>
    </row>
    <row r="638" spans="1:3" x14ac:dyDescent="0.25">
      <c r="A638" t="s">
        <v>167</v>
      </c>
      <c r="B638" t="s">
        <v>215</v>
      </c>
      <c r="C638" s="3">
        <v>3.7870933395161364E-2</v>
      </c>
    </row>
    <row r="639" spans="1:3" x14ac:dyDescent="0.25">
      <c r="A639" t="s">
        <v>167</v>
      </c>
      <c r="B639" t="s">
        <v>216</v>
      </c>
      <c r="C639" s="3">
        <v>1.3449490364636746E-2</v>
      </c>
    </row>
    <row r="640" spans="1:3" x14ac:dyDescent="0.25">
      <c r="A640" t="s">
        <v>167</v>
      </c>
      <c r="B640" t="s">
        <v>217</v>
      </c>
      <c r="C640" s="3">
        <v>3.539339569641249E-3</v>
      </c>
    </row>
    <row r="641" spans="1:3" x14ac:dyDescent="0.25">
      <c r="A641" t="s">
        <v>167</v>
      </c>
      <c r="B641" t="s">
        <v>218</v>
      </c>
      <c r="C641" s="3">
        <v>2.4775376987488744E-3</v>
      </c>
    </row>
    <row r="642" spans="1:3" x14ac:dyDescent="0.25">
      <c r="A642" t="s">
        <v>168</v>
      </c>
      <c r="B642" t="s">
        <v>214</v>
      </c>
      <c r="C642" s="3">
        <v>4.3533876706587357E-2</v>
      </c>
    </row>
    <row r="643" spans="1:3" x14ac:dyDescent="0.25">
      <c r="A643" t="s">
        <v>168</v>
      </c>
      <c r="B643" t="s">
        <v>215</v>
      </c>
      <c r="C643" s="3">
        <v>3.7870933395161364E-2</v>
      </c>
    </row>
    <row r="644" spans="1:3" x14ac:dyDescent="0.25">
      <c r="A644" t="s">
        <v>168</v>
      </c>
      <c r="B644" t="s">
        <v>216</v>
      </c>
      <c r="C644" s="3">
        <v>1.3449490364636746E-2</v>
      </c>
    </row>
    <row r="645" spans="1:3" x14ac:dyDescent="0.25">
      <c r="A645" t="s">
        <v>168</v>
      </c>
      <c r="B645" t="s">
        <v>217</v>
      </c>
      <c r="C645" s="3">
        <v>3.539339569641249E-3</v>
      </c>
    </row>
    <row r="646" spans="1:3" x14ac:dyDescent="0.25">
      <c r="A646" t="s">
        <v>168</v>
      </c>
      <c r="B646" t="s">
        <v>218</v>
      </c>
      <c r="C646" s="3">
        <v>2.4775376987488744E-3</v>
      </c>
    </row>
    <row r="647" spans="1:3" x14ac:dyDescent="0.25">
      <c r="A647" t="s">
        <v>169</v>
      </c>
      <c r="B647" t="s">
        <v>214</v>
      </c>
      <c r="C647" s="3">
        <v>4.3533876706587357E-2</v>
      </c>
    </row>
    <row r="648" spans="1:3" x14ac:dyDescent="0.25">
      <c r="A648" t="s">
        <v>169</v>
      </c>
      <c r="B648" t="s">
        <v>215</v>
      </c>
      <c r="C648" s="3">
        <v>3.7870933395161364E-2</v>
      </c>
    </row>
    <row r="649" spans="1:3" x14ac:dyDescent="0.25">
      <c r="A649" t="s">
        <v>169</v>
      </c>
      <c r="B649" t="s">
        <v>216</v>
      </c>
      <c r="C649" s="3">
        <v>1.3449490364636746E-2</v>
      </c>
    </row>
    <row r="650" spans="1:3" x14ac:dyDescent="0.25">
      <c r="A650" t="s">
        <v>169</v>
      </c>
      <c r="B650" t="s">
        <v>217</v>
      </c>
      <c r="C650" s="3">
        <v>3.539339569641249E-3</v>
      </c>
    </row>
    <row r="651" spans="1:3" x14ac:dyDescent="0.25">
      <c r="A651" t="s">
        <v>169</v>
      </c>
      <c r="B651" t="s">
        <v>218</v>
      </c>
      <c r="C651" s="3">
        <v>2.4775376987488744E-3</v>
      </c>
    </row>
    <row r="652" spans="1:3" x14ac:dyDescent="0.25">
      <c r="A652" t="s">
        <v>170</v>
      </c>
      <c r="B652" t="s">
        <v>214</v>
      </c>
      <c r="C652" s="3">
        <v>4.3533876706587357E-2</v>
      </c>
    </row>
    <row r="653" spans="1:3" x14ac:dyDescent="0.25">
      <c r="A653" t="s">
        <v>170</v>
      </c>
      <c r="B653" t="s">
        <v>215</v>
      </c>
      <c r="C653" s="3">
        <v>3.7870933395161364E-2</v>
      </c>
    </row>
    <row r="654" spans="1:3" x14ac:dyDescent="0.25">
      <c r="A654" t="s">
        <v>170</v>
      </c>
      <c r="B654" t="s">
        <v>216</v>
      </c>
      <c r="C654" s="3">
        <v>1.3449490364636746E-2</v>
      </c>
    </row>
    <row r="655" spans="1:3" x14ac:dyDescent="0.25">
      <c r="A655" t="s">
        <v>170</v>
      </c>
      <c r="B655" t="s">
        <v>217</v>
      </c>
      <c r="C655" s="3">
        <v>3.539339569641249E-3</v>
      </c>
    </row>
    <row r="656" spans="1:3" x14ac:dyDescent="0.25">
      <c r="A656" t="s">
        <v>170</v>
      </c>
      <c r="B656" t="s">
        <v>218</v>
      </c>
      <c r="C656" s="3">
        <v>2.4775376987488744E-3</v>
      </c>
    </row>
    <row r="657" spans="1:3" x14ac:dyDescent="0.25">
      <c r="A657" t="s">
        <v>171</v>
      </c>
      <c r="B657" t="s">
        <v>214</v>
      </c>
      <c r="C657" s="3">
        <v>4.3533876706587357E-2</v>
      </c>
    </row>
    <row r="658" spans="1:3" x14ac:dyDescent="0.25">
      <c r="A658" t="s">
        <v>171</v>
      </c>
      <c r="B658" t="s">
        <v>215</v>
      </c>
      <c r="C658" s="3">
        <v>3.7870933395161364E-2</v>
      </c>
    </row>
    <row r="659" spans="1:3" x14ac:dyDescent="0.25">
      <c r="A659" t="s">
        <v>171</v>
      </c>
      <c r="B659" t="s">
        <v>216</v>
      </c>
      <c r="C659" s="3">
        <v>1.3449490364636746E-2</v>
      </c>
    </row>
    <row r="660" spans="1:3" x14ac:dyDescent="0.25">
      <c r="A660" t="s">
        <v>171</v>
      </c>
      <c r="B660" t="s">
        <v>217</v>
      </c>
      <c r="C660" s="3">
        <v>3.539339569641249E-3</v>
      </c>
    </row>
    <row r="661" spans="1:3" x14ac:dyDescent="0.25">
      <c r="A661" t="s">
        <v>171</v>
      </c>
      <c r="B661" t="s">
        <v>218</v>
      </c>
      <c r="C661" s="3">
        <v>2.4775376987488744E-3</v>
      </c>
    </row>
    <row r="662" spans="1:3" x14ac:dyDescent="0.25">
      <c r="A662" t="s">
        <v>172</v>
      </c>
      <c r="B662" t="s">
        <v>214</v>
      </c>
      <c r="C662" s="3">
        <v>4.3533876706587357E-2</v>
      </c>
    </row>
    <row r="663" spans="1:3" x14ac:dyDescent="0.25">
      <c r="A663" t="s">
        <v>172</v>
      </c>
      <c r="B663" t="s">
        <v>215</v>
      </c>
      <c r="C663" s="3">
        <v>3.7870933395161364E-2</v>
      </c>
    </row>
    <row r="664" spans="1:3" x14ac:dyDescent="0.25">
      <c r="A664" t="s">
        <v>172</v>
      </c>
      <c r="B664" t="s">
        <v>216</v>
      </c>
      <c r="C664" s="3">
        <v>1.3449490364636746E-2</v>
      </c>
    </row>
    <row r="665" spans="1:3" x14ac:dyDescent="0.25">
      <c r="A665" t="s">
        <v>172</v>
      </c>
      <c r="B665" t="s">
        <v>217</v>
      </c>
      <c r="C665" s="3">
        <v>3.539339569641249E-3</v>
      </c>
    </row>
    <row r="666" spans="1:3" x14ac:dyDescent="0.25">
      <c r="A666" t="s">
        <v>172</v>
      </c>
      <c r="B666" t="s">
        <v>218</v>
      </c>
      <c r="C666" s="3">
        <v>2.4775376987488744E-3</v>
      </c>
    </row>
    <row r="667" spans="1:3" x14ac:dyDescent="0.25">
      <c r="A667" t="s">
        <v>173</v>
      </c>
      <c r="B667" t="s">
        <v>214</v>
      </c>
      <c r="C667" s="3">
        <v>4.3533876706587357E-2</v>
      </c>
    </row>
    <row r="668" spans="1:3" x14ac:dyDescent="0.25">
      <c r="A668" t="s">
        <v>173</v>
      </c>
      <c r="B668" t="s">
        <v>215</v>
      </c>
      <c r="C668" s="3">
        <v>3.7870933395161364E-2</v>
      </c>
    </row>
    <row r="669" spans="1:3" x14ac:dyDescent="0.25">
      <c r="A669" t="s">
        <v>173</v>
      </c>
      <c r="B669" t="s">
        <v>216</v>
      </c>
      <c r="C669" s="3">
        <v>1.3449490364636746E-2</v>
      </c>
    </row>
    <row r="670" spans="1:3" x14ac:dyDescent="0.25">
      <c r="A670" t="s">
        <v>173</v>
      </c>
      <c r="B670" t="s">
        <v>217</v>
      </c>
      <c r="C670" s="3">
        <v>3.539339569641249E-3</v>
      </c>
    </row>
    <row r="671" spans="1:3" x14ac:dyDescent="0.25">
      <c r="A671" t="s">
        <v>173</v>
      </c>
      <c r="B671" t="s">
        <v>218</v>
      </c>
      <c r="C671" s="3">
        <v>2.4775376987488744E-3</v>
      </c>
    </row>
    <row r="672" spans="1:3" x14ac:dyDescent="0.25">
      <c r="A672" t="s">
        <v>174</v>
      </c>
      <c r="B672" t="s">
        <v>214</v>
      </c>
      <c r="C672" s="3">
        <v>4.3533876706587357E-2</v>
      </c>
    </row>
    <row r="673" spans="1:3" x14ac:dyDescent="0.25">
      <c r="A673" t="s">
        <v>174</v>
      </c>
      <c r="B673" t="s">
        <v>215</v>
      </c>
      <c r="C673" s="3">
        <v>3.7870933395161364E-2</v>
      </c>
    </row>
    <row r="674" spans="1:3" x14ac:dyDescent="0.25">
      <c r="A674" t="s">
        <v>174</v>
      </c>
      <c r="B674" t="s">
        <v>216</v>
      </c>
      <c r="C674" s="3">
        <v>1.3449490364636746E-2</v>
      </c>
    </row>
    <row r="675" spans="1:3" x14ac:dyDescent="0.25">
      <c r="A675" t="s">
        <v>174</v>
      </c>
      <c r="B675" t="s">
        <v>217</v>
      </c>
      <c r="C675" s="3">
        <v>3.539339569641249E-3</v>
      </c>
    </row>
    <row r="676" spans="1:3" x14ac:dyDescent="0.25">
      <c r="A676" t="s">
        <v>174</v>
      </c>
      <c r="B676" t="s">
        <v>218</v>
      </c>
      <c r="C676" s="3">
        <v>2.4775376987488744E-3</v>
      </c>
    </row>
    <row r="677" spans="1:3" x14ac:dyDescent="0.25">
      <c r="A677" t="s">
        <v>175</v>
      </c>
      <c r="B677" t="s">
        <v>214</v>
      </c>
      <c r="C677" s="3">
        <v>4.3533876706587357E-2</v>
      </c>
    </row>
    <row r="678" spans="1:3" x14ac:dyDescent="0.25">
      <c r="A678" t="s">
        <v>175</v>
      </c>
      <c r="B678" t="s">
        <v>215</v>
      </c>
      <c r="C678" s="3">
        <v>3.7870933395161364E-2</v>
      </c>
    </row>
    <row r="679" spans="1:3" x14ac:dyDescent="0.25">
      <c r="A679" t="s">
        <v>175</v>
      </c>
      <c r="B679" t="s">
        <v>216</v>
      </c>
      <c r="C679" s="3">
        <v>1.3449490364636746E-2</v>
      </c>
    </row>
    <row r="680" spans="1:3" x14ac:dyDescent="0.25">
      <c r="A680" t="s">
        <v>175</v>
      </c>
      <c r="B680" t="s">
        <v>217</v>
      </c>
      <c r="C680" s="3">
        <v>3.539339569641249E-3</v>
      </c>
    </row>
    <row r="681" spans="1:3" x14ac:dyDescent="0.25">
      <c r="A681" t="s">
        <v>175</v>
      </c>
      <c r="B681" t="s">
        <v>218</v>
      </c>
      <c r="C681" s="3">
        <v>2.4775376987488744E-3</v>
      </c>
    </row>
    <row r="682" spans="1:3" x14ac:dyDescent="0.25">
      <c r="A682" t="s">
        <v>176</v>
      </c>
      <c r="B682" t="s">
        <v>214</v>
      </c>
      <c r="C682" s="3">
        <v>4.3533876706587357E-2</v>
      </c>
    </row>
    <row r="683" spans="1:3" x14ac:dyDescent="0.25">
      <c r="A683" t="s">
        <v>176</v>
      </c>
      <c r="B683" t="s">
        <v>215</v>
      </c>
      <c r="C683" s="3">
        <v>3.7870933395161364E-2</v>
      </c>
    </row>
    <row r="684" spans="1:3" x14ac:dyDescent="0.25">
      <c r="A684" t="s">
        <v>176</v>
      </c>
      <c r="B684" t="s">
        <v>216</v>
      </c>
      <c r="C684" s="3">
        <v>1.3449490364636746E-2</v>
      </c>
    </row>
    <row r="685" spans="1:3" x14ac:dyDescent="0.25">
      <c r="A685" t="s">
        <v>176</v>
      </c>
      <c r="B685" t="s">
        <v>217</v>
      </c>
      <c r="C685" s="3">
        <v>3.539339569641249E-3</v>
      </c>
    </row>
    <row r="686" spans="1:3" x14ac:dyDescent="0.25">
      <c r="A686" t="s">
        <v>176</v>
      </c>
      <c r="B686" t="s">
        <v>218</v>
      </c>
      <c r="C686" s="3">
        <v>2.4775376987488744E-3</v>
      </c>
    </row>
    <row r="687" spans="1:3" x14ac:dyDescent="0.25">
      <c r="A687" t="s">
        <v>177</v>
      </c>
      <c r="B687" t="s">
        <v>214</v>
      </c>
      <c r="C687" s="3">
        <v>4.3533876706587357E-2</v>
      </c>
    </row>
    <row r="688" spans="1:3" x14ac:dyDescent="0.25">
      <c r="A688" t="s">
        <v>177</v>
      </c>
      <c r="B688" t="s">
        <v>215</v>
      </c>
      <c r="C688" s="3">
        <v>3.7870933395161364E-2</v>
      </c>
    </row>
    <row r="689" spans="1:3" x14ac:dyDescent="0.25">
      <c r="A689" t="s">
        <v>177</v>
      </c>
      <c r="B689" t="s">
        <v>216</v>
      </c>
      <c r="C689" s="3">
        <v>1.3449490364636746E-2</v>
      </c>
    </row>
    <row r="690" spans="1:3" x14ac:dyDescent="0.25">
      <c r="A690" t="s">
        <v>177</v>
      </c>
      <c r="B690" t="s">
        <v>217</v>
      </c>
      <c r="C690" s="3">
        <v>3.539339569641249E-3</v>
      </c>
    </row>
    <row r="691" spans="1:3" x14ac:dyDescent="0.25">
      <c r="A691" t="s">
        <v>177</v>
      </c>
      <c r="B691" t="s">
        <v>218</v>
      </c>
      <c r="C691" s="3">
        <v>2.4775376987488744E-3</v>
      </c>
    </row>
    <row r="692" spans="1:3" x14ac:dyDescent="0.25">
      <c r="A692" t="s">
        <v>178</v>
      </c>
      <c r="B692" t="s">
        <v>214</v>
      </c>
      <c r="C692" s="3">
        <v>4.3533876706587357E-2</v>
      </c>
    </row>
    <row r="693" spans="1:3" x14ac:dyDescent="0.25">
      <c r="A693" t="s">
        <v>178</v>
      </c>
      <c r="B693" t="s">
        <v>215</v>
      </c>
      <c r="C693" s="3">
        <v>3.7870933395161364E-2</v>
      </c>
    </row>
    <row r="694" spans="1:3" x14ac:dyDescent="0.25">
      <c r="A694" t="s">
        <v>178</v>
      </c>
      <c r="B694" t="s">
        <v>216</v>
      </c>
      <c r="C694" s="3">
        <v>1.3449490364636746E-2</v>
      </c>
    </row>
    <row r="695" spans="1:3" x14ac:dyDescent="0.25">
      <c r="A695" t="s">
        <v>178</v>
      </c>
      <c r="B695" t="s">
        <v>217</v>
      </c>
      <c r="C695" s="3">
        <v>3.539339569641249E-3</v>
      </c>
    </row>
    <row r="696" spans="1:3" x14ac:dyDescent="0.25">
      <c r="A696" t="s">
        <v>178</v>
      </c>
      <c r="B696" t="s">
        <v>218</v>
      </c>
      <c r="C696" s="3">
        <v>2.4775376987488744E-3</v>
      </c>
    </row>
    <row r="697" spans="1:3" x14ac:dyDescent="0.25">
      <c r="A697" t="s">
        <v>179</v>
      </c>
      <c r="B697" t="s">
        <v>214</v>
      </c>
      <c r="C697" s="3">
        <v>4.3533876706587357E-2</v>
      </c>
    </row>
    <row r="698" spans="1:3" x14ac:dyDescent="0.25">
      <c r="A698" t="s">
        <v>179</v>
      </c>
      <c r="B698" t="s">
        <v>215</v>
      </c>
      <c r="C698" s="3">
        <v>3.7870933395161364E-2</v>
      </c>
    </row>
    <row r="699" spans="1:3" x14ac:dyDescent="0.25">
      <c r="A699" t="s">
        <v>179</v>
      </c>
      <c r="B699" t="s">
        <v>216</v>
      </c>
      <c r="C699" s="3">
        <v>1.3449490364636746E-2</v>
      </c>
    </row>
    <row r="700" spans="1:3" x14ac:dyDescent="0.25">
      <c r="A700" t="s">
        <v>179</v>
      </c>
      <c r="B700" t="s">
        <v>217</v>
      </c>
      <c r="C700" s="3">
        <v>3.539339569641249E-3</v>
      </c>
    </row>
    <row r="701" spans="1:3" x14ac:dyDescent="0.25">
      <c r="A701" t="s">
        <v>179</v>
      </c>
      <c r="B701" t="s">
        <v>218</v>
      </c>
      <c r="C701" s="3">
        <v>2.4775376987488744E-3</v>
      </c>
    </row>
    <row r="702" spans="1:3" x14ac:dyDescent="0.25">
      <c r="A702" t="s">
        <v>180</v>
      </c>
      <c r="B702" t="s">
        <v>214</v>
      </c>
      <c r="C702" s="3">
        <v>4.3533876706587357E-2</v>
      </c>
    </row>
    <row r="703" spans="1:3" x14ac:dyDescent="0.25">
      <c r="A703" t="s">
        <v>180</v>
      </c>
      <c r="B703" t="s">
        <v>215</v>
      </c>
      <c r="C703" s="3">
        <v>3.7870933395161364E-2</v>
      </c>
    </row>
    <row r="704" spans="1:3" x14ac:dyDescent="0.25">
      <c r="A704" t="s">
        <v>180</v>
      </c>
      <c r="B704" t="s">
        <v>216</v>
      </c>
      <c r="C704" s="3">
        <v>1.3449490364636746E-2</v>
      </c>
    </row>
    <row r="705" spans="1:3" x14ac:dyDescent="0.25">
      <c r="A705" t="s">
        <v>180</v>
      </c>
      <c r="B705" t="s">
        <v>217</v>
      </c>
      <c r="C705" s="3">
        <v>3.539339569641249E-3</v>
      </c>
    </row>
    <row r="706" spans="1:3" x14ac:dyDescent="0.25">
      <c r="A706" t="s">
        <v>180</v>
      </c>
      <c r="B706" t="s">
        <v>218</v>
      </c>
      <c r="C706" s="3">
        <v>2.4775376987488744E-3</v>
      </c>
    </row>
    <row r="707" spans="1:3" x14ac:dyDescent="0.25">
      <c r="A707" t="s">
        <v>181</v>
      </c>
      <c r="B707" t="s">
        <v>214</v>
      </c>
      <c r="C707" s="3">
        <v>4.3533876706587357E-2</v>
      </c>
    </row>
    <row r="708" spans="1:3" x14ac:dyDescent="0.25">
      <c r="A708" t="s">
        <v>181</v>
      </c>
      <c r="B708" t="s">
        <v>215</v>
      </c>
      <c r="C708" s="3">
        <v>3.7870933395161364E-2</v>
      </c>
    </row>
    <row r="709" spans="1:3" x14ac:dyDescent="0.25">
      <c r="A709" t="s">
        <v>181</v>
      </c>
      <c r="B709" t="s">
        <v>216</v>
      </c>
      <c r="C709" s="3">
        <v>1.3449490364636746E-2</v>
      </c>
    </row>
    <row r="710" spans="1:3" x14ac:dyDescent="0.25">
      <c r="A710" t="s">
        <v>181</v>
      </c>
      <c r="B710" t="s">
        <v>217</v>
      </c>
      <c r="C710" s="3">
        <v>3.539339569641249E-3</v>
      </c>
    </row>
    <row r="711" spans="1:3" x14ac:dyDescent="0.25">
      <c r="A711" t="s">
        <v>181</v>
      </c>
      <c r="B711" t="s">
        <v>218</v>
      </c>
      <c r="C711" s="3">
        <v>2.4775376987488744E-3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3"/>
  <sheetViews>
    <sheetView workbookViewId="0"/>
  </sheetViews>
  <sheetFormatPr baseColWidth="10" defaultColWidth="8.7109375" defaultRowHeight="15" x14ac:dyDescent="0.25"/>
  <sheetData>
    <row r="1" spans="1:3" x14ac:dyDescent="0.25">
      <c r="A1" t="s">
        <v>224</v>
      </c>
      <c r="B1" t="s">
        <v>225</v>
      </c>
      <c r="C1" t="s">
        <v>226</v>
      </c>
    </row>
    <row r="2" spans="1:3" x14ac:dyDescent="0.25">
      <c r="A2">
        <v>1</v>
      </c>
      <c r="B2" t="s">
        <v>227</v>
      </c>
      <c r="C2">
        <v>2.351E-2</v>
      </c>
    </row>
    <row r="3" spans="1:3" x14ac:dyDescent="0.25">
      <c r="A3">
        <v>2</v>
      </c>
      <c r="B3" t="s">
        <v>227</v>
      </c>
      <c r="C3">
        <v>2.351E-2</v>
      </c>
    </row>
    <row r="4" spans="1:3" x14ac:dyDescent="0.25">
      <c r="A4">
        <v>3</v>
      </c>
      <c r="B4" t="s">
        <v>227</v>
      </c>
      <c r="C4">
        <v>2.351E-2</v>
      </c>
    </row>
    <row r="5" spans="1:3" x14ac:dyDescent="0.25">
      <c r="A5">
        <v>4</v>
      </c>
      <c r="B5" t="s">
        <v>227</v>
      </c>
      <c r="C5">
        <v>2.351E-2</v>
      </c>
    </row>
    <row r="6" spans="1:3" x14ac:dyDescent="0.25">
      <c r="A6">
        <v>5</v>
      </c>
      <c r="B6" t="s">
        <v>227</v>
      </c>
      <c r="C6">
        <v>1.9470000000000001E-2</v>
      </c>
    </row>
    <row r="7" spans="1:3" x14ac:dyDescent="0.25">
      <c r="A7">
        <v>6</v>
      </c>
      <c r="B7" t="s">
        <v>227</v>
      </c>
      <c r="C7">
        <v>1.644E-2</v>
      </c>
    </row>
    <row r="8" spans="1:3" x14ac:dyDescent="0.25">
      <c r="A8">
        <v>7</v>
      </c>
      <c r="B8" t="s">
        <v>227</v>
      </c>
      <c r="C8">
        <v>1.644E-2</v>
      </c>
    </row>
    <row r="9" spans="1:3" x14ac:dyDescent="0.25">
      <c r="A9">
        <v>8</v>
      </c>
      <c r="B9" t="s">
        <v>227</v>
      </c>
      <c r="C9">
        <v>1.644E-2</v>
      </c>
    </row>
    <row r="10" spans="1:3" x14ac:dyDescent="0.25">
      <c r="A10">
        <v>9</v>
      </c>
      <c r="B10" t="s">
        <v>227</v>
      </c>
      <c r="C10">
        <v>1.7770000000000001E-2</v>
      </c>
    </row>
    <row r="11" spans="1:3" x14ac:dyDescent="0.25">
      <c r="A11">
        <v>10</v>
      </c>
      <c r="B11" t="s">
        <v>228</v>
      </c>
      <c r="C11">
        <v>1.8780000000000002E-2</v>
      </c>
    </row>
    <row r="12" spans="1:3" x14ac:dyDescent="0.25">
      <c r="A12">
        <v>11</v>
      </c>
      <c r="B12" t="s">
        <v>228</v>
      </c>
      <c r="C12">
        <v>1.8780000000000002E-2</v>
      </c>
    </row>
    <row r="13" spans="1:3" x14ac:dyDescent="0.25">
      <c r="A13">
        <v>12</v>
      </c>
      <c r="B13" t="s">
        <v>228</v>
      </c>
      <c r="C13">
        <v>1.8780000000000002E-2</v>
      </c>
    </row>
    <row r="14" spans="1:3" x14ac:dyDescent="0.25">
      <c r="A14">
        <v>13</v>
      </c>
      <c r="B14" t="s">
        <v>228</v>
      </c>
      <c r="C14">
        <v>1.8339999999999999E-2</v>
      </c>
    </row>
    <row r="15" spans="1:3" x14ac:dyDescent="0.25">
      <c r="A15">
        <v>14</v>
      </c>
      <c r="B15" t="s">
        <v>228</v>
      </c>
      <c r="C15">
        <v>1.5709999999999998E-2</v>
      </c>
    </row>
    <row r="16" spans="1:3" x14ac:dyDescent="0.25">
      <c r="A16">
        <v>15</v>
      </c>
      <c r="B16" t="s">
        <v>228</v>
      </c>
      <c r="C16">
        <v>1.5709999999999998E-2</v>
      </c>
    </row>
    <row r="17" spans="1:3" x14ac:dyDescent="0.25">
      <c r="A17">
        <v>16</v>
      </c>
      <c r="B17" t="s">
        <v>228</v>
      </c>
      <c r="C17">
        <v>1.5709999999999998E-2</v>
      </c>
    </row>
    <row r="18" spans="1:3" x14ac:dyDescent="0.25">
      <c r="A18">
        <v>17</v>
      </c>
      <c r="B18" t="s">
        <v>228</v>
      </c>
      <c r="C18">
        <v>1.5709999999999998E-2</v>
      </c>
    </row>
    <row r="19" spans="1:3" x14ac:dyDescent="0.25">
      <c r="A19">
        <v>18</v>
      </c>
      <c r="B19" t="s">
        <v>228</v>
      </c>
      <c r="C19">
        <v>1.5570000000000001E-2</v>
      </c>
    </row>
    <row r="20" spans="1:3" x14ac:dyDescent="0.25">
      <c r="A20">
        <v>19</v>
      </c>
      <c r="B20" t="s">
        <v>228</v>
      </c>
      <c r="C20">
        <v>1.555E-2</v>
      </c>
    </row>
    <row r="21" spans="1:3" x14ac:dyDescent="0.25">
      <c r="A21">
        <v>20</v>
      </c>
      <c r="B21" t="s">
        <v>228</v>
      </c>
      <c r="C21">
        <v>1.555E-2</v>
      </c>
    </row>
    <row r="22" spans="1:3" x14ac:dyDescent="0.25">
      <c r="A22">
        <v>21</v>
      </c>
      <c r="B22" t="s">
        <v>228</v>
      </c>
      <c r="C22">
        <v>1.555E-2</v>
      </c>
    </row>
    <row r="23" spans="1:3" x14ac:dyDescent="0.25">
      <c r="A23">
        <v>22</v>
      </c>
      <c r="B23" t="s">
        <v>228</v>
      </c>
      <c r="C23">
        <v>1.512E-2</v>
      </c>
    </row>
    <row r="24" spans="1:3" x14ac:dyDescent="0.25">
      <c r="A24">
        <v>23</v>
      </c>
      <c r="B24" t="s">
        <v>228</v>
      </c>
      <c r="C24">
        <v>1.455E-2</v>
      </c>
    </row>
    <row r="25" spans="1:3" x14ac:dyDescent="0.25">
      <c r="A25">
        <v>24</v>
      </c>
      <c r="B25" t="s">
        <v>228</v>
      </c>
      <c r="C25">
        <v>1.455E-2</v>
      </c>
    </row>
    <row r="26" spans="1:3" x14ac:dyDescent="0.25">
      <c r="A26">
        <v>25</v>
      </c>
      <c r="B26" t="s">
        <v>228</v>
      </c>
      <c r="C26">
        <v>1.455E-2</v>
      </c>
    </row>
    <row r="27" spans="1:3" x14ac:dyDescent="0.25">
      <c r="A27">
        <v>26</v>
      </c>
      <c r="B27" t="s">
        <v>228</v>
      </c>
      <c r="C27">
        <v>1.5010000000000001E-2</v>
      </c>
    </row>
    <row r="28" spans="1:3" x14ac:dyDescent="0.25">
      <c r="A28">
        <v>27</v>
      </c>
      <c r="B28" t="s">
        <v>228</v>
      </c>
      <c r="C28">
        <v>1.7819999999999999E-2</v>
      </c>
    </row>
    <row r="29" spans="1:3" x14ac:dyDescent="0.25">
      <c r="A29">
        <v>28</v>
      </c>
      <c r="B29" t="s">
        <v>228</v>
      </c>
      <c r="C29">
        <v>1.7819999999999999E-2</v>
      </c>
    </row>
    <row r="30" spans="1:3" x14ac:dyDescent="0.25">
      <c r="A30">
        <v>29</v>
      </c>
      <c r="B30" t="s">
        <v>228</v>
      </c>
      <c r="C30">
        <v>1.7819999999999999E-2</v>
      </c>
    </row>
    <row r="31" spans="1:3" x14ac:dyDescent="0.25">
      <c r="A31">
        <v>30</v>
      </c>
      <c r="B31" t="s">
        <v>228</v>
      </c>
      <c r="C31">
        <v>1.7819999999999999E-2</v>
      </c>
    </row>
    <row r="32" spans="1:3" x14ac:dyDescent="0.25">
      <c r="A32">
        <v>31</v>
      </c>
      <c r="B32" t="s">
        <v>228</v>
      </c>
      <c r="C32">
        <v>1.8290000000000001E-2</v>
      </c>
    </row>
    <row r="33" spans="1:3" x14ac:dyDescent="0.25">
      <c r="A33">
        <v>32</v>
      </c>
      <c r="B33" t="s">
        <v>228</v>
      </c>
      <c r="C33">
        <v>1.847E-2</v>
      </c>
    </row>
    <row r="34" spans="1:3" x14ac:dyDescent="0.25">
      <c r="A34">
        <v>33</v>
      </c>
      <c r="B34" t="s">
        <v>228</v>
      </c>
      <c r="C34">
        <v>1.847E-2</v>
      </c>
    </row>
    <row r="35" spans="1:3" x14ac:dyDescent="0.25">
      <c r="A35">
        <v>34</v>
      </c>
      <c r="B35" t="s">
        <v>228</v>
      </c>
      <c r="C35">
        <v>1.847E-2</v>
      </c>
    </row>
    <row r="36" spans="1:3" x14ac:dyDescent="0.25">
      <c r="A36">
        <v>35</v>
      </c>
      <c r="B36" t="s">
        <v>228</v>
      </c>
      <c r="C36">
        <v>1.8700000000000001E-2</v>
      </c>
    </row>
    <row r="37" spans="1:3" x14ac:dyDescent="0.25">
      <c r="A37">
        <v>36</v>
      </c>
      <c r="B37" t="s">
        <v>228</v>
      </c>
      <c r="C37">
        <v>1.9279999999999999E-2</v>
      </c>
    </row>
    <row r="38" spans="1:3" x14ac:dyDescent="0.25">
      <c r="A38">
        <v>37</v>
      </c>
      <c r="B38" t="s">
        <v>228</v>
      </c>
      <c r="C38">
        <v>1.9279999999999999E-2</v>
      </c>
    </row>
    <row r="39" spans="1:3" x14ac:dyDescent="0.25">
      <c r="A39">
        <v>38</v>
      </c>
      <c r="B39" t="s">
        <v>228</v>
      </c>
      <c r="C39">
        <v>1.9279999999999999E-2</v>
      </c>
    </row>
    <row r="40" spans="1:3" x14ac:dyDescent="0.25">
      <c r="A40">
        <v>39</v>
      </c>
      <c r="B40" t="s">
        <v>228</v>
      </c>
      <c r="C40">
        <v>1.9279999999999999E-2</v>
      </c>
    </row>
    <row r="41" spans="1:3" x14ac:dyDescent="0.25">
      <c r="A41">
        <v>40</v>
      </c>
      <c r="B41" t="s">
        <v>228</v>
      </c>
      <c r="C41">
        <v>2.103E-2</v>
      </c>
    </row>
    <row r="42" spans="1:3" x14ac:dyDescent="0.25">
      <c r="A42">
        <v>41</v>
      </c>
      <c r="B42" t="s">
        <v>228</v>
      </c>
      <c r="C42">
        <v>2.103E-2</v>
      </c>
    </row>
    <row r="43" spans="1:3" x14ac:dyDescent="0.25">
      <c r="A43">
        <v>42</v>
      </c>
      <c r="B43" t="s">
        <v>228</v>
      </c>
      <c r="C43">
        <v>2.103E-2</v>
      </c>
    </row>
    <row r="44" spans="1:3" x14ac:dyDescent="0.25">
      <c r="A44">
        <v>43</v>
      </c>
      <c r="B44" t="s">
        <v>228</v>
      </c>
      <c r="C44">
        <v>2.103E-2</v>
      </c>
    </row>
    <row r="45" spans="1:3" x14ac:dyDescent="0.25">
      <c r="A45">
        <v>44</v>
      </c>
      <c r="B45" t="s">
        <v>228</v>
      </c>
      <c r="C45">
        <v>2.2499999999999999E-2</v>
      </c>
    </row>
    <row r="46" spans="1:3" x14ac:dyDescent="0.25">
      <c r="A46">
        <v>45</v>
      </c>
      <c r="B46" t="s">
        <v>228</v>
      </c>
      <c r="C46">
        <v>2.3609999999999999E-2</v>
      </c>
    </row>
    <row r="47" spans="1:3" x14ac:dyDescent="0.25">
      <c r="A47">
        <v>46</v>
      </c>
      <c r="B47" t="s">
        <v>228</v>
      </c>
      <c r="C47">
        <v>2.3609999999999999E-2</v>
      </c>
    </row>
    <row r="48" spans="1:3" x14ac:dyDescent="0.25">
      <c r="A48">
        <v>47</v>
      </c>
      <c r="B48" t="s">
        <v>228</v>
      </c>
      <c r="C48">
        <v>2.3609999999999999E-2</v>
      </c>
    </row>
    <row r="49" spans="1:3" x14ac:dyDescent="0.25">
      <c r="A49">
        <v>48</v>
      </c>
      <c r="B49" t="s">
        <v>227</v>
      </c>
      <c r="C49">
        <v>2.4250000000000001E-2</v>
      </c>
    </row>
    <row r="50" spans="1:3" x14ac:dyDescent="0.25">
      <c r="A50">
        <v>49</v>
      </c>
      <c r="B50" t="s">
        <v>227</v>
      </c>
      <c r="C50">
        <v>2.5850000000000001E-2</v>
      </c>
    </row>
    <row r="51" spans="1:3" x14ac:dyDescent="0.25">
      <c r="A51">
        <v>50</v>
      </c>
      <c r="B51" t="s">
        <v>227</v>
      </c>
      <c r="C51">
        <v>2.5850000000000001E-2</v>
      </c>
    </row>
    <row r="52" spans="1:3" x14ac:dyDescent="0.25">
      <c r="A52">
        <v>51</v>
      </c>
      <c r="B52" t="s">
        <v>227</v>
      </c>
      <c r="C52">
        <v>2.5850000000000001E-2</v>
      </c>
    </row>
    <row r="53" spans="1:3" x14ac:dyDescent="0.25">
      <c r="A53">
        <v>52</v>
      </c>
      <c r="B53" t="s">
        <v>227</v>
      </c>
      <c r="C53">
        <v>2.5829999999999999E-2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baseColWidth="10" defaultColWidth="8.7109375" defaultRowHeight="15" x14ac:dyDescent="0.25"/>
  <sheetData>
    <row r="1" spans="1:3" x14ac:dyDescent="0.25">
      <c r="A1" t="s">
        <v>32</v>
      </c>
      <c r="B1" t="s">
        <v>182</v>
      </c>
      <c r="C1" t="s">
        <v>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1"/>
  <sheetViews>
    <sheetView workbookViewId="0"/>
  </sheetViews>
  <sheetFormatPr baseColWidth="10" defaultColWidth="8.7109375" defaultRowHeight="15" x14ac:dyDescent="0.25"/>
  <sheetData>
    <row r="1" spans="1:2" x14ac:dyDescent="0.25">
      <c r="A1" t="s">
        <v>230</v>
      </c>
      <c r="B1" t="s">
        <v>213</v>
      </c>
    </row>
    <row r="2" spans="1:2" x14ac:dyDescent="0.25">
      <c r="A2" t="s">
        <v>231</v>
      </c>
      <c r="B2" t="s">
        <v>215</v>
      </c>
    </row>
    <row r="3" spans="1:2" x14ac:dyDescent="0.25">
      <c r="A3" t="s">
        <v>232</v>
      </c>
      <c r="B3" t="s">
        <v>215</v>
      </c>
    </row>
    <row r="4" spans="1:2" x14ac:dyDescent="0.25">
      <c r="A4" t="s">
        <v>233</v>
      </c>
      <c r="B4" t="s">
        <v>214</v>
      </c>
    </row>
    <row r="5" spans="1:2" x14ac:dyDescent="0.25">
      <c r="A5" t="s">
        <v>234</v>
      </c>
      <c r="B5" t="s">
        <v>215</v>
      </c>
    </row>
    <row r="6" spans="1:2" x14ac:dyDescent="0.25">
      <c r="A6" t="s">
        <v>235</v>
      </c>
      <c r="B6" t="s">
        <v>215</v>
      </c>
    </row>
    <row r="7" spans="1:2" x14ac:dyDescent="0.25">
      <c r="A7" t="s">
        <v>236</v>
      </c>
      <c r="B7" t="s">
        <v>215</v>
      </c>
    </row>
    <row r="8" spans="1:2" x14ac:dyDescent="0.25">
      <c r="A8" t="s">
        <v>237</v>
      </c>
      <c r="B8" t="s">
        <v>215</v>
      </c>
    </row>
    <row r="9" spans="1:2" x14ac:dyDescent="0.25">
      <c r="A9" t="s">
        <v>238</v>
      </c>
      <c r="B9" t="s">
        <v>215</v>
      </c>
    </row>
    <row r="10" spans="1:2" x14ac:dyDescent="0.25">
      <c r="A10" t="s">
        <v>239</v>
      </c>
      <c r="B10" t="s">
        <v>215</v>
      </c>
    </row>
    <row r="11" spans="1:2" x14ac:dyDescent="0.25">
      <c r="A11" t="s">
        <v>240</v>
      </c>
      <c r="B11" t="s">
        <v>215</v>
      </c>
    </row>
    <row r="12" spans="1:2" x14ac:dyDescent="0.25">
      <c r="A12" t="s">
        <v>241</v>
      </c>
      <c r="B12" t="s">
        <v>215</v>
      </c>
    </row>
    <row r="13" spans="1:2" x14ac:dyDescent="0.25">
      <c r="A13" t="s">
        <v>242</v>
      </c>
      <c r="B13" t="s">
        <v>214</v>
      </c>
    </row>
    <row r="14" spans="1:2" x14ac:dyDescent="0.25">
      <c r="A14" t="s">
        <v>242</v>
      </c>
      <c r="B14" t="s">
        <v>215</v>
      </c>
    </row>
    <row r="15" spans="1:2" x14ac:dyDescent="0.25">
      <c r="A15" t="s">
        <v>242</v>
      </c>
      <c r="B15" t="s">
        <v>216</v>
      </c>
    </row>
    <row r="16" spans="1:2" x14ac:dyDescent="0.25">
      <c r="A16" t="s">
        <v>243</v>
      </c>
      <c r="B16" t="s">
        <v>215</v>
      </c>
    </row>
    <row r="17" spans="1:2" x14ac:dyDescent="0.25">
      <c r="A17" t="s">
        <v>244</v>
      </c>
      <c r="B17" t="s">
        <v>214</v>
      </c>
    </row>
    <row r="18" spans="1:2" x14ac:dyDescent="0.25">
      <c r="A18" t="s">
        <v>244</v>
      </c>
      <c r="B18" t="s">
        <v>216</v>
      </c>
    </row>
    <row r="19" spans="1:2" x14ac:dyDescent="0.25">
      <c r="A19" t="s">
        <v>245</v>
      </c>
      <c r="B19" t="s">
        <v>215</v>
      </c>
    </row>
    <row r="20" spans="1:2" x14ac:dyDescent="0.25">
      <c r="A20" t="s">
        <v>246</v>
      </c>
      <c r="B20" t="s">
        <v>214</v>
      </c>
    </row>
    <row r="21" spans="1:2" x14ac:dyDescent="0.25">
      <c r="A21" t="s">
        <v>247</v>
      </c>
      <c r="B21" t="s">
        <v>215</v>
      </c>
    </row>
    <row r="22" spans="1:2" x14ac:dyDescent="0.25">
      <c r="A22" t="s">
        <v>248</v>
      </c>
      <c r="B22" t="s">
        <v>215</v>
      </c>
    </row>
    <row r="23" spans="1:2" x14ac:dyDescent="0.25">
      <c r="A23" t="s">
        <v>249</v>
      </c>
      <c r="B23" t="s">
        <v>215</v>
      </c>
    </row>
    <row r="24" spans="1:2" x14ac:dyDescent="0.25">
      <c r="A24" t="s">
        <v>250</v>
      </c>
      <c r="B24" t="s">
        <v>216</v>
      </c>
    </row>
    <row r="25" spans="1:2" x14ac:dyDescent="0.25">
      <c r="A25" t="s">
        <v>251</v>
      </c>
      <c r="B25" t="s">
        <v>215</v>
      </c>
    </row>
    <row r="26" spans="1:2" x14ac:dyDescent="0.25">
      <c r="A26" t="s">
        <v>252</v>
      </c>
      <c r="B26" t="s">
        <v>214</v>
      </c>
    </row>
    <row r="27" spans="1:2" x14ac:dyDescent="0.25">
      <c r="A27" t="s">
        <v>252</v>
      </c>
      <c r="B27" t="s">
        <v>215</v>
      </c>
    </row>
    <row r="28" spans="1:2" x14ac:dyDescent="0.25">
      <c r="A28" t="s">
        <v>253</v>
      </c>
      <c r="B28" t="s">
        <v>215</v>
      </c>
    </row>
    <row r="29" spans="1:2" x14ac:dyDescent="0.25">
      <c r="A29" t="s">
        <v>254</v>
      </c>
      <c r="B29" t="s">
        <v>215</v>
      </c>
    </row>
    <row r="30" spans="1:2" x14ac:dyDescent="0.25">
      <c r="A30" t="s">
        <v>255</v>
      </c>
      <c r="B30" t="s">
        <v>215</v>
      </c>
    </row>
    <row r="31" spans="1:2" x14ac:dyDescent="0.25">
      <c r="A31" t="s">
        <v>256</v>
      </c>
      <c r="B31" t="s">
        <v>214</v>
      </c>
    </row>
    <row r="32" spans="1:2" x14ac:dyDescent="0.25">
      <c r="A32" t="s">
        <v>256</v>
      </c>
      <c r="B32" t="s">
        <v>215</v>
      </c>
    </row>
    <row r="33" spans="1:2" x14ac:dyDescent="0.25">
      <c r="A33" t="s">
        <v>256</v>
      </c>
      <c r="B33" t="s">
        <v>216</v>
      </c>
    </row>
    <row r="34" spans="1:2" x14ac:dyDescent="0.25">
      <c r="A34" t="s">
        <v>257</v>
      </c>
      <c r="B34" t="s">
        <v>215</v>
      </c>
    </row>
    <row r="35" spans="1:2" x14ac:dyDescent="0.25">
      <c r="A35" t="s">
        <v>257</v>
      </c>
      <c r="B35" t="s">
        <v>216</v>
      </c>
    </row>
    <row r="36" spans="1:2" x14ac:dyDescent="0.25">
      <c r="A36" t="s">
        <v>258</v>
      </c>
      <c r="B36" t="s">
        <v>214</v>
      </c>
    </row>
    <row r="37" spans="1:2" x14ac:dyDescent="0.25">
      <c r="A37" t="s">
        <v>259</v>
      </c>
      <c r="B37" t="s">
        <v>215</v>
      </c>
    </row>
    <row r="38" spans="1:2" x14ac:dyDescent="0.25">
      <c r="A38" t="s">
        <v>260</v>
      </c>
      <c r="B38" t="s">
        <v>214</v>
      </c>
    </row>
    <row r="39" spans="1:2" x14ac:dyDescent="0.25">
      <c r="A39" t="s">
        <v>261</v>
      </c>
      <c r="B39" t="s">
        <v>215</v>
      </c>
    </row>
    <row r="40" spans="1:2" x14ac:dyDescent="0.25">
      <c r="A40" t="s">
        <v>262</v>
      </c>
      <c r="B40" t="s">
        <v>216</v>
      </c>
    </row>
    <row r="41" spans="1:2" x14ac:dyDescent="0.25">
      <c r="A41" t="s">
        <v>263</v>
      </c>
      <c r="B41" t="s">
        <v>215</v>
      </c>
    </row>
    <row r="42" spans="1:2" x14ac:dyDescent="0.25">
      <c r="A42" t="s">
        <v>264</v>
      </c>
      <c r="B42" t="s">
        <v>214</v>
      </c>
    </row>
    <row r="43" spans="1:2" x14ac:dyDescent="0.25">
      <c r="A43" t="s">
        <v>264</v>
      </c>
      <c r="B43" t="s">
        <v>215</v>
      </c>
    </row>
    <row r="44" spans="1:2" x14ac:dyDescent="0.25">
      <c r="A44" t="s">
        <v>265</v>
      </c>
      <c r="B44" t="s">
        <v>215</v>
      </c>
    </row>
    <row r="45" spans="1:2" x14ac:dyDescent="0.25">
      <c r="A45" t="s">
        <v>266</v>
      </c>
      <c r="B45" t="s">
        <v>215</v>
      </c>
    </row>
    <row r="46" spans="1:2" x14ac:dyDescent="0.25">
      <c r="A46" t="s">
        <v>267</v>
      </c>
      <c r="B46" t="s">
        <v>216</v>
      </c>
    </row>
    <row r="47" spans="1:2" x14ac:dyDescent="0.25">
      <c r="A47" t="s">
        <v>268</v>
      </c>
      <c r="B47" t="s">
        <v>214</v>
      </c>
    </row>
    <row r="48" spans="1:2" x14ac:dyDescent="0.25">
      <c r="A48" t="s">
        <v>268</v>
      </c>
      <c r="B48" t="s">
        <v>215</v>
      </c>
    </row>
    <row r="49" spans="1:2" x14ac:dyDescent="0.25">
      <c r="A49" t="s">
        <v>268</v>
      </c>
      <c r="B49" t="s">
        <v>216</v>
      </c>
    </row>
    <row r="50" spans="1:2" x14ac:dyDescent="0.25">
      <c r="A50" t="s">
        <v>269</v>
      </c>
      <c r="B50" t="s">
        <v>215</v>
      </c>
    </row>
    <row r="51" spans="1:2" x14ac:dyDescent="0.25">
      <c r="A51" t="s">
        <v>270</v>
      </c>
      <c r="B51" t="s">
        <v>215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ColWidth="8.7109375" defaultRowHeight="15" x14ac:dyDescent="0.25"/>
  <sheetData>
    <row r="1" spans="1:3" x14ac:dyDescent="0.25">
      <c r="A1" t="s">
        <v>32</v>
      </c>
      <c r="B1" t="s">
        <v>230</v>
      </c>
      <c r="C1" t="s">
        <v>229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/>
  </sheetViews>
  <sheetFormatPr baseColWidth="10" defaultColWidth="8.7109375" defaultRowHeight="15" x14ac:dyDescent="0.25"/>
  <cols>
    <col min="1" max="1" width="13" customWidth="1"/>
    <col min="2" max="2" width="24" customWidth="1"/>
    <col min="3" max="3" width="30" customWidth="1"/>
    <col min="4" max="5" width="25" customWidth="1"/>
  </cols>
  <sheetData>
    <row r="1" spans="1:5" ht="33" customHeight="1" x14ac:dyDescent="0.25">
      <c r="A1" s="27" t="s">
        <v>396</v>
      </c>
      <c r="B1" s="27" t="s">
        <v>397</v>
      </c>
      <c r="C1" s="27" t="s">
        <v>398</v>
      </c>
      <c r="D1" s="27" t="s">
        <v>399</v>
      </c>
      <c r="E1" s="27" t="s">
        <v>400</v>
      </c>
    </row>
    <row r="2" spans="1:5" ht="24" customHeight="1" x14ac:dyDescent="0.25">
      <c r="A2" s="29" t="s">
        <v>401</v>
      </c>
      <c r="B2" s="30">
        <v>1.5</v>
      </c>
      <c r="C2" s="28">
        <v>222000</v>
      </c>
      <c r="D2" s="30">
        <v>5.5</v>
      </c>
      <c r="E2" s="31">
        <v>1</v>
      </c>
    </row>
    <row r="3" spans="1:5" ht="24" customHeight="1" x14ac:dyDescent="0.25">
      <c r="A3" s="29" t="s">
        <v>402</v>
      </c>
      <c r="B3" s="30">
        <v>2.4</v>
      </c>
      <c r="C3" s="28">
        <v>287000</v>
      </c>
      <c r="D3" s="30">
        <v>8.8000000000000007</v>
      </c>
      <c r="E3" s="31">
        <v>1</v>
      </c>
    </row>
    <row r="4" spans="1:5" ht="24" customHeight="1" x14ac:dyDescent="0.25">
      <c r="A4" s="29" t="s">
        <v>403</v>
      </c>
      <c r="B4" s="30">
        <v>4</v>
      </c>
      <c r="C4" s="28">
        <v>384000</v>
      </c>
      <c r="D4" s="30">
        <v>20.8</v>
      </c>
      <c r="E4" s="3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tabSelected="1" workbookViewId="0"/>
  </sheetViews>
  <sheetFormatPr baseColWidth="10" defaultColWidth="8.7109375" defaultRowHeight="15" x14ac:dyDescent="0.25"/>
  <cols>
    <col min="1" max="1" width="23" customWidth="1"/>
    <col min="2" max="2" width="21" customWidth="1"/>
    <col min="3" max="3" width="29" customWidth="1"/>
  </cols>
  <sheetData>
    <row r="1" spans="1:3" x14ac:dyDescent="0.25">
      <c r="A1" t="s">
        <v>271</v>
      </c>
      <c r="B1" t="s">
        <v>272</v>
      </c>
      <c r="C1" t="s">
        <v>273</v>
      </c>
    </row>
    <row r="2" spans="1:3" x14ac:dyDescent="0.25">
      <c r="A2" t="s">
        <v>404</v>
      </c>
      <c r="B2" s="21">
        <v>10</v>
      </c>
      <c r="C2" t="s">
        <v>405</v>
      </c>
    </row>
    <row r="3" spans="1:3" x14ac:dyDescent="0.25">
      <c r="A3" t="s">
        <v>406</v>
      </c>
      <c r="B3" s="25">
        <v>180000000</v>
      </c>
      <c r="C3" t="s">
        <v>407</v>
      </c>
    </row>
    <row r="4" spans="1:3" x14ac:dyDescent="0.25">
      <c r="A4" t="s">
        <v>408</v>
      </c>
      <c r="B4" s="25">
        <v>36000000</v>
      </c>
      <c r="C4" t="s">
        <v>409</v>
      </c>
    </row>
    <row r="5" spans="1:3" x14ac:dyDescent="0.25">
      <c r="A5" t="s">
        <v>410</v>
      </c>
      <c r="B5" s="26">
        <v>0.05</v>
      </c>
      <c r="C5" t="s">
        <v>411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03"/>
  <sheetViews>
    <sheetView workbookViewId="0"/>
  </sheetViews>
  <sheetFormatPr baseColWidth="10" defaultColWidth="8.7109375" defaultRowHeight="15" x14ac:dyDescent="0.25"/>
  <sheetData>
    <row r="1" spans="1:4" x14ac:dyDescent="0.25">
      <c r="A1" t="s">
        <v>274</v>
      </c>
      <c r="B1" t="s">
        <v>219</v>
      </c>
      <c r="C1" t="s">
        <v>275</v>
      </c>
      <c r="D1" t="s">
        <v>276</v>
      </c>
    </row>
    <row r="2" spans="1:4" x14ac:dyDescent="0.25">
      <c r="A2" t="s">
        <v>36</v>
      </c>
      <c r="B2" t="s">
        <v>32</v>
      </c>
      <c r="C2">
        <v>5.96</v>
      </c>
      <c r="D2">
        <v>4.01</v>
      </c>
    </row>
    <row r="3" spans="1:4" x14ac:dyDescent="0.25">
      <c r="A3" t="s">
        <v>38</v>
      </c>
      <c r="B3" t="s">
        <v>32</v>
      </c>
      <c r="C3">
        <v>6.18</v>
      </c>
      <c r="D3">
        <v>3.65</v>
      </c>
    </row>
    <row r="4" spans="1:4" x14ac:dyDescent="0.25">
      <c r="A4" t="s">
        <v>39</v>
      </c>
      <c r="B4" t="s">
        <v>32</v>
      </c>
      <c r="C4">
        <v>4.9400000000000004</v>
      </c>
      <c r="D4">
        <v>3.65</v>
      </c>
    </row>
    <row r="5" spans="1:4" x14ac:dyDescent="0.25">
      <c r="A5" t="s">
        <v>40</v>
      </c>
      <c r="B5" t="s">
        <v>32</v>
      </c>
      <c r="C5">
        <v>5.49</v>
      </c>
      <c r="D5">
        <v>3.93</v>
      </c>
    </row>
    <row r="6" spans="1:4" x14ac:dyDescent="0.25">
      <c r="A6" t="s">
        <v>41</v>
      </c>
      <c r="B6" t="s">
        <v>32</v>
      </c>
      <c r="C6">
        <v>5.5</v>
      </c>
      <c r="D6">
        <v>3.59</v>
      </c>
    </row>
    <row r="7" spans="1:4" x14ac:dyDescent="0.25">
      <c r="A7" t="s">
        <v>42</v>
      </c>
      <c r="B7" t="s">
        <v>32</v>
      </c>
      <c r="C7">
        <v>6.41</v>
      </c>
      <c r="D7">
        <v>4.03</v>
      </c>
    </row>
    <row r="8" spans="1:4" x14ac:dyDescent="0.25">
      <c r="A8" t="s">
        <v>43</v>
      </c>
      <c r="B8" t="s">
        <v>32</v>
      </c>
      <c r="C8">
        <v>6.18</v>
      </c>
      <c r="D8">
        <v>9.91</v>
      </c>
    </row>
    <row r="9" spans="1:4" x14ac:dyDescent="0.25">
      <c r="A9" t="s">
        <v>45</v>
      </c>
      <c r="B9" t="s">
        <v>32</v>
      </c>
      <c r="C9">
        <v>8</v>
      </c>
      <c r="D9">
        <v>9.06</v>
      </c>
    </row>
    <row r="10" spans="1:4" x14ac:dyDescent="0.25">
      <c r="A10" t="s">
        <v>46</v>
      </c>
      <c r="B10" t="s">
        <v>32</v>
      </c>
      <c r="C10">
        <v>7.51</v>
      </c>
      <c r="D10">
        <v>7.01</v>
      </c>
    </row>
    <row r="11" spans="1:4" x14ac:dyDescent="0.25">
      <c r="A11" t="s">
        <v>47</v>
      </c>
      <c r="B11" t="s">
        <v>32</v>
      </c>
      <c r="C11">
        <v>6.42</v>
      </c>
      <c r="D11">
        <v>9.27</v>
      </c>
    </row>
    <row r="12" spans="1:4" x14ac:dyDescent="0.25">
      <c r="A12" t="s">
        <v>48</v>
      </c>
      <c r="B12" t="s">
        <v>32</v>
      </c>
      <c r="C12">
        <v>6.69</v>
      </c>
      <c r="D12">
        <v>8.5399999999999991</v>
      </c>
    </row>
    <row r="13" spans="1:4" x14ac:dyDescent="0.25">
      <c r="A13" t="s">
        <v>49</v>
      </c>
      <c r="B13" t="s">
        <v>32</v>
      </c>
      <c r="C13">
        <v>8.02</v>
      </c>
      <c r="D13">
        <v>7.59</v>
      </c>
    </row>
    <row r="14" spans="1:4" x14ac:dyDescent="0.25">
      <c r="A14" t="s">
        <v>50</v>
      </c>
      <c r="B14" t="s">
        <v>32</v>
      </c>
      <c r="C14">
        <v>7.31</v>
      </c>
      <c r="D14">
        <v>7.58</v>
      </c>
    </row>
    <row r="15" spans="1:4" x14ac:dyDescent="0.25">
      <c r="A15" t="s">
        <v>51</v>
      </c>
      <c r="B15" t="s">
        <v>32</v>
      </c>
      <c r="C15">
        <v>7.26</v>
      </c>
      <c r="D15">
        <v>8.34</v>
      </c>
    </row>
    <row r="16" spans="1:4" x14ac:dyDescent="0.25">
      <c r="A16" t="s">
        <v>52</v>
      </c>
      <c r="B16" t="s">
        <v>32</v>
      </c>
      <c r="C16">
        <v>7.07</v>
      </c>
      <c r="D16">
        <v>9.19</v>
      </c>
    </row>
    <row r="17" spans="1:4" x14ac:dyDescent="0.25">
      <c r="A17" t="s">
        <v>53</v>
      </c>
      <c r="B17" t="s">
        <v>32</v>
      </c>
      <c r="C17">
        <v>6.92</v>
      </c>
      <c r="D17">
        <v>5.63</v>
      </c>
    </row>
    <row r="18" spans="1:4" x14ac:dyDescent="0.25">
      <c r="A18" t="s">
        <v>54</v>
      </c>
      <c r="B18" t="s">
        <v>32</v>
      </c>
      <c r="C18">
        <v>7.61</v>
      </c>
      <c r="D18">
        <v>5.25</v>
      </c>
    </row>
    <row r="19" spans="1:4" x14ac:dyDescent="0.25">
      <c r="A19" t="s">
        <v>55</v>
      </c>
      <c r="B19" t="s">
        <v>32</v>
      </c>
      <c r="C19">
        <v>7.36</v>
      </c>
      <c r="D19">
        <v>4.79</v>
      </c>
    </row>
    <row r="20" spans="1:4" x14ac:dyDescent="0.25">
      <c r="A20" t="s">
        <v>56</v>
      </c>
      <c r="B20" t="s">
        <v>32</v>
      </c>
      <c r="C20">
        <v>7.52</v>
      </c>
      <c r="D20">
        <v>4.0599999999999996</v>
      </c>
    </row>
    <row r="21" spans="1:4" x14ac:dyDescent="0.25">
      <c r="A21" t="s">
        <v>57</v>
      </c>
      <c r="B21" t="s">
        <v>32</v>
      </c>
      <c r="C21">
        <v>8.91</v>
      </c>
      <c r="D21">
        <v>3.05</v>
      </c>
    </row>
    <row r="22" spans="1:4" x14ac:dyDescent="0.25">
      <c r="A22" t="s">
        <v>58</v>
      </c>
      <c r="B22" t="s">
        <v>32</v>
      </c>
      <c r="C22">
        <v>9.4700000000000006</v>
      </c>
      <c r="D22">
        <v>3.09</v>
      </c>
    </row>
    <row r="23" spans="1:4" x14ac:dyDescent="0.25">
      <c r="A23" t="s">
        <v>59</v>
      </c>
      <c r="B23" t="s">
        <v>32</v>
      </c>
      <c r="C23">
        <v>10.220000000000001</v>
      </c>
      <c r="D23">
        <v>3.09</v>
      </c>
    </row>
    <row r="24" spans="1:4" x14ac:dyDescent="0.25">
      <c r="A24" t="s">
        <v>60</v>
      </c>
      <c r="B24" t="s">
        <v>32</v>
      </c>
      <c r="C24">
        <v>10.38</v>
      </c>
      <c r="D24">
        <v>4.12</v>
      </c>
    </row>
    <row r="25" spans="1:4" x14ac:dyDescent="0.25">
      <c r="A25" t="s">
        <v>61</v>
      </c>
      <c r="B25" t="s">
        <v>32</v>
      </c>
      <c r="C25">
        <v>9.9600000000000009</v>
      </c>
      <c r="D25">
        <v>5.77</v>
      </c>
    </row>
    <row r="26" spans="1:4" x14ac:dyDescent="0.25">
      <c r="A26" t="s">
        <v>62</v>
      </c>
      <c r="B26" t="s">
        <v>32</v>
      </c>
      <c r="C26">
        <v>8.25</v>
      </c>
      <c r="D26">
        <v>5.31</v>
      </c>
    </row>
    <row r="27" spans="1:4" x14ac:dyDescent="0.25">
      <c r="A27" t="s">
        <v>63</v>
      </c>
      <c r="B27" t="s">
        <v>32</v>
      </c>
      <c r="C27">
        <v>5.17</v>
      </c>
      <c r="D27">
        <v>2.4300000000000002</v>
      </c>
    </row>
    <row r="28" spans="1:4" x14ac:dyDescent="0.25">
      <c r="A28" t="s">
        <v>64</v>
      </c>
      <c r="B28" t="s">
        <v>32</v>
      </c>
      <c r="C28">
        <v>5.63</v>
      </c>
      <c r="D28">
        <v>2.5099999999999998</v>
      </c>
    </row>
    <row r="29" spans="1:4" x14ac:dyDescent="0.25">
      <c r="A29" t="s">
        <v>65</v>
      </c>
      <c r="B29" t="s">
        <v>32</v>
      </c>
      <c r="C29">
        <v>6.38</v>
      </c>
      <c r="D29">
        <v>2.81</v>
      </c>
    </row>
    <row r="30" spans="1:4" x14ac:dyDescent="0.25">
      <c r="A30" t="s">
        <v>66</v>
      </c>
      <c r="B30" t="s">
        <v>32</v>
      </c>
      <c r="C30">
        <v>5.94</v>
      </c>
      <c r="D30">
        <v>2.63</v>
      </c>
    </row>
    <row r="31" spans="1:4" x14ac:dyDescent="0.25">
      <c r="A31" t="s">
        <v>67</v>
      </c>
      <c r="B31" t="s">
        <v>32</v>
      </c>
      <c r="C31">
        <v>6.91</v>
      </c>
      <c r="D31">
        <v>2.92</v>
      </c>
    </row>
    <row r="32" spans="1:4" x14ac:dyDescent="0.25">
      <c r="A32" t="s">
        <v>68</v>
      </c>
      <c r="B32" t="s">
        <v>32</v>
      </c>
      <c r="C32">
        <v>8.0399999999999991</v>
      </c>
      <c r="D32">
        <v>2.71</v>
      </c>
    </row>
    <row r="33" spans="1:4" x14ac:dyDescent="0.25">
      <c r="A33" t="s">
        <v>69</v>
      </c>
      <c r="B33" t="s">
        <v>32</v>
      </c>
      <c r="C33">
        <v>7.11</v>
      </c>
      <c r="D33">
        <v>2.75</v>
      </c>
    </row>
    <row r="34" spans="1:4" x14ac:dyDescent="0.25">
      <c r="A34" t="s">
        <v>70</v>
      </c>
      <c r="B34" t="s">
        <v>32</v>
      </c>
      <c r="C34">
        <v>0.86</v>
      </c>
      <c r="D34">
        <v>1.61</v>
      </c>
    </row>
    <row r="35" spans="1:4" x14ac:dyDescent="0.25">
      <c r="A35" t="s">
        <v>72</v>
      </c>
      <c r="B35" t="s">
        <v>32</v>
      </c>
      <c r="C35">
        <v>0.96</v>
      </c>
      <c r="D35">
        <v>1.1599999999999999</v>
      </c>
    </row>
    <row r="36" spans="1:4" x14ac:dyDescent="0.25">
      <c r="A36" t="s">
        <v>73</v>
      </c>
      <c r="B36" t="s">
        <v>32</v>
      </c>
      <c r="C36">
        <v>1.01</v>
      </c>
      <c r="D36">
        <v>0.85</v>
      </c>
    </row>
    <row r="37" spans="1:4" x14ac:dyDescent="0.25">
      <c r="A37" t="s">
        <v>74</v>
      </c>
      <c r="B37" t="s">
        <v>32</v>
      </c>
      <c r="C37">
        <v>1.52</v>
      </c>
      <c r="D37">
        <v>0.32</v>
      </c>
    </row>
    <row r="38" spans="1:4" x14ac:dyDescent="0.25">
      <c r="A38" t="s">
        <v>75</v>
      </c>
      <c r="B38" t="s">
        <v>32</v>
      </c>
      <c r="C38">
        <v>1.84</v>
      </c>
      <c r="D38">
        <v>1.01</v>
      </c>
    </row>
    <row r="39" spans="1:4" x14ac:dyDescent="0.25">
      <c r="A39" t="s">
        <v>76</v>
      </c>
      <c r="B39" t="s">
        <v>32</v>
      </c>
      <c r="C39">
        <v>1.69</v>
      </c>
      <c r="D39">
        <v>1.33</v>
      </c>
    </row>
    <row r="40" spans="1:4" x14ac:dyDescent="0.25">
      <c r="A40" t="s">
        <v>77</v>
      </c>
      <c r="B40" t="s">
        <v>32</v>
      </c>
      <c r="C40">
        <v>2.16</v>
      </c>
      <c r="D40">
        <v>1.73</v>
      </c>
    </row>
    <row r="41" spans="1:4" x14ac:dyDescent="0.25">
      <c r="A41" t="s">
        <v>78</v>
      </c>
      <c r="B41" t="s">
        <v>32</v>
      </c>
      <c r="C41">
        <v>1.51</v>
      </c>
      <c r="D41">
        <v>1.73</v>
      </c>
    </row>
    <row r="42" spans="1:4" x14ac:dyDescent="0.25">
      <c r="A42" t="s">
        <v>79</v>
      </c>
      <c r="B42" t="s">
        <v>32</v>
      </c>
      <c r="C42">
        <v>1.94</v>
      </c>
      <c r="D42">
        <v>2.2200000000000002</v>
      </c>
    </row>
    <row r="43" spans="1:4" x14ac:dyDescent="0.25">
      <c r="A43" t="s">
        <v>80</v>
      </c>
      <c r="B43" t="s">
        <v>32</v>
      </c>
      <c r="C43">
        <v>1.47</v>
      </c>
      <c r="D43">
        <v>2.2000000000000002</v>
      </c>
    </row>
    <row r="44" spans="1:4" x14ac:dyDescent="0.25">
      <c r="A44" t="s">
        <v>81</v>
      </c>
      <c r="B44" t="s">
        <v>32</v>
      </c>
      <c r="C44">
        <v>1.05</v>
      </c>
      <c r="D44">
        <v>2.08</v>
      </c>
    </row>
    <row r="45" spans="1:4" x14ac:dyDescent="0.25">
      <c r="A45" t="s">
        <v>82</v>
      </c>
      <c r="B45" t="s">
        <v>32</v>
      </c>
      <c r="C45">
        <v>0.44</v>
      </c>
      <c r="D45">
        <v>2.83</v>
      </c>
    </row>
    <row r="46" spans="1:4" x14ac:dyDescent="0.25">
      <c r="A46" t="s">
        <v>83</v>
      </c>
      <c r="B46" t="s">
        <v>32</v>
      </c>
      <c r="C46">
        <v>2.96</v>
      </c>
      <c r="D46">
        <v>3.43</v>
      </c>
    </row>
    <row r="47" spans="1:4" x14ac:dyDescent="0.25">
      <c r="A47" t="s">
        <v>84</v>
      </c>
      <c r="B47" t="s">
        <v>32</v>
      </c>
      <c r="C47">
        <v>3.46</v>
      </c>
      <c r="D47">
        <v>3.53</v>
      </c>
    </row>
    <row r="48" spans="1:4" x14ac:dyDescent="0.25">
      <c r="A48" t="s">
        <v>85</v>
      </c>
      <c r="B48" t="s">
        <v>32</v>
      </c>
      <c r="C48">
        <v>3.27</v>
      </c>
      <c r="D48">
        <v>3.03</v>
      </c>
    </row>
    <row r="49" spans="1:4" x14ac:dyDescent="0.25">
      <c r="A49" t="s">
        <v>86</v>
      </c>
      <c r="B49" t="s">
        <v>32</v>
      </c>
      <c r="C49">
        <v>0.41</v>
      </c>
      <c r="D49">
        <v>2.59</v>
      </c>
    </row>
    <row r="50" spans="1:4" x14ac:dyDescent="0.25">
      <c r="A50" t="s">
        <v>87</v>
      </c>
      <c r="B50" t="s">
        <v>32</v>
      </c>
      <c r="C50">
        <v>2.62</v>
      </c>
      <c r="D50">
        <v>3.46</v>
      </c>
    </row>
    <row r="51" spans="1:4" x14ac:dyDescent="0.25">
      <c r="A51" t="s">
        <v>88</v>
      </c>
      <c r="B51" t="s">
        <v>32</v>
      </c>
      <c r="C51">
        <v>2.76</v>
      </c>
      <c r="D51">
        <v>2.88</v>
      </c>
    </row>
    <row r="52" spans="1:4" x14ac:dyDescent="0.25">
      <c r="A52" t="s">
        <v>89</v>
      </c>
      <c r="B52" t="s">
        <v>32</v>
      </c>
      <c r="C52">
        <v>1.98</v>
      </c>
      <c r="D52">
        <v>6</v>
      </c>
    </row>
    <row r="53" spans="1:4" x14ac:dyDescent="0.25">
      <c r="A53" t="s">
        <v>91</v>
      </c>
      <c r="B53" t="s">
        <v>32</v>
      </c>
      <c r="C53">
        <v>2.56</v>
      </c>
      <c r="D53">
        <v>6.12</v>
      </c>
    </row>
    <row r="54" spans="1:4" x14ac:dyDescent="0.25">
      <c r="A54" t="s">
        <v>92</v>
      </c>
      <c r="B54" t="s">
        <v>32</v>
      </c>
      <c r="C54">
        <v>2.66</v>
      </c>
      <c r="D54">
        <v>5.8</v>
      </c>
    </row>
    <row r="55" spans="1:4" x14ac:dyDescent="0.25">
      <c r="A55" t="s">
        <v>93</v>
      </c>
      <c r="B55" t="s">
        <v>32</v>
      </c>
      <c r="C55">
        <v>2.02</v>
      </c>
      <c r="D55">
        <v>5.68</v>
      </c>
    </row>
    <row r="56" spans="1:4" x14ac:dyDescent="0.25">
      <c r="A56" t="s">
        <v>94</v>
      </c>
      <c r="B56" t="s">
        <v>32</v>
      </c>
      <c r="C56">
        <v>2.17</v>
      </c>
      <c r="D56">
        <v>4.79</v>
      </c>
    </row>
    <row r="57" spans="1:4" x14ac:dyDescent="0.25">
      <c r="A57" t="s">
        <v>95</v>
      </c>
      <c r="B57" t="s">
        <v>32</v>
      </c>
      <c r="C57">
        <v>2.02</v>
      </c>
      <c r="D57">
        <v>5.35</v>
      </c>
    </row>
    <row r="58" spans="1:4" x14ac:dyDescent="0.25">
      <c r="A58" t="s">
        <v>96</v>
      </c>
      <c r="B58" t="s">
        <v>32</v>
      </c>
      <c r="C58">
        <v>2.63</v>
      </c>
      <c r="D58">
        <v>5.17</v>
      </c>
    </row>
    <row r="59" spans="1:4" x14ac:dyDescent="0.25">
      <c r="A59" t="s">
        <v>97</v>
      </c>
      <c r="B59" t="s">
        <v>32</v>
      </c>
      <c r="C59">
        <v>2.11</v>
      </c>
      <c r="D59">
        <v>5.09</v>
      </c>
    </row>
    <row r="60" spans="1:4" x14ac:dyDescent="0.25">
      <c r="A60" t="s">
        <v>98</v>
      </c>
      <c r="B60" t="s">
        <v>32</v>
      </c>
      <c r="C60">
        <v>4.71</v>
      </c>
      <c r="D60">
        <v>6.04</v>
      </c>
    </row>
    <row r="61" spans="1:4" x14ac:dyDescent="0.25">
      <c r="A61" t="s">
        <v>99</v>
      </c>
      <c r="B61" t="s">
        <v>32</v>
      </c>
      <c r="C61">
        <v>5.37</v>
      </c>
      <c r="D61">
        <v>6.12</v>
      </c>
    </row>
    <row r="62" spans="1:4" x14ac:dyDescent="0.25">
      <c r="A62" t="s">
        <v>100</v>
      </c>
      <c r="B62" t="s">
        <v>32</v>
      </c>
      <c r="C62">
        <v>5.89</v>
      </c>
      <c r="D62">
        <v>6.32</v>
      </c>
    </row>
    <row r="63" spans="1:4" x14ac:dyDescent="0.25">
      <c r="A63" t="s">
        <v>101</v>
      </c>
      <c r="B63" t="s">
        <v>32</v>
      </c>
      <c r="C63">
        <v>6.21</v>
      </c>
      <c r="D63">
        <v>5.94</v>
      </c>
    </row>
    <row r="64" spans="1:4" x14ac:dyDescent="0.25">
      <c r="A64" t="s">
        <v>102</v>
      </c>
      <c r="B64" t="s">
        <v>32</v>
      </c>
      <c r="C64">
        <v>6.81</v>
      </c>
      <c r="D64">
        <v>6.33</v>
      </c>
    </row>
    <row r="65" spans="1:4" x14ac:dyDescent="0.25">
      <c r="A65" t="s">
        <v>103</v>
      </c>
      <c r="B65" t="s">
        <v>32</v>
      </c>
      <c r="C65">
        <v>6.91</v>
      </c>
      <c r="D65">
        <v>5.95</v>
      </c>
    </row>
    <row r="66" spans="1:4" x14ac:dyDescent="0.25">
      <c r="A66" t="s">
        <v>104</v>
      </c>
      <c r="B66" t="s">
        <v>32</v>
      </c>
      <c r="C66">
        <v>5.59</v>
      </c>
      <c r="D66">
        <v>5.74</v>
      </c>
    </row>
    <row r="67" spans="1:4" x14ac:dyDescent="0.25">
      <c r="A67" t="s">
        <v>105</v>
      </c>
      <c r="B67" t="s">
        <v>32</v>
      </c>
      <c r="C67">
        <v>6.49</v>
      </c>
      <c r="D67">
        <v>6.19</v>
      </c>
    </row>
    <row r="68" spans="1:4" x14ac:dyDescent="0.25">
      <c r="A68" t="s">
        <v>106</v>
      </c>
      <c r="B68" t="s">
        <v>32</v>
      </c>
      <c r="C68">
        <v>4.91</v>
      </c>
      <c r="D68">
        <v>6.66</v>
      </c>
    </row>
    <row r="69" spans="1:4" x14ac:dyDescent="0.25">
      <c r="A69" t="s">
        <v>107</v>
      </c>
      <c r="B69" t="s">
        <v>32</v>
      </c>
      <c r="C69">
        <v>6.17</v>
      </c>
      <c r="D69">
        <v>6.8</v>
      </c>
    </row>
    <row r="70" spans="1:4" x14ac:dyDescent="0.25">
      <c r="A70" t="s">
        <v>108</v>
      </c>
      <c r="B70" t="s">
        <v>32</v>
      </c>
      <c r="C70">
        <v>5.56</v>
      </c>
      <c r="D70">
        <v>6.73</v>
      </c>
    </row>
    <row r="71" spans="1:4" x14ac:dyDescent="0.25">
      <c r="A71" t="s">
        <v>109</v>
      </c>
      <c r="B71" t="s">
        <v>32</v>
      </c>
      <c r="C71">
        <v>6.6</v>
      </c>
      <c r="D71">
        <v>6.82</v>
      </c>
    </row>
    <row r="72" spans="1:4" x14ac:dyDescent="0.25">
      <c r="A72" t="s">
        <v>110</v>
      </c>
      <c r="B72" t="s">
        <v>32</v>
      </c>
      <c r="C72">
        <v>5.23</v>
      </c>
      <c r="D72">
        <v>7.51</v>
      </c>
    </row>
    <row r="73" spans="1:4" x14ac:dyDescent="0.25">
      <c r="A73" t="s">
        <v>111</v>
      </c>
      <c r="B73" t="s">
        <v>32</v>
      </c>
      <c r="C73">
        <v>5.77</v>
      </c>
      <c r="D73">
        <v>7.67</v>
      </c>
    </row>
    <row r="74" spans="1:4" x14ac:dyDescent="0.25">
      <c r="A74" t="s">
        <v>112</v>
      </c>
      <c r="B74" t="s">
        <v>32</v>
      </c>
      <c r="C74">
        <v>6.1</v>
      </c>
      <c r="D74">
        <v>7.22</v>
      </c>
    </row>
    <row r="75" spans="1:4" x14ac:dyDescent="0.25">
      <c r="A75" t="s">
        <v>113</v>
      </c>
      <c r="B75" t="s">
        <v>32</v>
      </c>
      <c r="C75">
        <v>5.47</v>
      </c>
      <c r="D75">
        <v>7.14</v>
      </c>
    </row>
    <row r="76" spans="1:4" x14ac:dyDescent="0.25">
      <c r="A76" t="s">
        <v>114</v>
      </c>
      <c r="B76" t="s">
        <v>32</v>
      </c>
      <c r="C76">
        <v>5.47</v>
      </c>
      <c r="D76">
        <v>7.63</v>
      </c>
    </row>
    <row r="77" spans="1:4" x14ac:dyDescent="0.25">
      <c r="A77" t="s">
        <v>115</v>
      </c>
      <c r="B77" t="s">
        <v>32</v>
      </c>
      <c r="C77">
        <v>6.02</v>
      </c>
      <c r="D77">
        <v>7.68</v>
      </c>
    </row>
    <row r="78" spans="1:4" x14ac:dyDescent="0.25">
      <c r="A78" t="s">
        <v>116</v>
      </c>
      <c r="B78" t="s">
        <v>32</v>
      </c>
      <c r="C78">
        <v>4.37</v>
      </c>
      <c r="D78">
        <v>7.3</v>
      </c>
    </row>
    <row r="79" spans="1:4" x14ac:dyDescent="0.25">
      <c r="A79" t="s">
        <v>117</v>
      </c>
      <c r="B79" t="s">
        <v>32</v>
      </c>
      <c r="C79">
        <v>4.88</v>
      </c>
      <c r="D79">
        <v>7.69</v>
      </c>
    </row>
    <row r="80" spans="1:4" x14ac:dyDescent="0.25">
      <c r="A80" t="s">
        <v>118</v>
      </c>
      <c r="B80" t="s">
        <v>32</v>
      </c>
      <c r="C80">
        <v>4.9000000000000004</v>
      </c>
      <c r="D80">
        <v>7.08</v>
      </c>
    </row>
    <row r="81" spans="1:4" x14ac:dyDescent="0.25">
      <c r="A81" t="s">
        <v>119</v>
      </c>
      <c r="B81" t="s">
        <v>32</v>
      </c>
      <c r="C81">
        <v>4.82</v>
      </c>
      <c r="D81">
        <v>7.39</v>
      </c>
    </row>
    <row r="82" spans="1:4" x14ac:dyDescent="0.25">
      <c r="A82" t="s">
        <v>120</v>
      </c>
      <c r="B82" t="s">
        <v>32</v>
      </c>
      <c r="C82">
        <v>4.21</v>
      </c>
      <c r="D82">
        <v>8</v>
      </c>
    </row>
    <row r="83" spans="1:4" x14ac:dyDescent="0.25">
      <c r="A83" t="s">
        <v>121</v>
      </c>
      <c r="B83" t="s">
        <v>32</v>
      </c>
      <c r="C83">
        <v>5.74</v>
      </c>
      <c r="D83">
        <v>8.26</v>
      </c>
    </row>
    <row r="84" spans="1:4" x14ac:dyDescent="0.25">
      <c r="A84" t="s">
        <v>122</v>
      </c>
      <c r="B84" t="s">
        <v>32</v>
      </c>
      <c r="C84">
        <v>5.18</v>
      </c>
      <c r="D84">
        <v>8.26</v>
      </c>
    </row>
    <row r="85" spans="1:4" x14ac:dyDescent="0.25">
      <c r="A85" t="s">
        <v>123</v>
      </c>
      <c r="B85" t="s">
        <v>32</v>
      </c>
      <c r="C85">
        <v>4.6900000000000004</v>
      </c>
      <c r="D85">
        <v>8.06</v>
      </c>
    </row>
    <row r="86" spans="1:4" x14ac:dyDescent="0.25">
      <c r="A86" t="s">
        <v>124</v>
      </c>
      <c r="B86" t="s">
        <v>32</v>
      </c>
      <c r="C86">
        <v>6.25</v>
      </c>
      <c r="D86">
        <v>8.3000000000000007</v>
      </c>
    </row>
    <row r="87" spans="1:4" x14ac:dyDescent="0.25">
      <c r="A87" t="s">
        <v>125</v>
      </c>
      <c r="B87" t="s">
        <v>32</v>
      </c>
      <c r="C87">
        <v>5.28</v>
      </c>
      <c r="D87">
        <v>8</v>
      </c>
    </row>
    <row r="88" spans="1:4" x14ac:dyDescent="0.25">
      <c r="A88" t="s">
        <v>126</v>
      </c>
      <c r="B88" t="s">
        <v>32</v>
      </c>
      <c r="C88">
        <v>3.47</v>
      </c>
      <c r="D88">
        <v>2.37</v>
      </c>
    </row>
    <row r="89" spans="1:4" x14ac:dyDescent="0.25">
      <c r="A89" t="s">
        <v>127</v>
      </c>
      <c r="B89" t="s">
        <v>32</v>
      </c>
      <c r="C89">
        <v>4.45</v>
      </c>
      <c r="D89">
        <v>2.57</v>
      </c>
    </row>
    <row r="90" spans="1:4" x14ac:dyDescent="0.25">
      <c r="A90" t="s">
        <v>128</v>
      </c>
      <c r="B90" t="s">
        <v>32</v>
      </c>
      <c r="C90">
        <v>2.84</v>
      </c>
      <c r="D90">
        <v>2.34</v>
      </c>
    </row>
    <row r="91" spans="1:4" x14ac:dyDescent="0.25">
      <c r="A91" t="s">
        <v>129</v>
      </c>
      <c r="B91" t="s">
        <v>32</v>
      </c>
      <c r="C91">
        <v>3.88</v>
      </c>
      <c r="D91">
        <v>2.52</v>
      </c>
    </row>
    <row r="92" spans="1:4" x14ac:dyDescent="0.25">
      <c r="A92" t="s">
        <v>130</v>
      </c>
      <c r="B92" t="s">
        <v>32</v>
      </c>
      <c r="C92">
        <v>3.19</v>
      </c>
      <c r="D92">
        <v>2.38</v>
      </c>
    </row>
    <row r="93" spans="1:4" x14ac:dyDescent="0.25">
      <c r="A93" t="s">
        <v>131</v>
      </c>
      <c r="B93" t="s">
        <v>32</v>
      </c>
      <c r="C93">
        <v>4.4400000000000004</v>
      </c>
      <c r="D93">
        <v>2.09</v>
      </c>
    </row>
    <row r="94" spans="1:4" x14ac:dyDescent="0.25">
      <c r="A94" t="s">
        <v>132</v>
      </c>
      <c r="B94" t="s">
        <v>32</v>
      </c>
      <c r="C94">
        <v>3.76</v>
      </c>
      <c r="D94">
        <v>1.79</v>
      </c>
    </row>
    <row r="95" spans="1:4" x14ac:dyDescent="0.25">
      <c r="A95" t="s">
        <v>133</v>
      </c>
      <c r="B95" t="s">
        <v>32</v>
      </c>
      <c r="C95">
        <v>3.27</v>
      </c>
      <c r="D95">
        <v>1.1499999999999999</v>
      </c>
    </row>
    <row r="96" spans="1:4" x14ac:dyDescent="0.25">
      <c r="A96" t="s">
        <v>134</v>
      </c>
      <c r="B96" t="s">
        <v>32</v>
      </c>
      <c r="C96">
        <v>4</v>
      </c>
      <c r="D96">
        <v>1.23</v>
      </c>
    </row>
    <row r="97" spans="1:4" x14ac:dyDescent="0.25">
      <c r="A97" t="s">
        <v>135</v>
      </c>
      <c r="B97" t="s">
        <v>32</v>
      </c>
      <c r="C97">
        <v>2.82</v>
      </c>
      <c r="D97">
        <v>1.87</v>
      </c>
    </row>
    <row r="98" spans="1:4" x14ac:dyDescent="0.25">
      <c r="A98" t="s">
        <v>136</v>
      </c>
      <c r="B98" t="s">
        <v>32</v>
      </c>
      <c r="C98">
        <v>3.09</v>
      </c>
      <c r="D98">
        <v>1.71</v>
      </c>
    </row>
    <row r="99" spans="1:4" x14ac:dyDescent="0.25">
      <c r="A99" t="s">
        <v>137</v>
      </c>
      <c r="B99" t="s">
        <v>32</v>
      </c>
      <c r="C99">
        <v>2.9</v>
      </c>
      <c r="D99">
        <v>0.78</v>
      </c>
    </row>
    <row r="100" spans="1:4" x14ac:dyDescent="0.25">
      <c r="A100" t="s">
        <v>138</v>
      </c>
      <c r="B100" t="s">
        <v>32</v>
      </c>
      <c r="C100">
        <v>2.96</v>
      </c>
      <c r="D100">
        <v>1.1499999999999999</v>
      </c>
    </row>
    <row r="101" spans="1:4" x14ac:dyDescent="0.25">
      <c r="A101" t="s">
        <v>139</v>
      </c>
      <c r="B101" t="s">
        <v>32</v>
      </c>
      <c r="C101">
        <v>3.78</v>
      </c>
      <c r="D101">
        <v>4.13</v>
      </c>
    </row>
    <row r="102" spans="1:4" x14ac:dyDescent="0.25">
      <c r="A102" t="s">
        <v>140</v>
      </c>
      <c r="B102" t="s">
        <v>32</v>
      </c>
      <c r="C102">
        <v>4.04</v>
      </c>
      <c r="D102">
        <v>3.65</v>
      </c>
    </row>
    <row r="103" spans="1:4" x14ac:dyDescent="0.25">
      <c r="A103" t="s">
        <v>141</v>
      </c>
      <c r="B103" t="s">
        <v>32</v>
      </c>
      <c r="C103">
        <v>3.99</v>
      </c>
      <c r="D103">
        <v>3.09</v>
      </c>
    </row>
    <row r="104" spans="1:4" x14ac:dyDescent="0.25">
      <c r="A104" t="s">
        <v>142</v>
      </c>
      <c r="B104" t="s">
        <v>32</v>
      </c>
      <c r="C104">
        <v>1.7</v>
      </c>
      <c r="D104">
        <v>7.44</v>
      </c>
    </row>
    <row r="105" spans="1:4" x14ac:dyDescent="0.25">
      <c r="A105" t="s">
        <v>143</v>
      </c>
      <c r="B105" t="s">
        <v>32</v>
      </c>
      <c r="C105">
        <v>3.28</v>
      </c>
      <c r="D105">
        <v>7.24</v>
      </c>
    </row>
    <row r="106" spans="1:4" x14ac:dyDescent="0.25">
      <c r="A106" t="s">
        <v>144</v>
      </c>
      <c r="B106" t="s">
        <v>32</v>
      </c>
      <c r="C106">
        <v>3.55</v>
      </c>
      <c r="D106">
        <v>6.7</v>
      </c>
    </row>
    <row r="107" spans="1:4" x14ac:dyDescent="0.25">
      <c r="A107" t="s">
        <v>145</v>
      </c>
      <c r="B107" t="s">
        <v>32</v>
      </c>
      <c r="C107">
        <v>1.7</v>
      </c>
      <c r="D107">
        <v>6.87</v>
      </c>
    </row>
    <row r="108" spans="1:4" x14ac:dyDescent="0.25">
      <c r="A108" t="s">
        <v>146</v>
      </c>
      <c r="B108" t="s">
        <v>32</v>
      </c>
      <c r="C108">
        <v>2.34</v>
      </c>
      <c r="D108">
        <v>7.14</v>
      </c>
    </row>
    <row r="109" spans="1:4" x14ac:dyDescent="0.25">
      <c r="A109" t="s">
        <v>147</v>
      </c>
      <c r="B109" t="s">
        <v>32</v>
      </c>
      <c r="C109">
        <v>2.4300000000000002</v>
      </c>
      <c r="D109">
        <v>6.84</v>
      </c>
    </row>
    <row r="110" spans="1:4" x14ac:dyDescent="0.25">
      <c r="A110" t="s">
        <v>148</v>
      </c>
      <c r="B110" t="s">
        <v>32</v>
      </c>
      <c r="C110">
        <v>2.2400000000000002</v>
      </c>
      <c r="D110">
        <v>6.47</v>
      </c>
    </row>
    <row r="111" spans="1:4" x14ac:dyDescent="0.25">
      <c r="A111" t="s">
        <v>149</v>
      </c>
      <c r="B111" t="s">
        <v>32</v>
      </c>
      <c r="C111">
        <v>2.99</v>
      </c>
      <c r="D111">
        <v>6.6</v>
      </c>
    </row>
    <row r="112" spans="1:4" x14ac:dyDescent="0.25">
      <c r="A112" t="s">
        <v>150</v>
      </c>
      <c r="B112" t="s">
        <v>32</v>
      </c>
      <c r="C112">
        <v>1.99</v>
      </c>
      <c r="D112">
        <v>6.94</v>
      </c>
    </row>
    <row r="113" spans="1:4" x14ac:dyDescent="0.25">
      <c r="A113" t="s">
        <v>151</v>
      </c>
      <c r="B113" t="s">
        <v>32</v>
      </c>
      <c r="C113">
        <v>2.61</v>
      </c>
      <c r="D113">
        <v>7.53</v>
      </c>
    </row>
    <row r="114" spans="1:4" x14ac:dyDescent="0.25">
      <c r="A114" t="s">
        <v>152</v>
      </c>
      <c r="B114" t="s">
        <v>32</v>
      </c>
      <c r="C114">
        <v>3.1</v>
      </c>
      <c r="D114">
        <v>6.03</v>
      </c>
    </row>
    <row r="115" spans="1:4" x14ac:dyDescent="0.25">
      <c r="A115" t="s">
        <v>153</v>
      </c>
      <c r="B115" t="s">
        <v>32</v>
      </c>
      <c r="C115">
        <v>3.45</v>
      </c>
      <c r="D115">
        <v>6.25</v>
      </c>
    </row>
    <row r="116" spans="1:4" x14ac:dyDescent="0.25">
      <c r="A116" t="s">
        <v>154</v>
      </c>
      <c r="B116" t="s">
        <v>32</v>
      </c>
      <c r="C116">
        <v>3.13</v>
      </c>
      <c r="D116">
        <v>5.16</v>
      </c>
    </row>
    <row r="117" spans="1:4" x14ac:dyDescent="0.25">
      <c r="A117" t="s">
        <v>155</v>
      </c>
      <c r="B117" t="s">
        <v>32</v>
      </c>
      <c r="C117">
        <v>3.94</v>
      </c>
      <c r="D117">
        <v>6.18</v>
      </c>
    </row>
    <row r="118" spans="1:4" x14ac:dyDescent="0.25">
      <c r="A118" t="s">
        <v>156</v>
      </c>
      <c r="B118" t="s">
        <v>32</v>
      </c>
      <c r="C118">
        <v>3.5</v>
      </c>
      <c r="D118">
        <v>5.78</v>
      </c>
    </row>
    <row r="119" spans="1:4" x14ac:dyDescent="0.25">
      <c r="A119" t="s">
        <v>157</v>
      </c>
      <c r="B119" t="s">
        <v>32</v>
      </c>
      <c r="C119">
        <v>4.07</v>
      </c>
      <c r="D119">
        <v>5.48</v>
      </c>
    </row>
    <row r="120" spans="1:4" x14ac:dyDescent="0.25">
      <c r="A120" t="s">
        <v>158</v>
      </c>
      <c r="B120" t="s">
        <v>32</v>
      </c>
      <c r="C120">
        <v>3.61</v>
      </c>
      <c r="D120">
        <v>5.12</v>
      </c>
    </row>
    <row r="121" spans="1:4" x14ac:dyDescent="0.25">
      <c r="A121" t="s">
        <v>159</v>
      </c>
      <c r="B121" t="s">
        <v>32</v>
      </c>
      <c r="C121">
        <v>3.89</v>
      </c>
      <c r="D121">
        <v>4.58</v>
      </c>
    </row>
    <row r="122" spans="1:4" x14ac:dyDescent="0.25">
      <c r="A122" t="s">
        <v>160</v>
      </c>
      <c r="B122" t="s">
        <v>32</v>
      </c>
      <c r="C122">
        <v>3.25</v>
      </c>
      <c r="D122">
        <v>4.49</v>
      </c>
    </row>
    <row r="123" spans="1:4" x14ac:dyDescent="0.25">
      <c r="A123" t="s">
        <v>161</v>
      </c>
      <c r="B123" t="s">
        <v>32</v>
      </c>
      <c r="C123">
        <v>0.49</v>
      </c>
      <c r="D123">
        <v>1.81</v>
      </c>
    </row>
    <row r="124" spans="1:4" x14ac:dyDescent="0.25">
      <c r="A124" t="s">
        <v>162</v>
      </c>
      <c r="B124" t="s">
        <v>32</v>
      </c>
      <c r="C124">
        <v>0.13</v>
      </c>
      <c r="D124">
        <v>1.92</v>
      </c>
    </row>
    <row r="125" spans="1:4" x14ac:dyDescent="0.25">
      <c r="A125" t="s">
        <v>163</v>
      </c>
      <c r="B125" t="s">
        <v>32</v>
      </c>
      <c r="C125">
        <v>0.06</v>
      </c>
      <c r="D125">
        <v>1.49</v>
      </c>
    </row>
    <row r="126" spans="1:4" x14ac:dyDescent="0.25">
      <c r="A126" t="s">
        <v>164</v>
      </c>
      <c r="B126" t="s">
        <v>32</v>
      </c>
      <c r="C126">
        <v>0</v>
      </c>
      <c r="D126">
        <v>1.1499999999999999</v>
      </c>
    </row>
    <row r="127" spans="1:4" x14ac:dyDescent="0.25">
      <c r="A127" t="s">
        <v>165</v>
      </c>
      <c r="B127" t="s">
        <v>32</v>
      </c>
      <c r="C127">
        <v>0.01</v>
      </c>
      <c r="D127">
        <v>0.7</v>
      </c>
    </row>
    <row r="128" spans="1:4" x14ac:dyDescent="0.25">
      <c r="A128" t="s">
        <v>166</v>
      </c>
      <c r="B128" t="s">
        <v>32</v>
      </c>
      <c r="C128">
        <v>0.27</v>
      </c>
      <c r="D128">
        <v>0</v>
      </c>
    </row>
    <row r="129" spans="1:4" x14ac:dyDescent="0.25">
      <c r="A129" t="s">
        <v>167</v>
      </c>
      <c r="B129" t="s">
        <v>32</v>
      </c>
      <c r="C129">
        <v>0.48</v>
      </c>
      <c r="D129">
        <v>0.71</v>
      </c>
    </row>
    <row r="130" spans="1:4" x14ac:dyDescent="0.25">
      <c r="A130" t="s">
        <v>168</v>
      </c>
      <c r="B130" t="s">
        <v>32</v>
      </c>
      <c r="C130">
        <v>0.45</v>
      </c>
      <c r="D130">
        <v>0.93</v>
      </c>
    </row>
    <row r="131" spans="1:4" x14ac:dyDescent="0.25">
      <c r="A131" t="s">
        <v>169</v>
      </c>
      <c r="B131" t="s">
        <v>32</v>
      </c>
      <c r="C131">
        <v>0.46</v>
      </c>
      <c r="D131">
        <v>1.29</v>
      </c>
    </row>
    <row r="132" spans="1:4" x14ac:dyDescent="0.25">
      <c r="A132" t="s">
        <v>170</v>
      </c>
      <c r="B132" t="s">
        <v>32</v>
      </c>
      <c r="C132">
        <v>4.71</v>
      </c>
      <c r="D132">
        <v>5.05</v>
      </c>
    </row>
    <row r="133" spans="1:4" x14ac:dyDescent="0.25">
      <c r="A133" t="s">
        <v>171</v>
      </c>
      <c r="B133" t="s">
        <v>32</v>
      </c>
      <c r="C133">
        <v>5.26</v>
      </c>
      <c r="D133">
        <v>5.4</v>
      </c>
    </row>
    <row r="134" spans="1:4" x14ac:dyDescent="0.25">
      <c r="A134" t="s">
        <v>172</v>
      </c>
      <c r="B134" t="s">
        <v>32</v>
      </c>
      <c r="C134">
        <v>5.76</v>
      </c>
      <c r="D134">
        <v>5.45</v>
      </c>
    </row>
    <row r="135" spans="1:4" x14ac:dyDescent="0.25">
      <c r="A135" t="s">
        <v>173</v>
      </c>
      <c r="B135" t="s">
        <v>32</v>
      </c>
      <c r="C135">
        <v>6.57</v>
      </c>
      <c r="D135">
        <v>5</v>
      </c>
    </row>
    <row r="136" spans="1:4" x14ac:dyDescent="0.25">
      <c r="A136" t="s">
        <v>174</v>
      </c>
      <c r="B136" t="s">
        <v>32</v>
      </c>
      <c r="C136">
        <v>5.32</v>
      </c>
      <c r="D136">
        <v>4.75</v>
      </c>
    </row>
    <row r="137" spans="1:4" x14ac:dyDescent="0.25">
      <c r="A137" t="s">
        <v>175</v>
      </c>
      <c r="B137" t="s">
        <v>32</v>
      </c>
      <c r="C137">
        <v>5.26</v>
      </c>
      <c r="D137">
        <v>4.4000000000000004</v>
      </c>
    </row>
    <row r="138" spans="1:4" x14ac:dyDescent="0.25">
      <c r="A138" t="s">
        <v>176</v>
      </c>
      <c r="B138" t="s">
        <v>32</v>
      </c>
      <c r="C138">
        <v>5.8</v>
      </c>
      <c r="D138">
        <v>4.3899999999999997</v>
      </c>
    </row>
    <row r="139" spans="1:4" x14ac:dyDescent="0.25">
      <c r="A139" t="s">
        <v>177</v>
      </c>
      <c r="B139" t="s">
        <v>32</v>
      </c>
      <c r="C139">
        <v>6.23</v>
      </c>
      <c r="D139">
        <v>4.42</v>
      </c>
    </row>
    <row r="140" spans="1:4" x14ac:dyDescent="0.25">
      <c r="A140" t="s">
        <v>178</v>
      </c>
      <c r="B140" t="s">
        <v>32</v>
      </c>
      <c r="C140">
        <v>5.26</v>
      </c>
      <c r="D140">
        <v>5.07</v>
      </c>
    </row>
    <row r="141" spans="1:4" x14ac:dyDescent="0.25">
      <c r="A141" t="s">
        <v>179</v>
      </c>
      <c r="B141" t="s">
        <v>32</v>
      </c>
      <c r="C141">
        <v>5.9</v>
      </c>
      <c r="D141">
        <v>5.0999999999999996</v>
      </c>
    </row>
    <row r="142" spans="1:4" x14ac:dyDescent="0.25">
      <c r="A142" t="s">
        <v>180</v>
      </c>
      <c r="B142" t="s">
        <v>32</v>
      </c>
      <c r="C142">
        <v>5.92</v>
      </c>
      <c r="D142">
        <v>4.8</v>
      </c>
    </row>
    <row r="143" spans="1:4" x14ac:dyDescent="0.25">
      <c r="A143" t="s">
        <v>181</v>
      </c>
      <c r="B143" t="s">
        <v>32</v>
      </c>
      <c r="C143">
        <v>6.28</v>
      </c>
      <c r="D143">
        <v>5.4</v>
      </c>
    </row>
    <row r="144" spans="1:4" x14ac:dyDescent="0.25">
      <c r="A144" t="s">
        <v>184</v>
      </c>
      <c r="B144" t="s">
        <v>182</v>
      </c>
      <c r="C144">
        <v>3.59</v>
      </c>
      <c r="D144">
        <v>4.21</v>
      </c>
    </row>
    <row r="145" spans="1:4" x14ac:dyDescent="0.25">
      <c r="A145" t="s">
        <v>185</v>
      </c>
      <c r="B145" t="s">
        <v>182</v>
      </c>
      <c r="C145">
        <v>6.62</v>
      </c>
      <c r="D145">
        <v>8.02</v>
      </c>
    </row>
    <row r="146" spans="1:4" x14ac:dyDescent="0.25">
      <c r="A146" t="s">
        <v>186</v>
      </c>
      <c r="B146" t="s">
        <v>182</v>
      </c>
      <c r="C146">
        <v>2.09</v>
      </c>
      <c r="D146">
        <v>7.31</v>
      </c>
    </row>
    <row r="147" spans="1:4" x14ac:dyDescent="0.25">
      <c r="A147" t="s">
        <v>187</v>
      </c>
      <c r="B147" t="s">
        <v>182</v>
      </c>
      <c r="C147">
        <v>0.05</v>
      </c>
      <c r="D147">
        <v>1.93</v>
      </c>
    </row>
    <row r="148" spans="1:4" x14ac:dyDescent="0.25">
      <c r="A148" t="s">
        <v>188</v>
      </c>
      <c r="B148" t="s">
        <v>182</v>
      </c>
      <c r="C148">
        <v>6.69</v>
      </c>
      <c r="D148">
        <v>6.15</v>
      </c>
    </row>
    <row r="149" spans="1:4" x14ac:dyDescent="0.25">
      <c r="A149" t="s">
        <v>189</v>
      </c>
      <c r="B149" t="s">
        <v>182</v>
      </c>
      <c r="C149">
        <v>3.05</v>
      </c>
      <c r="D149">
        <v>2.93</v>
      </c>
    </row>
    <row r="150" spans="1:4" x14ac:dyDescent="0.25">
      <c r="A150" t="s">
        <v>190</v>
      </c>
      <c r="B150" t="s">
        <v>182</v>
      </c>
      <c r="C150">
        <v>2.94</v>
      </c>
      <c r="D150">
        <v>1.3</v>
      </c>
    </row>
    <row r="151" spans="1:4" x14ac:dyDescent="0.25">
      <c r="A151" t="s">
        <v>191</v>
      </c>
      <c r="B151" t="s">
        <v>182</v>
      </c>
      <c r="C151">
        <v>9.42</v>
      </c>
      <c r="D151">
        <v>3.15</v>
      </c>
    </row>
    <row r="152" spans="1:4" x14ac:dyDescent="0.25">
      <c r="A152" t="s">
        <v>192</v>
      </c>
      <c r="B152" t="s">
        <v>182</v>
      </c>
      <c r="C152">
        <v>6.86</v>
      </c>
      <c r="D152">
        <v>2.76</v>
      </c>
    </row>
    <row r="153" spans="1:4" x14ac:dyDescent="0.25">
      <c r="A153" t="s">
        <v>193</v>
      </c>
      <c r="B153" t="s">
        <v>182</v>
      </c>
      <c r="C153">
        <v>3.68</v>
      </c>
      <c r="D153">
        <v>7.67</v>
      </c>
    </row>
    <row r="154" spans="1:4" x14ac:dyDescent="0.25">
      <c r="A154" t="s">
        <v>194</v>
      </c>
      <c r="B154" t="s">
        <v>182</v>
      </c>
      <c r="C154">
        <v>4.88</v>
      </c>
      <c r="D154">
        <v>2.75</v>
      </c>
    </row>
    <row r="155" spans="1:4" x14ac:dyDescent="0.25">
      <c r="A155" t="s">
        <v>195</v>
      </c>
      <c r="B155" t="s">
        <v>182</v>
      </c>
      <c r="C155">
        <v>3.1</v>
      </c>
      <c r="D155">
        <v>5.86</v>
      </c>
    </row>
    <row r="156" spans="1:4" x14ac:dyDescent="0.25">
      <c r="A156" t="s">
        <v>196</v>
      </c>
      <c r="B156" t="s">
        <v>182</v>
      </c>
      <c r="C156">
        <v>6.19</v>
      </c>
      <c r="D156">
        <v>9.57</v>
      </c>
    </row>
    <row r="157" spans="1:4" x14ac:dyDescent="0.25">
      <c r="A157" t="s">
        <v>197</v>
      </c>
      <c r="B157" t="s">
        <v>182</v>
      </c>
      <c r="C157">
        <v>4.72</v>
      </c>
      <c r="D157">
        <v>5.97</v>
      </c>
    </row>
    <row r="158" spans="1:4" x14ac:dyDescent="0.25">
      <c r="A158" t="s">
        <v>198</v>
      </c>
      <c r="B158" t="s">
        <v>182</v>
      </c>
      <c r="C158">
        <v>6.62</v>
      </c>
      <c r="D158">
        <v>4.6900000000000004</v>
      </c>
    </row>
    <row r="159" spans="1:4" x14ac:dyDescent="0.25">
      <c r="A159" t="s">
        <v>199</v>
      </c>
      <c r="B159" t="s">
        <v>182</v>
      </c>
      <c r="C159">
        <v>4.7</v>
      </c>
      <c r="D159">
        <v>1.37</v>
      </c>
    </row>
    <row r="160" spans="1:4" x14ac:dyDescent="0.25">
      <c r="A160" t="s">
        <v>200</v>
      </c>
      <c r="B160" t="s">
        <v>182</v>
      </c>
      <c r="C160">
        <v>5.18</v>
      </c>
      <c r="D160">
        <v>3.93</v>
      </c>
    </row>
    <row r="161" spans="1:4" x14ac:dyDescent="0.25">
      <c r="A161" t="s">
        <v>201</v>
      </c>
      <c r="B161" t="s">
        <v>182</v>
      </c>
      <c r="C161">
        <v>1.02</v>
      </c>
      <c r="D161">
        <v>1.34</v>
      </c>
    </row>
    <row r="162" spans="1:4" x14ac:dyDescent="0.25">
      <c r="A162" t="s">
        <v>202</v>
      </c>
      <c r="B162" t="s">
        <v>182</v>
      </c>
      <c r="C162">
        <v>2.34</v>
      </c>
      <c r="D162">
        <v>5.04</v>
      </c>
    </row>
    <row r="163" spans="1:4" x14ac:dyDescent="0.25">
      <c r="A163" t="s">
        <v>203</v>
      </c>
      <c r="B163" t="s">
        <v>182</v>
      </c>
      <c r="C163">
        <v>4</v>
      </c>
      <c r="D163">
        <v>4.8099999999999996</v>
      </c>
    </row>
    <row r="164" spans="1:4" x14ac:dyDescent="0.25">
      <c r="A164" t="s">
        <v>231</v>
      </c>
      <c r="B164" t="s">
        <v>230</v>
      </c>
      <c r="C164">
        <v>5.66</v>
      </c>
      <c r="D164">
        <v>9.86</v>
      </c>
    </row>
    <row r="165" spans="1:4" x14ac:dyDescent="0.25">
      <c r="A165" t="s">
        <v>232</v>
      </c>
      <c r="B165" t="s">
        <v>230</v>
      </c>
      <c r="C165">
        <v>4.16</v>
      </c>
      <c r="D165">
        <v>8.11</v>
      </c>
    </row>
    <row r="166" spans="1:4" x14ac:dyDescent="0.25">
      <c r="A166" t="s">
        <v>233</v>
      </c>
      <c r="B166" t="s">
        <v>230</v>
      </c>
      <c r="C166">
        <v>3.57</v>
      </c>
      <c r="D166">
        <v>7.44</v>
      </c>
    </row>
    <row r="167" spans="1:4" x14ac:dyDescent="0.25">
      <c r="A167" t="s">
        <v>234</v>
      </c>
      <c r="B167" t="s">
        <v>230</v>
      </c>
      <c r="C167">
        <v>5.61</v>
      </c>
      <c r="D167">
        <v>7.38</v>
      </c>
    </row>
    <row r="168" spans="1:4" x14ac:dyDescent="0.25">
      <c r="A168" t="s">
        <v>235</v>
      </c>
      <c r="B168" t="s">
        <v>230</v>
      </c>
      <c r="C168">
        <v>4.5199999999999996</v>
      </c>
      <c r="D168">
        <v>6.91</v>
      </c>
    </row>
    <row r="169" spans="1:4" x14ac:dyDescent="0.25">
      <c r="A169" t="s">
        <v>236</v>
      </c>
      <c r="B169" t="s">
        <v>230</v>
      </c>
      <c r="C169">
        <v>4.1399999999999997</v>
      </c>
      <c r="D169">
        <v>6.44</v>
      </c>
    </row>
    <row r="170" spans="1:4" x14ac:dyDescent="0.25">
      <c r="A170" t="s">
        <v>237</v>
      </c>
      <c r="B170" t="s">
        <v>230</v>
      </c>
      <c r="C170">
        <v>3.45</v>
      </c>
      <c r="D170">
        <v>6.29</v>
      </c>
    </row>
    <row r="171" spans="1:4" x14ac:dyDescent="0.25">
      <c r="A171" t="s">
        <v>238</v>
      </c>
      <c r="B171" t="s">
        <v>230</v>
      </c>
      <c r="C171">
        <v>4.1900000000000004</v>
      </c>
      <c r="D171">
        <v>6.23</v>
      </c>
    </row>
    <row r="172" spans="1:4" x14ac:dyDescent="0.25">
      <c r="A172" t="s">
        <v>239</v>
      </c>
      <c r="B172" t="s">
        <v>230</v>
      </c>
      <c r="C172">
        <v>2.4300000000000002</v>
      </c>
      <c r="D172">
        <v>5.68</v>
      </c>
    </row>
    <row r="173" spans="1:4" x14ac:dyDescent="0.25">
      <c r="A173" t="s">
        <v>240</v>
      </c>
      <c r="B173" t="s">
        <v>230</v>
      </c>
      <c r="C173">
        <v>2.62</v>
      </c>
      <c r="D173">
        <v>5.32</v>
      </c>
    </row>
    <row r="174" spans="1:4" x14ac:dyDescent="0.25">
      <c r="A174" t="s">
        <v>241</v>
      </c>
      <c r="B174" t="s">
        <v>230</v>
      </c>
      <c r="C174">
        <v>7.63</v>
      </c>
      <c r="D174">
        <v>5.26</v>
      </c>
    </row>
    <row r="175" spans="1:4" x14ac:dyDescent="0.25">
      <c r="A175" t="s">
        <v>242</v>
      </c>
      <c r="B175" t="s">
        <v>230</v>
      </c>
      <c r="C175">
        <v>2.9</v>
      </c>
      <c r="D175">
        <v>5.22</v>
      </c>
    </row>
    <row r="176" spans="1:4" x14ac:dyDescent="0.25">
      <c r="A176" t="s">
        <v>243</v>
      </c>
      <c r="B176" t="s">
        <v>230</v>
      </c>
      <c r="C176">
        <v>9.4600000000000009</v>
      </c>
      <c r="D176">
        <v>4.6500000000000004</v>
      </c>
    </row>
    <row r="177" spans="1:4" x14ac:dyDescent="0.25">
      <c r="A177" t="s">
        <v>244</v>
      </c>
      <c r="B177" t="s">
        <v>230</v>
      </c>
      <c r="C177">
        <v>6.31</v>
      </c>
      <c r="D177">
        <v>4.47</v>
      </c>
    </row>
    <row r="178" spans="1:4" x14ac:dyDescent="0.25">
      <c r="A178" t="s">
        <v>245</v>
      </c>
      <c r="B178" t="s">
        <v>230</v>
      </c>
      <c r="C178">
        <v>9.09</v>
      </c>
      <c r="D178">
        <v>4.4000000000000004</v>
      </c>
    </row>
    <row r="179" spans="1:4" x14ac:dyDescent="0.25">
      <c r="A179" t="s">
        <v>246</v>
      </c>
      <c r="B179" t="s">
        <v>230</v>
      </c>
      <c r="C179">
        <v>8.98</v>
      </c>
      <c r="D179">
        <v>4.34</v>
      </c>
    </row>
    <row r="180" spans="1:4" x14ac:dyDescent="0.25">
      <c r="A180" t="s">
        <v>247</v>
      </c>
      <c r="B180" t="s">
        <v>230</v>
      </c>
      <c r="C180">
        <v>4.5199999999999996</v>
      </c>
      <c r="D180">
        <v>4.3</v>
      </c>
    </row>
    <row r="181" spans="1:4" x14ac:dyDescent="0.25">
      <c r="A181" t="s">
        <v>248</v>
      </c>
      <c r="B181" t="s">
        <v>230</v>
      </c>
      <c r="C181">
        <v>6.17</v>
      </c>
      <c r="D181">
        <v>4.18</v>
      </c>
    </row>
    <row r="182" spans="1:4" x14ac:dyDescent="0.25">
      <c r="A182" t="s">
        <v>249</v>
      </c>
      <c r="B182" t="s">
        <v>230</v>
      </c>
      <c r="C182">
        <v>7.69</v>
      </c>
      <c r="D182">
        <v>4.08</v>
      </c>
    </row>
    <row r="183" spans="1:4" x14ac:dyDescent="0.25">
      <c r="A183" t="s">
        <v>250</v>
      </c>
      <c r="B183" t="s">
        <v>230</v>
      </c>
      <c r="C183">
        <v>7.78</v>
      </c>
      <c r="D183">
        <v>4.01</v>
      </c>
    </row>
    <row r="184" spans="1:4" x14ac:dyDescent="0.25">
      <c r="A184" t="s">
        <v>251</v>
      </c>
      <c r="B184" t="s">
        <v>230</v>
      </c>
      <c r="C184">
        <v>8.66</v>
      </c>
      <c r="D184">
        <v>3.96</v>
      </c>
    </row>
    <row r="185" spans="1:4" x14ac:dyDescent="0.25">
      <c r="A185" t="s">
        <v>252</v>
      </c>
      <c r="B185" t="s">
        <v>230</v>
      </c>
      <c r="C185">
        <v>3.99</v>
      </c>
      <c r="D185">
        <v>3.65</v>
      </c>
    </row>
    <row r="186" spans="1:4" x14ac:dyDescent="0.25">
      <c r="A186" t="s">
        <v>253</v>
      </c>
      <c r="B186" t="s">
        <v>230</v>
      </c>
      <c r="C186">
        <v>2.96</v>
      </c>
      <c r="D186">
        <v>3.54</v>
      </c>
    </row>
    <row r="187" spans="1:4" x14ac:dyDescent="0.25">
      <c r="A187" t="s">
        <v>254</v>
      </c>
      <c r="B187" t="s">
        <v>230</v>
      </c>
      <c r="C187">
        <v>9.6</v>
      </c>
      <c r="D187">
        <v>3.41</v>
      </c>
    </row>
    <row r="188" spans="1:4" x14ac:dyDescent="0.25">
      <c r="A188" t="s">
        <v>255</v>
      </c>
      <c r="B188" t="s">
        <v>230</v>
      </c>
      <c r="C188">
        <v>5.13</v>
      </c>
      <c r="D188">
        <v>3.2</v>
      </c>
    </row>
    <row r="189" spans="1:4" x14ac:dyDescent="0.25">
      <c r="A189" t="s">
        <v>256</v>
      </c>
      <c r="B189" t="s">
        <v>230</v>
      </c>
      <c r="C189">
        <v>7.21</v>
      </c>
      <c r="D189">
        <v>3.13</v>
      </c>
    </row>
    <row r="190" spans="1:4" x14ac:dyDescent="0.25">
      <c r="A190" t="s">
        <v>257</v>
      </c>
      <c r="B190" t="s">
        <v>230</v>
      </c>
      <c r="C190">
        <v>5.94</v>
      </c>
      <c r="D190">
        <v>2.75</v>
      </c>
    </row>
    <row r="191" spans="1:4" x14ac:dyDescent="0.25">
      <c r="A191" t="s">
        <v>258</v>
      </c>
      <c r="B191" t="s">
        <v>230</v>
      </c>
      <c r="C191">
        <v>2.61</v>
      </c>
      <c r="D191">
        <v>2.63</v>
      </c>
    </row>
    <row r="192" spans="1:4" x14ac:dyDescent="0.25">
      <c r="A192" t="s">
        <v>259</v>
      </c>
      <c r="B192" t="s">
        <v>230</v>
      </c>
      <c r="C192">
        <v>0.77</v>
      </c>
      <c r="D192">
        <v>2.13</v>
      </c>
    </row>
    <row r="193" spans="1:4" x14ac:dyDescent="0.25">
      <c r="A193" t="s">
        <v>260</v>
      </c>
      <c r="B193" t="s">
        <v>230</v>
      </c>
      <c r="C193">
        <v>4.91</v>
      </c>
      <c r="D193">
        <v>2.08</v>
      </c>
    </row>
    <row r="194" spans="1:4" x14ac:dyDescent="0.25">
      <c r="A194" t="s">
        <v>261</v>
      </c>
      <c r="B194" t="s">
        <v>230</v>
      </c>
      <c r="C194">
        <v>1.85</v>
      </c>
      <c r="D194">
        <v>2</v>
      </c>
    </row>
    <row r="195" spans="1:4" x14ac:dyDescent="0.25">
      <c r="A195" t="s">
        <v>262</v>
      </c>
      <c r="B195" t="s">
        <v>230</v>
      </c>
      <c r="C195">
        <v>4.92</v>
      </c>
      <c r="D195">
        <v>1.63</v>
      </c>
    </row>
    <row r="196" spans="1:4" x14ac:dyDescent="0.25">
      <c r="A196" t="s">
        <v>263</v>
      </c>
      <c r="B196" t="s">
        <v>230</v>
      </c>
      <c r="C196">
        <v>4.84</v>
      </c>
      <c r="D196">
        <v>1.59</v>
      </c>
    </row>
    <row r="197" spans="1:4" x14ac:dyDescent="0.25">
      <c r="A197" t="s">
        <v>264</v>
      </c>
      <c r="B197" t="s">
        <v>230</v>
      </c>
      <c r="C197">
        <v>1.3</v>
      </c>
      <c r="D197">
        <v>1.51</v>
      </c>
    </row>
    <row r="198" spans="1:4" x14ac:dyDescent="0.25">
      <c r="A198" t="s">
        <v>265</v>
      </c>
      <c r="B198" t="s">
        <v>230</v>
      </c>
      <c r="C198">
        <v>3.64</v>
      </c>
      <c r="D198">
        <v>1.4</v>
      </c>
    </row>
    <row r="199" spans="1:4" x14ac:dyDescent="0.25">
      <c r="A199" t="s">
        <v>266</v>
      </c>
      <c r="B199" t="s">
        <v>230</v>
      </c>
      <c r="C199">
        <v>0.61</v>
      </c>
      <c r="D199">
        <v>1.37</v>
      </c>
    </row>
    <row r="200" spans="1:4" x14ac:dyDescent="0.25">
      <c r="A200" t="s">
        <v>267</v>
      </c>
      <c r="B200" t="s">
        <v>230</v>
      </c>
      <c r="C200">
        <v>3.67</v>
      </c>
      <c r="D200">
        <v>1.24</v>
      </c>
    </row>
    <row r="201" spans="1:4" x14ac:dyDescent="0.25">
      <c r="A201" t="s">
        <v>268</v>
      </c>
      <c r="B201" t="s">
        <v>230</v>
      </c>
      <c r="C201">
        <v>1.6</v>
      </c>
      <c r="D201">
        <v>1.0900000000000001</v>
      </c>
    </row>
    <row r="202" spans="1:4" x14ac:dyDescent="0.25">
      <c r="A202" t="s">
        <v>269</v>
      </c>
      <c r="B202" t="s">
        <v>230</v>
      </c>
      <c r="C202">
        <v>1.66</v>
      </c>
      <c r="D202">
        <v>0.94</v>
      </c>
    </row>
    <row r="203" spans="1:4" x14ac:dyDescent="0.25">
      <c r="A203" t="s">
        <v>270</v>
      </c>
      <c r="B203" t="s">
        <v>230</v>
      </c>
      <c r="C203">
        <v>1.1100000000000001</v>
      </c>
      <c r="D203">
        <v>0.89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20" customWidth="1"/>
    <col min="3" max="3" width="25" customWidth="1"/>
    <col min="4" max="4" width="17" customWidth="1"/>
    <col min="5" max="5" width="24" customWidth="1"/>
    <col min="6" max="6" width="25" customWidth="1"/>
    <col min="7" max="7" width="50" customWidth="1"/>
    <col min="9" max="9" width="22" customWidth="1"/>
    <col min="10" max="10" width="25" customWidth="1"/>
  </cols>
  <sheetData>
    <row r="1" spans="1:10" ht="24.95" customHeight="1" x14ac:dyDescent="0.25">
      <c r="A1" s="36" t="s">
        <v>277</v>
      </c>
      <c r="B1" s="36"/>
      <c r="C1" s="36"/>
      <c r="D1" s="36"/>
      <c r="E1" s="36"/>
      <c r="F1" s="36"/>
      <c r="G1" s="36"/>
    </row>
    <row r="2" spans="1:10" ht="24.95" customHeight="1" x14ac:dyDescent="0.25">
      <c r="A2" s="36"/>
      <c r="B2" s="36"/>
      <c r="C2" s="36"/>
      <c r="D2" s="36"/>
      <c r="E2" s="36"/>
      <c r="F2" s="36"/>
      <c r="G2" s="36"/>
    </row>
    <row r="3" spans="1:10" ht="24.95" customHeight="1" x14ac:dyDescent="0.25">
      <c r="A3" s="37" t="s">
        <v>278</v>
      </c>
      <c r="B3" s="37"/>
      <c r="C3" s="37"/>
      <c r="D3" s="37"/>
      <c r="E3" s="37"/>
      <c r="F3" s="37"/>
      <c r="G3" s="37"/>
    </row>
    <row r="5" spans="1:10" x14ac:dyDescent="0.25">
      <c r="A5" t="s">
        <v>279</v>
      </c>
      <c r="B5" s="6">
        <v>560695</v>
      </c>
      <c r="C5" t="s">
        <v>280</v>
      </c>
      <c r="D5" s="35" t="s">
        <v>281</v>
      </c>
      <c r="E5" s="35"/>
      <c r="F5" s="35"/>
      <c r="G5" s="35"/>
    </row>
    <row r="6" spans="1:10" ht="27.95" customHeight="1" x14ac:dyDescent="0.25">
      <c r="A6" t="s">
        <v>282</v>
      </c>
      <c r="B6" s="6">
        <f>J19</f>
        <v>198449</v>
      </c>
      <c r="C6" t="s">
        <v>283</v>
      </c>
      <c r="D6" s="35" t="s">
        <v>284</v>
      </c>
      <c r="E6" s="35"/>
      <c r="F6" s="35"/>
      <c r="G6" s="35"/>
      <c r="I6" s="4" t="s">
        <v>285</v>
      </c>
      <c r="J6" s="4" t="s">
        <v>286</v>
      </c>
    </row>
    <row r="7" spans="1:10" x14ac:dyDescent="0.25">
      <c r="A7" t="s">
        <v>287</v>
      </c>
      <c r="B7" s="6">
        <v>198446</v>
      </c>
      <c r="C7" t="s">
        <v>283</v>
      </c>
      <c r="D7" s="35" t="s">
        <v>288</v>
      </c>
      <c r="E7" s="35"/>
      <c r="F7" s="35"/>
      <c r="G7" s="35"/>
      <c r="I7" t="s">
        <v>289</v>
      </c>
      <c r="J7" s="16">
        <v>17945</v>
      </c>
    </row>
    <row r="8" spans="1:10" x14ac:dyDescent="0.25">
      <c r="A8" t="s">
        <v>290</v>
      </c>
      <c r="B8" s="6">
        <f>B6-B7</f>
        <v>3</v>
      </c>
      <c r="C8" t="s">
        <v>283</v>
      </c>
      <c r="D8" s="35" t="s">
        <v>291</v>
      </c>
      <c r="E8" s="35"/>
      <c r="F8" s="35"/>
      <c r="G8" s="35"/>
      <c r="I8" t="s">
        <v>292</v>
      </c>
      <c r="J8" s="16">
        <v>15275</v>
      </c>
    </row>
    <row r="9" spans="1:10" x14ac:dyDescent="0.25">
      <c r="A9" t="s">
        <v>293</v>
      </c>
      <c r="B9" s="3">
        <f>B6/B5</f>
        <v>0.35393395696412489</v>
      </c>
      <c r="C9" t="s">
        <v>294</v>
      </c>
      <c r="D9" s="35" t="s">
        <v>295</v>
      </c>
      <c r="E9" s="35"/>
      <c r="F9" s="35"/>
      <c r="G9" s="35"/>
      <c r="I9" t="s">
        <v>296</v>
      </c>
      <c r="J9" s="16">
        <v>17206</v>
      </c>
    </row>
    <row r="10" spans="1:10" x14ac:dyDescent="0.25">
      <c r="A10" t="s">
        <v>297</v>
      </c>
      <c r="B10" s="3">
        <f>B24</f>
        <v>0.28499999999999998</v>
      </c>
      <c r="C10" t="s">
        <v>298</v>
      </c>
      <c r="D10" s="35" t="s">
        <v>299</v>
      </c>
      <c r="E10" s="35"/>
      <c r="F10" s="35"/>
      <c r="G10" s="35"/>
      <c r="I10" t="s">
        <v>300</v>
      </c>
      <c r="J10" s="16">
        <v>15613</v>
      </c>
    </row>
    <row r="11" spans="1:10" x14ac:dyDescent="0.25">
      <c r="A11" t="s">
        <v>301</v>
      </c>
      <c r="B11" s="3">
        <f>E24</f>
        <v>0.10087117773477559</v>
      </c>
      <c r="C11" t="s">
        <v>294</v>
      </c>
      <c r="D11" s="35" t="s">
        <v>302</v>
      </c>
      <c r="E11" s="35"/>
      <c r="F11" s="35"/>
      <c r="G11" s="35"/>
      <c r="I11" t="s">
        <v>303</v>
      </c>
      <c r="J11" s="16">
        <v>16528</v>
      </c>
    </row>
    <row r="12" spans="1:10" x14ac:dyDescent="0.25">
      <c r="A12" t="s">
        <v>304</v>
      </c>
      <c r="B12" s="3">
        <f>F24</f>
        <v>56557.965000000004</v>
      </c>
      <c r="C12" t="s">
        <v>305</v>
      </c>
      <c r="D12" s="35" t="s">
        <v>306</v>
      </c>
      <c r="E12" s="35"/>
      <c r="F12" s="35"/>
      <c r="G12" s="35"/>
      <c r="I12" t="s">
        <v>307</v>
      </c>
      <c r="J12" s="16">
        <v>15204</v>
      </c>
    </row>
    <row r="13" spans="1:10" x14ac:dyDescent="0.25">
      <c r="A13" t="s">
        <v>308</v>
      </c>
      <c r="B13" s="7">
        <f>SUM(Sectores!C2:C143)</f>
        <v>560695</v>
      </c>
      <c r="C13" t="s">
        <v>280</v>
      </c>
      <c r="D13" s="35" t="s">
        <v>309</v>
      </c>
      <c r="E13" s="35"/>
      <c r="F13" s="35"/>
      <c r="G13" s="35"/>
      <c r="I13" t="s">
        <v>310</v>
      </c>
      <c r="J13" s="16">
        <v>15162</v>
      </c>
    </row>
    <row r="14" spans="1:10" x14ac:dyDescent="0.25">
      <c r="A14" t="s">
        <v>311</v>
      </c>
      <c r="B14" s="7">
        <f>SUM(Semanas!C2:C53)</f>
        <v>1</v>
      </c>
      <c r="C14" t="s">
        <v>298</v>
      </c>
      <c r="D14" s="35" t="s">
        <v>312</v>
      </c>
      <c r="E14" s="35"/>
      <c r="F14" s="35"/>
      <c r="G14" s="35"/>
      <c r="I14" t="s">
        <v>313</v>
      </c>
      <c r="J14" s="16">
        <v>16641</v>
      </c>
    </row>
    <row r="15" spans="1:10" x14ac:dyDescent="0.25">
      <c r="A15" t="s">
        <v>314</v>
      </c>
      <c r="B15" s="7">
        <f>COUNTA(Generacion!A2:A711)</f>
        <v>710</v>
      </c>
      <c r="C15" t="s">
        <v>315</v>
      </c>
      <c r="D15" s="35" t="s">
        <v>316</v>
      </c>
      <c r="E15" s="35"/>
      <c r="F15" s="35"/>
      <c r="G15" s="35"/>
      <c r="I15" t="s">
        <v>317</v>
      </c>
      <c r="J15" s="16">
        <v>16088</v>
      </c>
    </row>
    <row r="16" spans="1:10" x14ac:dyDescent="0.25">
      <c r="A16" t="s">
        <v>318</v>
      </c>
      <c r="B16" s="7">
        <f>B15-710</f>
        <v>0</v>
      </c>
      <c r="C16" t="s">
        <v>315</v>
      </c>
      <c r="D16" s="35" t="s">
        <v>319</v>
      </c>
      <c r="E16" s="35"/>
      <c r="F16" s="35"/>
      <c r="G16" s="35"/>
      <c r="I16" t="s">
        <v>320</v>
      </c>
      <c r="J16" s="16">
        <v>17304</v>
      </c>
    </row>
    <row r="17" spans="1:10" x14ac:dyDescent="0.25">
      <c r="I17" t="s">
        <v>321</v>
      </c>
      <c r="J17" s="16">
        <v>16900</v>
      </c>
    </row>
    <row r="18" spans="1:10" ht="27.95" customHeight="1" x14ac:dyDescent="0.25">
      <c r="A18" s="8" t="s">
        <v>322</v>
      </c>
      <c r="B18" s="8" t="s">
        <v>323</v>
      </c>
      <c r="C18" s="8" t="s">
        <v>324</v>
      </c>
      <c r="D18" s="8" t="s">
        <v>325</v>
      </c>
      <c r="E18" s="8" t="s">
        <v>326</v>
      </c>
      <c r="F18" s="8" t="s">
        <v>327</v>
      </c>
      <c r="G18" s="8" t="s">
        <v>328</v>
      </c>
      <c r="I18" t="s">
        <v>329</v>
      </c>
      <c r="J18" s="16">
        <v>18583</v>
      </c>
    </row>
    <row r="19" spans="1:10" ht="24" customHeight="1" x14ac:dyDescent="0.25">
      <c r="A19" t="s">
        <v>330</v>
      </c>
      <c r="B19" s="10">
        <v>0.123</v>
      </c>
      <c r="C19" t="s">
        <v>331</v>
      </c>
      <c r="D19" t="s">
        <v>332</v>
      </c>
      <c r="E19" s="3">
        <f>$B$9*B19</f>
        <v>4.3533876706587357E-2</v>
      </c>
      <c r="F19" s="13">
        <f>E19*$B$5</f>
        <v>24409.226999999999</v>
      </c>
      <c r="G19" t="s">
        <v>333</v>
      </c>
      <c r="I19" s="15" t="s">
        <v>334</v>
      </c>
      <c r="J19" s="17">
        <f>SUM(J7:J18)</f>
        <v>198449</v>
      </c>
    </row>
    <row r="20" spans="1:10" x14ac:dyDescent="0.25">
      <c r="A20" t="s">
        <v>335</v>
      </c>
      <c r="B20" s="10">
        <v>0.107</v>
      </c>
      <c r="C20" t="s">
        <v>331</v>
      </c>
      <c r="D20" t="s">
        <v>332</v>
      </c>
      <c r="E20" s="3">
        <f>$B$9*B20</f>
        <v>3.7870933395161364E-2</v>
      </c>
      <c r="F20" s="13">
        <f>E20*$B$5</f>
        <v>21234.043000000001</v>
      </c>
      <c r="G20" t="s">
        <v>333</v>
      </c>
    </row>
    <row r="21" spans="1:10" x14ac:dyDescent="0.25">
      <c r="A21" t="s">
        <v>336</v>
      </c>
      <c r="B21" s="10">
        <v>3.7999999999999999E-2</v>
      </c>
      <c r="C21" t="s">
        <v>331</v>
      </c>
      <c r="D21" t="s">
        <v>332</v>
      </c>
      <c r="E21" s="3">
        <f>$B$9*B21</f>
        <v>1.3449490364636746E-2</v>
      </c>
      <c r="F21" s="13">
        <f>E21*$B$5</f>
        <v>7541.0619999999999</v>
      </c>
      <c r="G21" t="s">
        <v>333</v>
      </c>
    </row>
    <row r="22" spans="1:10" x14ac:dyDescent="0.25">
      <c r="A22" t="s">
        <v>337</v>
      </c>
      <c r="B22" s="10">
        <v>0.01</v>
      </c>
      <c r="C22" t="s">
        <v>331</v>
      </c>
      <c r="D22" t="s">
        <v>332</v>
      </c>
      <c r="E22" s="3">
        <f>$B$9*B22</f>
        <v>3.539339569641249E-3</v>
      </c>
      <c r="F22" s="13">
        <f>E22*$B$5</f>
        <v>1984.49</v>
      </c>
      <c r="G22" t="s">
        <v>333</v>
      </c>
    </row>
    <row r="23" spans="1:10" x14ac:dyDescent="0.25">
      <c r="A23" t="s">
        <v>338</v>
      </c>
      <c r="B23" s="10">
        <v>7.0000000000000001E-3</v>
      </c>
      <c r="C23" t="s">
        <v>339</v>
      </c>
      <c r="D23" t="s">
        <v>340</v>
      </c>
      <c r="E23" s="3">
        <f>$B$9*B23</f>
        <v>2.4775376987488744E-3</v>
      </c>
      <c r="F23" s="13">
        <f>E23*$B$5</f>
        <v>1389.1430000000003</v>
      </c>
      <c r="G23" t="s">
        <v>341</v>
      </c>
    </row>
    <row r="24" spans="1:10" ht="24" customHeight="1" x14ac:dyDescent="0.25">
      <c r="A24" s="9" t="s">
        <v>342</v>
      </c>
      <c r="B24" s="11">
        <f>SUM(B19:B23)</f>
        <v>0.28499999999999998</v>
      </c>
      <c r="C24" s="9"/>
      <c r="D24" s="9"/>
      <c r="E24" s="12">
        <f>SUM(E19:E23)</f>
        <v>0.10087117773477559</v>
      </c>
      <c r="F24" s="14">
        <f>SUM(F19:F23)</f>
        <v>56557.965000000004</v>
      </c>
      <c r="G24" s="9"/>
    </row>
    <row r="27" spans="1:10" ht="26.1" customHeight="1" x14ac:dyDescent="0.25">
      <c r="A27" s="34" t="s">
        <v>343</v>
      </c>
      <c r="B27" s="34"/>
      <c r="C27" s="34"/>
      <c r="D27" s="34"/>
      <c r="E27" s="34"/>
      <c r="F27" s="34"/>
      <c r="G27" s="34"/>
    </row>
    <row r="28" spans="1:10" ht="30.95" customHeight="1" x14ac:dyDescent="0.25">
      <c r="A28" s="32" t="s">
        <v>344</v>
      </c>
      <c r="B28" s="32"/>
      <c r="C28" s="32"/>
      <c r="D28" s="32"/>
      <c r="E28" s="32"/>
      <c r="F28" s="32"/>
      <c r="G28" s="32"/>
    </row>
    <row r="29" spans="1:10" ht="30.95" customHeight="1" x14ac:dyDescent="0.25">
      <c r="A29" s="33" t="s">
        <v>345</v>
      </c>
      <c r="B29" s="33"/>
      <c r="C29" s="33"/>
      <c r="D29" s="33"/>
      <c r="E29" s="33"/>
      <c r="F29" s="33"/>
      <c r="G29" s="33"/>
    </row>
    <row r="30" spans="1:10" ht="30.95" customHeight="1" x14ac:dyDescent="0.25">
      <c r="A30" s="32" t="s">
        <v>346</v>
      </c>
      <c r="B30" s="32"/>
      <c r="C30" s="32"/>
      <c r="D30" s="32"/>
      <c r="E30" s="32"/>
      <c r="F30" s="32"/>
      <c r="G30" s="32"/>
    </row>
    <row r="31" spans="1:10" ht="30.95" customHeight="1" x14ac:dyDescent="0.25">
      <c r="A31" s="33" t="s">
        <v>347</v>
      </c>
      <c r="B31" s="33"/>
      <c r="C31" s="33"/>
      <c r="D31" s="33"/>
      <c r="E31" s="33"/>
      <c r="F31" s="33"/>
      <c r="G31" s="33"/>
    </row>
    <row r="32" spans="1:10" ht="30.95" customHeight="1" x14ac:dyDescent="0.25">
      <c r="A32" s="32" t="s">
        <v>348</v>
      </c>
      <c r="B32" s="32"/>
      <c r="C32" s="32"/>
      <c r="D32" s="32"/>
      <c r="E32" s="32"/>
      <c r="F32" s="32"/>
      <c r="G32" s="32"/>
    </row>
    <row r="33" spans="1:7" ht="30.95" customHeight="1" x14ac:dyDescent="0.25">
      <c r="A33" s="33" t="s">
        <v>349</v>
      </c>
      <c r="B33" s="33"/>
      <c r="C33" s="33"/>
      <c r="D33" s="33"/>
      <c r="E33" s="33"/>
      <c r="F33" s="33"/>
      <c r="G33" s="33"/>
    </row>
    <row r="34" spans="1:7" ht="30.95" customHeight="1" x14ac:dyDescent="0.25">
      <c r="A34" s="32" t="s">
        <v>350</v>
      </c>
      <c r="B34" s="32"/>
      <c r="C34" s="32"/>
      <c r="D34" s="32"/>
      <c r="E34" s="32"/>
      <c r="F34" s="32"/>
      <c r="G34" s="32"/>
    </row>
    <row r="35" spans="1:7" ht="30.95" customHeight="1" x14ac:dyDescent="0.25">
      <c r="A35" s="33" t="s">
        <v>351</v>
      </c>
      <c r="B35" s="33"/>
      <c r="C35" s="33"/>
      <c r="D35" s="33"/>
      <c r="E35" s="33"/>
      <c r="F35" s="33"/>
      <c r="G35" s="33"/>
    </row>
    <row r="36" spans="1:7" ht="30.95" customHeight="1" x14ac:dyDescent="0.25">
      <c r="A36" s="32" t="s">
        <v>352</v>
      </c>
      <c r="B36" s="32"/>
      <c r="C36" s="32"/>
      <c r="D36" s="32"/>
      <c r="E36" s="32"/>
      <c r="F36" s="32"/>
      <c r="G36" s="32"/>
    </row>
    <row r="37" spans="1:7" ht="30.95" customHeight="1" x14ac:dyDescent="0.25">
      <c r="A37" s="33" t="s">
        <v>353</v>
      </c>
      <c r="B37" s="33"/>
      <c r="C37" s="33"/>
      <c r="D37" s="33"/>
      <c r="E37" s="33"/>
      <c r="F37" s="33"/>
      <c r="G37" s="33"/>
    </row>
    <row r="38" spans="1:7" ht="30.95" customHeight="1" x14ac:dyDescent="0.25">
      <c r="A38" s="32" t="s">
        <v>354</v>
      </c>
      <c r="B38" s="32"/>
      <c r="C38" s="32"/>
      <c r="D38" s="32"/>
      <c r="E38" s="32"/>
      <c r="F38" s="32"/>
      <c r="G38" s="32"/>
    </row>
    <row r="39" spans="1:7" ht="30.95" customHeight="1" x14ac:dyDescent="0.25">
      <c r="A39" s="33" t="s">
        <v>355</v>
      </c>
      <c r="B39" s="33"/>
      <c r="C39" s="33"/>
      <c r="D39" s="33"/>
      <c r="E39" s="33"/>
      <c r="F39" s="33"/>
      <c r="G39" s="33"/>
    </row>
    <row r="40" spans="1:7" ht="30.95" customHeight="1" x14ac:dyDescent="0.25">
      <c r="A40" s="32" t="s">
        <v>356</v>
      </c>
      <c r="B40" s="32"/>
      <c r="C40" s="32"/>
      <c r="D40" s="32"/>
      <c r="E40" s="32"/>
      <c r="F40" s="32"/>
      <c r="G40" s="32"/>
    </row>
    <row r="43" spans="1:7" ht="26.1" customHeight="1" x14ac:dyDescent="0.25">
      <c r="A43" s="34" t="s">
        <v>357</v>
      </c>
      <c r="B43" s="34"/>
      <c r="C43" s="34"/>
      <c r="D43" s="34"/>
      <c r="E43" s="34"/>
      <c r="F43" s="34"/>
      <c r="G43" s="34"/>
    </row>
    <row r="44" spans="1:7" ht="42" customHeight="1" x14ac:dyDescent="0.25">
      <c r="A44" s="18" t="s">
        <v>358</v>
      </c>
      <c r="B44" s="32" t="s">
        <v>359</v>
      </c>
      <c r="C44" s="32"/>
      <c r="D44" s="32"/>
      <c r="E44" s="32" t="s">
        <v>360</v>
      </c>
      <c r="F44" s="32"/>
      <c r="G44" s="32"/>
    </row>
    <row r="45" spans="1:7" ht="42" customHeight="1" x14ac:dyDescent="0.25">
      <c r="A45" s="19" t="s">
        <v>361</v>
      </c>
      <c r="B45" s="33" t="s">
        <v>362</v>
      </c>
      <c r="C45" s="33"/>
      <c r="D45" s="33"/>
      <c r="E45" s="33" t="s">
        <v>333</v>
      </c>
      <c r="F45" s="33"/>
      <c r="G45" s="33"/>
    </row>
    <row r="46" spans="1:7" ht="42" customHeight="1" x14ac:dyDescent="0.25">
      <c r="A46" s="18" t="s">
        <v>363</v>
      </c>
      <c r="B46" s="32" t="s">
        <v>364</v>
      </c>
      <c r="C46" s="32"/>
      <c r="D46" s="32"/>
      <c r="E46" s="32" t="s">
        <v>341</v>
      </c>
      <c r="F46" s="32"/>
      <c r="G46" s="32"/>
    </row>
    <row r="47" spans="1:7" ht="42" customHeight="1" x14ac:dyDescent="0.25">
      <c r="A47" s="19" t="s">
        <v>279</v>
      </c>
      <c r="B47" s="33" t="s">
        <v>365</v>
      </c>
      <c r="C47" s="33"/>
      <c r="D47" s="33"/>
      <c r="E47" s="33" t="s">
        <v>366</v>
      </c>
      <c r="F47" s="33"/>
      <c r="G47" s="33"/>
    </row>
    <row r="48" spans="1:7" ht="42" customHeight="1" x14ac:dyDescent="0.25">
      <c r="A48" s="18" t="s">
        <v>367</v>
      </c>
      <c r="B48" s="32" t="s">
        <v>368</v>
      </c>
      <c r="C48" s="32"/>
      <c r="D48" s="32"/>
      <c r="E48" s="32" t="s">
        <v>366</v>
      </c>
      <c r="F48" s="32"/>
      <c r="G48" s="32"/>
    </row>
  </sheetData>
  <mergeCells count="39">
    <mergeCell ref="A1:G2"/>
    <mergeCell ref="A3:G3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3:G43"/>
    <mergeCell ref="B44:D44"/>
    <mergeCell ref="E44:G44"/>
    <mergeCell ref="B48:D48"/>
    <mergeCell ref="E48:G48"/>
    <mergeCell ref="B45:D45"/>
    <mergeCell ref="E45:G45"/>
    <mergeCell ref="B46:D46"/>
    <mergeCell ref="E46:G46"/>
    <mergeCell ref="B47:D47"/>
    <mergeCell ref="E47:G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LEEME</vt:lpstr>
      <vt:lpstr>Sectores</vt:lpstr>
      <vt:lpstr>Sitios</vt:lpstr>
      <vt:lpstr>PuntosActuales</vt:lpstr>
      <vt:lpstr>Materiales</vt:lpstr>
      <vt:lpstr>TiposContenedor</vt:lpstr>
      <vt:lpstr>DotacionActual</vt:lpstr>
      <vt:lpstr>Generacion</vt:lpstr>
      <vt:lpstr>Semanas</vt:lpstr>
      <vt:lpstr>AtractivoSitios</vt:lpstr>
      <vt:lpstr>Alternativas</vt:lpstr>
      <vt:lpstr>AtractivoAlternativas</vt:lpstr>
      <vt:lpstr>Camiones</vt:lpstr>
      <vt:lpstr>Costos</vt:lpstr>
      <vt:lpstr>Coordenadas</vt:lpstr>
      <vt:lpstr>Fuentes_Metodologia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Liukung Antilef Neculpan</cp:lastModifiedBy>
  <dcterms:created xsi:type="dcterms:W3CDTF">2026-10-19T00:57:36Z</dcterms:created>
  <dcterms:modified xsi:type="dcterms:W3CDTF">2026-10-19T00:57:36Z</dcterms:modified>
</cp:coreProperties>
</file>