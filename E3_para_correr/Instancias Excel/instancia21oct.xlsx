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9"/>
  </bookViews>
  <sheets>
    <sheet name="LEEME" sheetId="1" state="visible" r:id="rId3"/>
    <sheet name="Sectores" sheetId="2" state="visible" r:id="rId4"/>
    <sheet name="Sitios" sheetId="3" state="visible" r:id="rId5"/>
    <sheet name="PuntosActuales" sheetId="4" state="visible" r:id="rId6"/>
    <sheet name="Materiales" sheetId="5" state="visible" r:id="rId7"/>
    <sheet name="TiposContenedor" sheetId="6" state="visible" r:id="rId8"/>
    <sheet name="DotacionActual" sheetId="7" state="visible" r:id="rId9"/>
    <sheet name="Generacion" sheetId="8" state="visible" r:id="rId10"/>
    <sheet name="Semanas" sheetId="9" state="visible" r:id="rId11"/>
    <sheet name="AtractivoSitios" sheetId="10" state="visible" r:id="rId12"/>
    <sheet name="Alternativas" sheetId="11" state="visible" r:id="rId13"/>
    <sheet name="AtractivoAlternativas" sheetId="12" state="visible" r:id="rId14"/>
    <sheet name="Camiones" sheetId="13" state="visible" r:id="rId15"/>
    <sheet name="Costos" sheetId="14" state="visible" r:id="rId16"/>
    <sheet name="Calibracion" sheetId="15" state="visible" r:id="rId17"/>
    <sheet name="Coordenadas" sheetId="16" state="visible" r:id="rId18"/>
    <sheet name="Fuentes_Metodologi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<sst xmlns="http://schemas.openxmlformats.org/spreadsheetml/2006/main" count="5759" uniqueCount="456">
  <si>
    <t xml:space="preserve">hoja</t>
  </si>
  <si>
    <t xml:space="preserve">descripcion</t>
  </si>
  <si>
    <t xml:space="preserve">Sectores</t>
  </si>
  <si>
    <t xml:space="preserve">Un sector por fila (zona censal). macrozona: distrito al que pertenece (cada sector en una sola).</t>
  </si>
  <si>
    <t xml:space="preserve">Sitios (falta que el liu calcule contenedores por punto limpio, para poner bien la superficie para contenedores)</t>
  </si>
  <si>
    <t xml:space="preserve">Ubicaciones candidatas (incluye las actuales). macrozona: dónde está el sitio. superficie: espacio para contenedores.</t>
  </si>
  <si>
    <t xml:space="preserve">PuntosActuales</t>
  </si>
  <si>
    <t xml:space="preserve">Los puntos limpios que existen hoy, el sitio donde están y su nombre municipal (el mismo que usa DotacionActual).</t>
  </si>
  <si>
    <t xml:space="preserve">Materiales</t>
  </si>
  <si>
    <t xml:space="preserve">Las 5 categorías del DS 12. atractivo_no_reciclar: uN de cada material, calibrado en la hoja Calibracion con las toneladas 2023.</t>
  </si>
  <si>
    <t xml:space="preserve">TiposContenedor</t>
  </si>
  <si>
    <t xml:space="preserve">Opciones de compra: capacidad máxima nominal por volumen y densidad, limitada además por la carga del fabricante (100 %; sin margen operativo de 20 %).</t>
  </si>
  <si>
    <t xml:space="preserve">DotacionActual</t>
  </si>
  <si>
    <t xml:space="preserve">Dotación inicial ESTIMADA (no inventario histórico) por punto y material, usando el máximo semanal de los residuos recibidos en 2023 y el 100 % de la capacidad físicamente admisible; sin gasto de adquisición.</t>
  </si>
  <si>
    <t xml:space="preserve">Generacion</t>
  </si>
  <si>
    <t xml:space="preserve">Generación anual por habitante de cada material en cada sector.</t>
  </si>
  <si>
    <t xml:space="preserve">Semanas</t>
  </si>
  <si>
    <t xml:space="preserve">Una fila por semana del horizonte. fraccion_generacion: parte de la generación anual que ocurre esa semana. temporada solo se usa para gráficos.</t>
  </si>
  <si>
    <t xml:space="preserve">AtractivoSitios</t>
  </si>
  <si>
    <t xml:space="preserve">Pares sector–sitio con distancia euclidiana &lt;= Dmax; atractivo exp(-beta·distancia). Base: Dmax=2 km, beta=0.5/km (calibrado con las toneladas 2023, ver Calibracion). Fuera del radio se omiten y su atractivo es 0.</t>
  </si>
  <si>
    <t xml:space="preserve">Alternativas</t>
  </si>
  <si>
    <t xml:space="preserve">Una fila por cada material que recibe cada alternativa de terceros.</t>
  </si>
  <si>
    <t xml:space="preserve">AtractivoAlternativas</t>
  </si>
  <si>
    <t xml:space="preserve">Pares sector–alternativa con distancia euclidiana &lt;= Dmax; mismo beta y radio que AtractivoSitios. Fuera del radio se omiten y su atractivo es 0.</t>
  </si>
  <si>
    <t xml:space="preserve">Camiones</t>
  </si>
  <si>
    <t xml:space="preserve">Camiones asignados a la red de puntos limpios (no los domiciliarios).</t>
  </si>
  <si>
    <t xml:space="preserve">Costos</t>
  </si>
  <si>
    <t xml:space="preserve">Parámetros escalares. No cambiar los nombres de la columna parametro.</t>
  </si>
  <si>
    <t xml:space="preserve">Coordenadas</t>
  </si>
  <si>
    <t xml:space="preserve">Solo para mapas; el modelo no las usa.</t>
  </si>
  <si>
    <t xml:space="preserve">AVISO</t>
  </si>
  <si>
    <t xml:space="preserve">AVISO: instancia académica que combina datos territoriales y municipales con parámetros estimados y supuestos. Las cantidades iniciales NO representan un inventario observado; consultar el reporte técnico.</t>
  </si>
  <si>
    <t xml:space="preserve">PARÁMETROS DE ATRACTIVO</t>
  </si>
  <si>
    <t xml:space="preserve">Valor / interpretación</t>
  </si>
  <si>
    <t xml:space="preserve">beta [1/km]</t>
  </si>
  <si>
    <t xml:space="preserve">Dmax [km]</t>
  </si>
  <si>
    <t xml:space="preserve">Representación</t>
  </si>
  <si>
    <t xml:space="preserve">Solo pares dentro del radio; todos los demás tienen atractivo cero y se omiten.</t>
  </si>
  <si>
    <t xml:space="preserve">Para cambiar Dmax</t>
  </si>
  <si>
    <t xml:space="preserve">Regenerar AtractivoSitios y AtractivoAlternativas desde Coordenadas (el cambio de celda no agrega filas).</t>
  </si>
  <si>
    <t xml:space="preserve">Calibracion</t>
  </si>
  <si>
    <t xml:space="preserve">Cálculo de uN por material según calibracion_uN.pdf: cada uN hace que el modelo logit reproduzca las toneladas 2023 de ese material en los 6 puntos que calibran. El código no lee esta hoja.</t>
  </si>
  <si>
    <t xml:space="preserve">sector</t>
  </si>
  <si>
    <t xml:space="preserve">macrozona</t>
  </si>
  <si>
    <t xml:space="preserve">poblacion [hab]</t>
  </si>
  <si>
    <t xml:space="preserve">Z1</t>
  </si>
  <si>
    <t xml:space="preserve">Sur Oriente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</si>
  <si>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</si>
  <si>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</si>
  <si>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</si>
  <si>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</si>
  <si>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</si>
  <si>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</si>
  <si>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Norte Oriente</t>
  </si>
  <si>
    <t xml:space="preserve">Z8</t>
  </si>
  <si>
    <t xml:space="preserve">Z9</t>
  </si>
  <si>
    <t xml:space="preserve">Z10</t>
  </si>
  <si>
    <t xml:space="preserve">Z11</t>
  </si>
  <si>
    <t xml:space="preserve">Z12</t>
  </si>
  <si>
    <t xml:space="preserve">Z13</t>
  </si>
  <si>
    <t xml:space="preserve">Z14</t>
  </si>
  <si>
    <t xml:space="preserve">Z15</t>
  </si>
  <si>
    <t xml:space="preserve">Z16</t>
  </si>
  <si>
    <t xml:space="preserve">Z17</t>
  </si>
  <si>
    <t xml:space="preserve">Z18</t>
  </si>
  <si>
    <t xml:space="preserve">Z19</t>
  </si>
  <si>
    <t xml:space="preserve">Z20</t>
  </si>
  <si>
    <t xml:space="preserve">Z21</t>
  </si>
  <si>
    <t xml:space="preserve">Z22</t>
  </si>
  <si>
    <t xml:space="preserve">Z23</t>
  </si>
  <si>
    <t xml:space="preserve">Z24</t>
  </si>
  <si>
    <t xml:space="preserve">Z25</t>
  </si>
  <si>
    <t xml:space="preserve">Z26</t>
  </si>
  <si>
    <t xml:space="preserve">Z27</t>
  </si>
  <si>
    <t xml:space="preserve">Z28</t>
  </si>
  <si>
    <t xml:space="preserve">Z29</t>
  </si>
  <si>
    <t xml:space="preserve">Z30</t>
  </si>
  <si>
    <t xml:space="preserve">Z31</t>
  </si>
  <si>
    <t xml:space="preserve">Z32</t>
  </si>
  <si>
    <t xml:space="preserve">Z33</t>
  </si>
  <si>
    <t xml:space="preserve">Sur Poniente</t>
  </si>
  <si>
    <t xml:space="preserve">Z34</t>
  </si>
  <si>
    <t xml:space="preserve">Z35</t>
  </si>
  <si>
    <t xml:space="preserve">Z36</t>
  </si>
  <si>
    <t xml:space="preserve">Z37</t>
  </si>
  <si>
    <t xml:space="preserve">Z38</t>
  </si>
  <si>
    <t xml:space="preserve">Z39</t>
  </si>
  <si>
    <t xml:space="preserve">Z40</t>
  </si>
  <si>
    <t xml:space="preserve">Z41</t>
  </si>
  <si>
    <t xml:space="preserve">Z42</t>
  </si>
  <si>
    <t xml:space="preserve">Z43</t>
  </si>
  <si>
    <t xml:space="preserve">Z44</t>
  </si>
  <si>
    <t xml:space="preserve">Z45</t>
  </si>
  <si>
    <t xml:space="preserve">Z46</t>
  </si>
  <si>
    <t xml:space="preserve">Z47</t>
  </si>
  <si>
    <t xml:space="preserve">Z48</t>
  </si>
  <si>
    <t xml:space="preserve">Z49</t>
  </si>
  <si>
    <t xml:space="preserve">Z50</t>
  </si>
  <si>
    <t xml:space="preserve">Z51</t>
  </si>
  <si>
    <t xml:space="preserve">Norte Poniente</t>
  </si>
  <si>
    <t xml:space="preserve">Z52</t>
  </si>
  <si>
    <t xml:space="preserve">Z53</t>
  </si>
  <si>
    <t xml:space="preserve">Z54</t>
  </si>
  <si>
    <t xml:space="preserve">Z55</t>
  </si>
  <si>
    <t xml:space="preserve">Z56</t>
  </si>
  <si>
    <t xml:space="preserve">Z57</t>
  </si>
  <si>
    <t xml:space="preserve">Z58</t>
  </si>
  <si>
    <t xml:space="preserve">Z59</t>
  </si>
  <si>
    <t xml:space="preserve">Z60</t>
  </si>
  <si>
    <t xml:space="preserve">Z61</t>
  </si>
  <si>
    <t xml:space="preserve">Z62</t>
  </si>
  <si>
    <t xml:space="preserve">Z63</t>
  </si>
  <si>
    <t xml:space="preserve">Z64</t>
  </si>
  <si>
    <t xml:space="preserve">Z65</t>
  </si>
  <si>
    <t xml:space="preserve">Z66</t>
  </si>
  <si>
    <t xml:space="preserve">Z67</t>
  </si>
  <si>
    <t xml:space="preserve">Z68</t>
  </si>
  <si>
    <t xml:space="preserve">Z69</t>
  </si>
  <si>
    <t xml:space="preserve">Z70</t>
  </si>
  <si>
    <t xml:space="preserve">Z71</t>
  </si>
  <si>
    <t xml:space="preserve">Z72</t>
  </si>
  <si>
    <t xml:space="preserve">Z73</t>
  </si>
  <si>
    <t xml:space="preserve">Z74</t>
  </si>
  <si>
    <t xml:space="preserve">Z75</t>
  </si>
  <si>
    <t xml:space="preserve">Z76</t>
  </si>
  <si>
    <t xml:space="preserve">Z77</t>
  </si>
  <si>
    <t xml:space="preserve">Z78</t>
  </si>
  <si>
    <t xml:space="preserve">Z79</t>
  </si>
  <si>
    <t xml:space="preserve">Z80</t>
  </si>
  <si>
    <t xml:space="preserve">Z81</t>
  </si>
  <si>
    <t xml:space="preserve">Z82</t>
  </si>
  <si>
    <t xml:space="preserve">Z83</t>
  </si>
  <si>
    <t xml:space="preserve">Z84</t>
  </si>
  <si>
    <t xml:space="preserve">Z85</t>
  </si>
  <si>
    <t xml:space="preserve">Z86</t>
  </si>
  <si>
    <t xml:space="preserve">Z87</t>
  </si>
  <si>
    <t xml:space="preserve">Z88</t>
  </si>
  <si>
    <t xml:space="preserve">Z89</t>
  </si>
  <si>
    <t xml:space="preserve">Z90</t>
  </si>
  <si>
    <t xml:space="preserve">Z91</t>
  </si>
  <si>
    <t xml:space="preserve">Z92</t>
  </si>
  <si>
    <t xml:space="preserve">Z93</t>
  </si>
  <si>
    <t xml:space="preserve">Z94</t>
  </si>
  <si>
    <t xml:space="preserve">Z95</t>
  </si>
  <si>
    <t xml:space="preserve">Z96</t>
  </si>
  <si>
    <t xml:space="preserve">Z97</t>
  </si>
  <si>
    <t xml:space="preserve">Z98</t>
  </si>
  <si>
    <t xml:space="preserve">Z99</t>
  </si>
  <si>
    <t xml:space="preserve">Z100</t>
  </si>
  <si>
    <t xml:space="preserve">Z101</t>
  </si>
  <si>
    <t xml:space="preserve">Z102</t>
  </si>
  <si>
    <t xml:space="preserve">Z103</t>
  </si>
  <si>
    <t xml:space="preserve">Z104</t>
  </si>
  <si>
    <t xml:space="preserve">Z105</t>
  </si>
  <si>
    <t xml:space="preserve">Z106</t>
  </si>
  <si>
    <t xml:space="preserve">Z107</t>
  </si>
  <si>
    <t xml:space="preserve">Z108</t>
  </si>
  <si>
    <t xml:space="preserve">Z109</t>
  </si>
  <si>
    <t xml:space="preserve">Z110</t>
  </si>
  <si>
    <t xml:space="preserve">Z111</t>
  </si>
  <si>
    <t xml:space="preserve">Z112</t>
  </si>
  <si>
    <t xml:space="preserve">Z113</t>
  </si>
  <si>
    <t xml:space="preserve">Z114</t>
  </si>
  <si>
    <t xml:space="preserve">Z115</t>
  </si>
  <si>
    <t xml:space="preserve">Z116</t>
  </si>
  <si>
    <t xml:space="preserve">Z117</t>
  </si>
  <si>
    <t xml:space="preserve">Z118</t>
  </si>
  <si>
    <t xml:space="preserve">Z119</t>
  </si>
  <si>
    <t xml:space="preserve">Z120</t>
  </si>
  <si>
    <t xml:space="preserve">Z121</t>
  </si>
  <si>
    <t xml:space="preserve">Z122</t>
  </si>
  <si>
    <t xml:space="preserve">Z123</t>
  </si>
  <si>
    <t xml:space="preserve">Z124</t>
  </si>
  <si>
    <t xml:space="preserve">Z125</t>
  </si>
  <si>
    <t xml:space="preserve">Z126</t>
  </si>
  <si>
    <t xml:space="preserve">Z127</t>
  </si>
  <si>
    <t xml:space="preserve">Z128</t>
  </si>
  <si>
    <t xml:space="preserve">Z129</t>
  </si>
  <si>
    <t xml:space="preserve">Z130</t>
  </si>
  <si>
    <t xml:space="preserve">Z131</t>
  </si>
  <si>
    <t xml:space="preserve">Z132</t>
  </si>
  <si>
    <t xml:space="preserve">Z133</t>
  </si>
  <si>
    <t xml:space="preserve">Z134</t>
  </si>
  <si>
    <t xml:space="preserve">Z135</t>
  </si>
  <si>
    <t xml:space="preserve">Z136</t>
  </si>
  <si>
    <t xml:space="preserve">Z137</t>
  </si>
  <si>
    <t xml:space="preserve">Z138</t>
  </si>
  <si>
    <t xml:space="preserve">Z139</t>
  </si>
  <si>
    <t xml:space="preserve">Z140</t>
  </si>
  <si>
    <t xml:space="preserve">Z141</t>
  </si>
  <si>
    <t xml:space="preserve">Z142</t>
  </si>
  <si>
    <t xml:space="preserve">sitio</t>
  </si>
  <si>
    <t xml:space="preserve">superficie [m2]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</si>
  <si>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</si>
  <si>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</si>
  <si>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</si>
  <si>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</si>
  <si>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</si>
  <si>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</si>
  <si>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</si>
  <si>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</si>
  <si>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</si>
  <si>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</si>
  <si>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</si>
  <si>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</si>
  <si>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</si>
  <si>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</si>
  <si>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</si>
  <si>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</si>
  <si>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</si>
  <si>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</si>
  <si>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</si>
  <si>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</si>
  <si>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punto</t>
  </si>
  <si>
    <t xml:space="preserve">sitio_actual</t>
  </si>
  <si>
    <t xml:space="preserve">nombre_sitio_actual</t>
  </si>
  <si>
    <t xml:space="preserve">P1</t>
  </si>
  <si>
    <t xml:space="preserve">Juan de Dios Malebrán</t>
  </si>
  <si>
    <t xml:space="preserve">P2</t>
  </si>
  <si>
    <t xml:space="preserve">Los Toros</t>
  </si>
  <si>
    <t xml:space="preserve">P3</t>
  </si>
  <si>
    <t xml:space="preserve">Creta</t>
  </si>
  <si>
    <t xml:space="preserve">P4</t>
  </si>
  <si>
    <t xml:space="preserve">Los Evangelistas</t>
  </si>
  <si>
    <t xml:space="preserve">P5</t>
  </si>
  <si>
    <t xml:space="preserve">Don Ramón</t>
  </si>
  <si>
    <t xml:space="preserve">P6</t>
  </si>
  <si>
    <t xml:space="preserve">Madre Tierra</t>
  </si>
  <si>
    <t xml:space="preserve">P7</t>
  </si>
  <si>
    <t xml:space="preserve">Santa Faustina</t>
  </si>
  <si>
    <t xml:space="preserve">material</t>
  </si>
  <si>
    <t xml:space="preserve">atractivo_no_reciclar [-]</t>
  </si>
  <si>
    <t xml:space="preserve">papel_carton</t>
  </si>
  <si>
    <t xml:space="preserve">plastico</t>
  </si>
  <si>
    <t xml:space="preserve">vidrio</t>
  </si>
  <si>
    <t xml:space="preserve">metal</t>
  </si>
  <si>
    <t xml:space="preserve">carton_liquidos</t>
  </si>
  <si>
    <t xml:space="preserve">tipo</t>
  </si>
  <si>
    <t xml:space="preserve">capacidad [ton/cont]</t>
  </si>
  <si>
    <t xml:space="preserve">superficie [m2/cont]</t>
  </si>
  <si>
    <t xml:space="preserve">costo_compra [CLP/cont]</t>
  </si>
  <si>
    <t xml:space="preserve">costo_mantencion [CLP/cont/año]</t>
  </si>
  <si>
    <t xml:space="preserve">PC_770</t>
  </si>
  <si>
    <t xml:space="preserve">PC_1100</t>
  </si>
  <si>
    <t xml:space="preserve">PL_240</t>
  </si>
  <si>
    <t xml:space="preserve">PL_770</t>
  </si>
  <si>
    <t xml:space="preserve">PL_1100</t>
  </si>
  <si>
    <t xml:space="preserve">VI_240</t>
  </si>
  <si>
    <t xml:space="preserve">VI_3000</t>
  </si>
  <si>
    <t xml:space="preserve">ME_240</t>
  </si>
  <si>
    <t xml:space="preserve">ME_770</t>
  </si>
  <si>
    <t xml:space="preserve">CL_770</t>
  </si>
  <si>
    <t xml:space="preserve">CL_1100</t>
  </si>
  <si>
    <t xml:space="preserve">tipo_existente</t>
  </si>
  <si>
    <t xml:space="preserve">cantidad [cont/punto]</t>
  </si>
  <si>
    <t xml:space="preserve">capacidad_util [ton/cont]</t>
  </si>
  <si>
    <t xml:space="preserve">EX_JAULA_PC_6400</t>
  </si>
  <si>
    <t xml:space="preserve">EX_PL_770</t>
  </si>
  <si>
    <t xml:space="preserve">EX_VI_CAMP_3000</t>
  </si>
  <si>
    <t xml:space="preserve">EX_ME_770</t>
  </si>
  <si>
    <t xml:space="preserve">EX_CL_770</t>
  </si>
  <si>
    <t xml:space="preserve">generacion [ton/hab/año]</t>
  </si>
  <si>
    <t xml:space="preserve">semana</t>
  </si>
  <si>
    <t xml:space="preserve">temporada</t>
  </si>
  <si>
    <t xml:space="preserve">fraccion_generacion [-]</t>
  </si>
  <si>
    <t xml:space="preserve">verano</t>
  </si>
  <si>
    <t xml:space="preserve">resto</t>
  </si>
  <si>
    <t xml:space="preserve">atractivo [-]</t>
  </si>
  <si>
    <t xml:space="preserve">alternativa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</si>
  <si>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</si>
  <si>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</si>
  <si>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</si>
  <si>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</si>
  <si>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</si>
  <si>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</si>
  <si>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</si>
  <si>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</si>
  <si>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</si>
  <si>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</si>
  <si>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</si>
  <si>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</si>
  <si>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</si>
  <si>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</si>
  <si>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</si>
  <si>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</si>
  <si>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</si>
  <si>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</si>
  <si>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</si>
  <si>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</si>
  <si>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</si>
  <si>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</si>
  <si>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</si>
  <si>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</si>
  <si>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</si>
  <si>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</si>
  <si>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</si>
  <si>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</si>
  <si>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</si>
  <si>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</si>
  <si>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</si>
  <si>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</si>
  <si>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</si>
  <si>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</si>
  <si>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</si>
  <si>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</si>
  <si>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</si>
  <si>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</si>
  <si>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</si>
  <si>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</si>
  <si>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camion</t>
  </si>
  <si>
    <t xml:space="preserve">capacidad [ton/recorrido]</t>
  </si>
  <si>
    <t xml:space="preserve">costo_recorrido [CLP/recorrido]</t>
  </si>
  <si>
    <t xml:space="preserve">volumen [m3/recorrido]</t>
  </si>
  <si>
    <t xml:space="preserve">compatible_campana [0/1]</t>
  </si>
  <si>
    <t xml:space="preserve">H1</t>
  </si>
  <si>
    <t xml:space="preserve">H2</t>
  </si>
  <si>
    <t xml:space="preserve">H3</t>
  </si>
  <si>
    <t xml:space="preserve">parametro</t>
  </si>
  <si>
    <t xml:space="preserve">valor</t>
  </si>
  <si>
    <t xml:space="preserve">unidad</t>
  </si>
  <si>
    <t xml:space="preserve">F</t>
  </si>
  <si>
    <t xml:space="preserve">visitas/semana</t>
  </si>
  <si>
    <t xml:space="preserve">B</t>
  </si>
  <si>
    <t xml:space="preserve">CLP/año</t>
  </si>
  <si>
    <t xml:space="preserve">cH</t>
  </si>
  <si>
    <t xml:space="preserve">CLP/ubicación habilitada</t>
  </si>
  <si>
    <t xml:space="preserve">tasa_mantencion</t>
  </si>
  <si>
    <t xml:space="preserve">1/año</t>
  </si>
  <si>
    <t xml:space="preserve">generación g_im [ton/hab/año]</t>
  </si>
  <si>
    <t xml:space="preserve">atractivo alternativas que reciben m [-]</t>
  </si>
  <si>
    <t xml:space="preserve">atractivo puntos actuales u_in [-]</t>
  </si>
  <si>
    <t xml:space="preserve">suma puntos actuales [-]</t>
  </si>
  <si>
    <t xml:space="preserve">captura por unidad de atractivo [ton/hab/año]</t>
  </si>
  <si>
    <t xml:space="preserve">Calibración de uN por material. Buscar objetivo, una vez por material: definir la celda de la fila 18 = 0 cambiando el uN de la fila 4.</t>
  </si>
  <si>
    <t xml:space="preserve">uN [-]</t>
  </si>
  <si>
    <t xml:space="preserve">nombre</t>
  </si>
  <si>
    <t xml:space="preserve">papel_carton modelo [ton/año]</t>
  </si>
  <si>
    <t xml:space="preserve">plastico modelo [ton/año]</t>
  </si>
  <si>
    <t xml:space="preserve">vidrio modelo [ton/año]</t>
  </si>
  <si>
    <t xml:space="preserve">metal modelo [ton/año]</t>
  </si>
  <si>
    <t xml:space="preserve">carton_liquidos modelo [ton/año]</t>
  </si>
  <si>
    <t xml:space="preserve">total modelo [ton/año]</t>
  </si>
  <si>
    <t xml:space="preserve">total real 2023 [ton]</t>
  </si>
  <si>
    <t xml:space="preserve">calibra [1/0]</t>
  </si>
  <si>
    <t xml:space="preserve">error modelo − real [ton]</t>
  </si>
  <si>
    <t xml:space="preserve">Modelo, puntos que calibran [t]</t>
  </si>
  <si>
    <t xml:space="preserve">error absoluto total de los puntos que calibran [t]</t>
  </si>
  <si>
    <t xml:space="preserve">Real 2023, 7 puntos [t]</t>
  </si>
  <si>
    <t xml:space="preserve">Puntos excluidos, estimado con la mezcla promedio [t]</t>
  </si>
  <si>
    <t xml:space="preserve">Objetivo, puntos que calibran [t]</t>
  </si>
  <si>
    <t xml:space="preserve">Diferencia modelo − objetivo [t]</t>
  </si>
  <si>
    <t xml:space="preserve">Notas</t>
  </si>
  <si>
    <t xml:space="preserve">Toneladas 2023: CSV de cada punto limpio (Portal de Datos Abiertos), solo los 5 materiales del modelo, escala valor/10.000 (reporte técnico, tablas 3.1 y 3.2).</t>
  </si>
  <si>
    <t xml:space="preserve">Santa Faustina no calibra (calibra = 0) por la interrupción de julio de 2023, pero sigue compitiendo por los vecinos en la columna T (reporte técnico, anexo C).</t>
  </si>
  <si>
    <t xml:space="preserve">Como no se tiene su desglose por material, lo que aportó Santa Faustina se reparte con la mezcla de los 7 puntos (fila 16). Si se obtiene su desglose real, reemplazar la fila 16 y repetir Buscar objetivo.</t>
  </si>
  <si>
    <t xml:space="preserve">Un uN por material hace que el modelo reproduzca la mezcla observada (54 % vidrio, 9 % plástico) en vez de la mezcla de generación domiciliaria.</t>
  </si>
  <si>
    <t xml:space="preserve">Atractivos con beta = 0.5/km y Dmax = 2 km (LEEME). Supuesto: la calibración no considera la capacidad de los contenedores (en 2023 los puntos no se rebalsaron).</t>
  </si>
  <si>
    <t xml:space="preserve">beta se bajó desde 2,1/km porque con ese valor el modelo asignaba más material a los puntos que reciben menos (correlación negativa); ver tabla de comparación de beta.</t>
  </si>
  <si>
    <t xml:space="preserve">Comparación de beta (repitiendo esta hoja con cada valor; Dmax = 2 km)</t>
  </si>
  <si>
    <t xml:space="preserve">error absoluto, 6 puntos [t]</t>
  </si>
  <si>
    <t xml:space="preserve">correlación modelo-real [-]</t>
  </si>
  <si>
    <t xml:space="preserve">elemento</t>
  </si>
  <si>
    <t xml:space="preserve">x [km]</t>
  </si>
  <si>
    <t xml:space="preserve">y [km]</t>
  </si>
  <si>
    <t xml:space="preserve">GENERACION 2023  |  BASE Y TRAZABILIDAD  |  V1</t>
  </si>
  <si>
    <t xml:space="preserve">Generación ajustada a 560.695 habitantes del Excel; tasas numéricas en Generacion para compatibilidad con código.</t>
  </si>
  <si>
    <t xml:space="preserve">Población de instancia</t>
  </si>
  <si>
    <t xml:space="preserve">hab</t>
  </si>
  <si>
    <t xml:space="preserve">Fijada por el equipo; igual a suma de Sectores</t>
  </si>
  <si>
    <t xml:space="preserve">RSD 2023 - suma de meses</t>
  </si>
  <si>
    <t xml:space="preserve">ton</t>
  </si>
  <si>
    <t xml:space="preserve">Dato base anual de recolección domiciliaria; sumar detalle mensual</t>
  </si>
  <si>
    <t xml:space="preserve">Mes (2023)</t>
  </si>
  <si>
    <t xml:space="preserve">RSD recolectado [ton]</t>
  </si>
  <si>
    <t xml:space="preserve">RSD 2023 - total indicado</t>
  </si>
  <si>
    <t xml:space="preserve">Discrepancia pendiente de revisar en RSD_2023.xlsx</t>
  </si>
  <si>
    <t xml:space="preserve">Enero</t>
  </si>
  <si>
    <t xml:space="preserve">Diferencia suma - total</t>
  </si>
  <si>
    <t xml:space="preserve">Control del dato anual</t>
  </si>
  <si>
    <t xml:space="preserve">Febrero</t>
  </si>
  <si>
    <t xml:space="preserve">Tasa anual RSD ajustada</t>
  </si>
  <si>
    <t xml:space="preserve">ton/hab/año</t>
  </si>
  <si>
    <t xml:space="preserve">198.449 / 560.695, no es tasa oficial por habitante</t>
  </si>
  <si>
    <t xml:space="preserve">Marzo</t>
  </si>
  <si>
    <t xml:space="preserve">Fracción estimada 5 materiales</t>
  </si>
  <si>
    <t xml:space="preserve">[-]</t>
  </si>
  <si>
    <t xml:space="preserve">Suma de composición de los cinco materiales</t>
  </si>
  <si>
    <t xml:space="preserve">Abril</t>
  </si>
  <si>
    <t xml:space="preserve">Tasa anual 5 materiales</t>
  </si>
  <si>
    <t xml:space="preserve">Suma de tasas anuales estimadas</t>
  </si>
  <si>
    <t xml:space="preserve">Mayo</t>
  </si>
  <si>
    <t xml:space="preserve">Toneladas estimadas 5 materiales</t>
  </si>
  <si>
    <t xml:space="preserve">ton/año</t>
  </si>
  <si>
    <t xml:space="preserve">Estimación de generación de cinco materiales</t>
  </si>
  <si>
    <t xml:space="preserve">Junio</t>
  </si>
  <si>
    <t xml:space="preserve">Población en Sectores</t>
  </si>
  <si>
    <t xml:space="preserve">Verificación independiente contra hoja Sectores</t>
  </si>
  <si>
    <t xml:space="preserve">Julio</t>
  </si>
  <si>
    <t xml:space="preserve">Suma fracciones en Semanas</t>
  </si>
  <si>
    <t xml:space="preserve">Debe ser 1 para no duplicar estacionalidad</t>
  </si>
  <si>
    <t xml:space="preserve">Agosto</t>
  </si>
  <si>
    <t xml:space="preserve">Registros de Generacion</t>
  </si>
  <si>
    <t xml:space="preserve">filas</t>
  </si>
  <si>
    <t xml:space="preserve">142 sectores x 5 materiales = 710</t>
  </si>
  <si>
    <t xml:space="preserve">Septiembre</t>
  </si>
  <si>
    <t xml:space="preserve">Diferencia vs 710</t>
  </si>
  <si>
    <t xml:space="preserve">Debe ser 0</t>
  </si>
  <si>
    <t xml:space="preserve">Octubre</t>
  </si>
  <si>
    <t xml:space="preserve">Noviembre</t>
  </si>
  <si>
    <t xml:space="preserve">Material</t>
  </si>
  <si>
    <t xml:space="preserve">Proporción [% de RSD]</t>
  </si>
  <si>
    <t xml:space="preserve">Origen</t>
  </si>
  <si>
    <t xml:space="preserve">Año referencia</t>
  </si>
  <si>
    <t xml:space="preserve">Tasa [ton/hab/año]</t>
  </si>
  <si>
    <t xml:space="preserve">Estimado [ton/año]</t>
  </si>
  <si>
    <t xml:space="preserve">URL fuente</t>
  </si>
  <si>
    <t xml:space="preserve">Diciembre</t>
  </si>
  <si>
    <t xml:space="preserve">Papel y cartón</t>
  </si>
  <si>
    <t xml:space="preserve">MMA / Catastro SUBDERE 2017</t>
  </si>
  <si>
    <t xml:space="preserve">2017</t>
  </si>
  <si>
    <t xml:space="preserve">https://snichile.mma.gob.cl/wp-content/uploads/2023/04/2022_IIN_CL.pdf</t>
  </si>
  <si>
    <t xml:space="preserve">SUMA MENSUAL</t>
  </si>
  <si>
    <t xml:space="preserve">Plástico</t>
  </si>
  <si>
    <t xml:space="preserve">Vidrio</t>
  </si>
  <si>
    <t xml:space="preserve">Metales</t>
  </si>
  <si>
    <t xml:space="preserve">Cartón para líquidos</t>
  </si>
  <si>
    <t xml:space="preserve">CONAMA-PUCV / Sector residencial RM</t>
  </si>
  <si>
    <t xml:space="preserve">2005</t>
  </si>
  <si>
    <t xml:space="preserve">https://metadatos.mma.gob.cl/sinia/articles-39508_pdf_informeF.pdf</t>
  </si>
  <si>
    <t xml:space="preserve">TOTAL CINCO MATERIALES</t>
  </si>
  <si>
    <t xml:space="preserve">METODOLOGÍA Y LIMITACIONES PARA EL REPORTE DEL EQUIPO</t>
  </si>
  <si>
    <t xml:space="preserve">Alcance: las 710 filas (142 sectores x 5 materiales) en Generacion fueron completadas. No se alteraron las 15 hojas originales restantes.</t>
  </si>
  <si>
    <t xml:space="preserve">Fórmula: g_m = (RSD_2023 / P_instancia) x q_m; RSD_2023=198.449 ton (suma mensual) y P_instancia=560.695 hab.</t>
  </si>
  <si>
    <t xml:space="preserve">La misma tasa per cápita de cada material se aplica a todos los sectores; las cantidades totales difieren según la población sectorial.</t>
  </si>
  <si>
    <t xml:space="preserve">La generación total se aproxima a partir de residuos domiciliarios RECOLECTADOS. No equivale a generación medida de envases elegibles.</t>
  </si>
  <si>
    <t xml:space="preserve">Composición: porcentajes regionales SUBDERE 2017 para papel-cartón, plástico, vidrio y metales. Tetrapack = 0,70 % de CONAMA-PUCV residencial 2005.</t>
  </si>
  <si>
    <t xml:space="preserve">Los valores de composición son supuestos respaldados por caracterizaciones históricas de la RM, NO mediciones comunales de 2023.</t>
  </si>
  <si>
    <t xml:space="preserve">Papel/cartón y Tetrapack se separan como categorías diferentes. Al mezclar dos caracterizaciones distintas subsiste incertidumbre metodológica.</t>
  </si>
  <si>
    <t xml:space="preserve">Discrepancia: el total 2023 citado previamente es 198.446 ton y la suma de las cifras mensuales anotadas es 198.449 ton (3 ton). Verificar descarga municipal.</t>
  </si>
  <si>
    <t xml:space="preserve">La hoja Semanas queda intacta. Sus 52 fracciones suman 1; NO aplicar nuevamente un factor adicional de verano.</t>
  </si>
  <si>
    <t xml:space="preserve">IMPORTANTE: tasa per cápita ajustada a población georreferenciada de 2024; NO publicitarla como tasa oficial per cápita observada para 2023.</t>
  </si>
  <si>
    <t xml:space="preserve">Valores de Generacion son NÚMEROS y no fórmulas para facilitar lectura desde código externo; las fórmulas de respaldo están en esta hoja.</t>
  </si>
  <si>
    <t xml:space="preserve">PENDIENTE: comprobar el detalle mensual directamente desde RSD_2023.xlsx, no disponible para descarga automática en esta sesión.</t>
  </si>
  <si>
    <t xml:space="preserve">RESTO DE LA INSTANCIA: las hojas TiposContenedor, DotacionActual, Camiones, Costos y atractivos aún requieren trabajo/validación.</t>
  </si>
  <si>
    <t xml:space="preserve">ENLACES Y DOCUMENTOS PARA TRAZABILIDAD</t>
  </si>
  <si>
    <t xml:space="preserve">Residuos 2023</t>
  </si>
  <si>
    <t xml:space="preserve">Municipalidad de Puente Alto; serie mensual RSD 2023</t>
  </si>
  <si>
    <t xml:space="preserve">https://datos.mpuentealto.cl/datasets/201106/residuos-solidos-domiciliarios-en-toneladas-enero-a-diciembre-2023/</t>
  </si>
  <si>
    <t xml:space="preserve">Composición regional 2017</t>
  </si>
  <si>
    <t xml:space="preserve">MMA; Informe inventario GEI 2022, tabla 7-8</t>
  </si>
  <si>
    <t xml:space="preserve">Tetrapack RM</t>
  </si>
  <si>
    <t xml:space="preserve">CONAMA-PUCV; estudio caracterización residencial, tabla 29</t>
  </si>
  <si>
    <t xml:space="preserve">142 sectores del Excel original; documentación de compañero</t>
  </si>
  <si>
    <t xml:space="preserve">Archivo ICS1113-E3-texto-informe.md.pdf</t>
  </si>
  <si>
    <t xml:space="preserve">Estacionalidad</t>
  </si>
  <si>
    <t xml:space="preserve">52 factores en hoja Semanas; investigación de compañero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</si>
</sst>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"/>
    <numFmt numFmtId="166" formatCode="0.00000"/>
    <numFmt numFmtId="167" formatCode="#,##0"/>
    <numFmt numFmtId="168" formatCode="#,##0;[RED]\(#,##0\);\-"/>
    <numFmt numFmtId="169" formatCode="0"/>
    <numFmt numFmtId="170" formatCode="0.000000000000"/>
    <numFmt numFmtId="171" formatCode="0.000000"/>
    <numFmt numFmtId="172" formatCode="0%"/>
    <numFmt numFmtId="173" formatCode="General"/>
    <numFmt numFmtId="174" formatCode="#,##0.00"/>
    <numFmt numFmtId="175" formatCode="#,##0.00000"/>
    <numFmt numFmtId="176" formatCode="0.0%"/>
    <numFmt numFmtId="177" formatCode="#,##0.00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53452"/>
      <name val="Calibri"/>
      <family val="0"/>
      <charset val="1"/>
    </font>
    <font>
      <sz val="11"/>
      <color rgb="FF153452"/>
      <name val="Calibri"/>
      <family val="0"/>
      <charset val="1"/>
    </font>
    <font>
      <sz val="11"/>
      <color rgb="FF2154A6"/>
      <name val="Calibri"/>
      <family val="0"/>
      <charset val="1"/>
    </font>
    <font>
      <sz val="11"/>
      <name val="Cambria"/>
      <family val="0"/>
      <charset val="1"/>
    </font>
    <font>
      <b val="true"/>
      <sz val="16"/>
      <color rgb="FFFFFFFF"/>
      <name val="Calibri"/>
      <family val="0"/>
      <charset val="1"/>
    </font>
    <font>
      <sz val="11"/>
      <color rgb="FF22545B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145A64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rgb="FF969696"/>
      </patternFill>
    </fill>
    <fill>
      <patternFill patternType="solid">
        <fgColor rgb="FF28445E"/>
        <bgColor rgb="FF204567"/>
      </patternFill>
    </fill>
    <fill>
      <patternFill patternType="solid">
        <fgColor rgb="FF164E63"/>
        <bgColor rgb="FF22545B"/>
      </patternFill>
    </fill>
    <fill>
      <patternFill patternType="solid">
        <fgColor rgb="FF115E68"/>
        <bgColor rgb="FF145A64"/>
      </patternFill>
    </fill>
    <fill>
      <patternFill patternType="solid">
        <fgColor rgb="FF145A64"/>
        <bgColor rgb="FF115E68"/>
      </patternFill>
    </fill>
    <fill>
      <patternFill patternType="solid">
        <fgColor rgb="FF204567"/>
        <bgColor rgb="FF28445E"/>
      </patternFill>
    </fill>
    <fill>
      <patternFill patternType="solid">
        <fgColor rgb="FF153452"/>
        <bgColor rgb="FF204567"/>
      </patternFill>
    </fill>
    <fill>
      <patternFill patternType="solid">
        <fgColor rgb="FFEDEDED"/>
        <bgColor rgb="FFF0F5F5"/>
      </patternFill>
    </fill>
    <fill>
      <patternFill patternType="solid">
        <fgColor rgb="FFFFF2CC"/>
        <bgColor rgb="FFEDEDED"/>
      </patternFill>
    </fill>
    <fill>
      <patternFill patternType="solid">
        <fgColor rgb="FFE2F1F1"/>
        <bgColor rgb="FFEDEDED"/>
      </patternFill>
    </fill>
    <fill>
      <patternFill patternType="solid">
        <fgColor rgb="FFF0F5F5"/>
        <bgColor rgb="FFEDEDED"/>
      </patternFill>
    </fill>
    <fill>
      <patternFill patternType="solid">
        <fgColor rgb="FFFFFFFF"/>
        <bgColor rgb="FFF0F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5E68"/>
      <rgbColor rgb="FFC0C0C0"/>
      <rgbColor rgb="FF808080"/>
      <rgbColor rgb="FF9999FF"/>
      <rgbColor rgb="FF993366"/>
      <rgbColor rgb="FFFFF2CC"/>
      <rgbColor rgb="FFE2F1F1"/>
      <rgbColor rgb="FF660066"/>
      <rgbColor rgb="FFFF8080"/>
      <rgbColor rgb="FF2154A6"/>
      <rgbColor rgb="FFCCCCFF"/>
      <rgbColor rgb="FF000080"/>
      <rgbColor rgb="FFFF00FF"/>
      <rgbColor rgb="FFFFFF00"/>
      <rgbColor rgb="FF00FFFF"/>
      <rgbColor rgb="FF800080"/>
      <rgbColor rgb="FF800000"/>
      <rgbColor rgb="FF145A64"/>
      <rgbColor rgb="FF0000FF"/>
      <rgbColor rgb="FF00CCFF"/>
      <rgbColor rgb="FFF0F5F5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153452"/>
      <rgbColor rgb="FF339966"/>
      <rgbColor rgb="FF164E63"/>
      <rgbColor rgb="FF22545B"/>
      <rgbColor rgb="FF993300"/>
      <rgbColor rgb="FF993366"/>
      <rgbColor rgb="FF204567"/>
      <rgbColor rgb="FF2844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0.71"/>
  </cols>
  <sheetData>
    <row r="1" customFormat="false" ht="15" hidden="false" customHeight="false" outlineLevel="0" collapsed="false">
      <c r="A1" s="0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1" t="s">
        <v>3</v>
      </c>
    </row>
    <row r="3" customFormat="false" ht="15" hidden="false" customHeight="false" outlineLevel="0" collapsed="false">
      <c r="A3" s="2" t="s">
        <v>4</v>
      </c>
      <c r="B3" s="1" t="s">
        <v>5</v>
      </c>
    </row>
    <row r="4" customFormat="false" ht="15" hidden="false" customHeight="false" outlineLevel="0" collapsed="false">
      <c r="A4" s="3" t="s">
        <v>6</v>
      </c>
      <c r="B4" s="1" t="s">
        <v>7</v>
      </c>
    </row>
    <row r="5" customFormat="false" ht="15" hidden="false" customHeight="false" outlineLevel="0" collapsed="false">
      <c r="A5" s="3" t="s">
        <v>8</v>
      </c>
      <c r="B5" s="1" t="s">
        <v>9</v>
      </c>
    </row>
    <row r="6" customFormat="false" ht="15" hidden="false" customHeight="false" outlineLevel="0" collapsed="false">
      <c r="A6" s="0" t="s">
        <v>10</v>
      </c>
      <c r="B6" s="1" t="s">
        <v>11</v>
      </c>
    </row>
    <row r="7" customFormat="false" ht="15" hidden="false" customHeight="false" outlineLevel="0" collapsed="false">
      <c r="A7" s="0" t="s">
        <v>12</v>
      </c>
      <c r="B7" s="1" t="s">
        <v>13</v>
      </c>
    </row>
    <row r="8" customFormat="false" ht="15" hidden="false" customHeight="false" outlineLevel="0" collapsed="false">
      <c r="A8" s="0" t="s">
        <v>14</v>
      </c>
      <c r="B8" s="1" t="s">
        <v>15</v>
      </c>
    </row>
    <row r="9" customFormat="false" ht="15" hidden="false" customHeight="false" outlineLevel="0" collapsed="false">
      <c r="A9" s="3" t="s">
        <v>16</v>
      </c>
      <c r="B9" s="1" t="s">
        <v>17</v>
      </c>
    </row>
    <row r="10" customFormat="false" ht="15" hidden="false" customHeight="false" outlineLevel="0" collapsed="false">
      <c r="A10" s="0" t="s">
        <v>18</v>
      </c>
      <c r="B10" s="1" t="s">
        <v>19</v>
      </c>
    </row>
    <row r="11" customFormat="false" ht="15" hidden="false" customHeight="false" outlineLevel="0" collapsed="false">
      <c r="A11" s="3" t="s">
        <v>20</v>
      </c>
      <c r="B11" s="1" t="s">
        <v>21</v>
      </c>
    </row>
    <row r="12" customFormat="false" ht="15" hidden="false" customHeight="false" outlineLevel="0" collapsed="false">
      <c r="A12" s="0" t="s">
        <v>22</v>
      </c>
      <c r="B12" s="1" t="s">
        <v>23</v>
      </c>
    </row>
    <row r="13" customFormat="false" ht="15" hidden="false" customHeight="false" outlineLevel="0" collapsed="false">
      <c r="A13" s="0" t="s">
        <v>24</v>
      </c>
      <c r="B13" s="1" t="s">
        <v>25</v>
      </c>
    </row>
    <row r="14" customFormat="false" ht="15" hidden="false" customHeight="false" outlineLevel="0" collapsed="false">
      <c r="A14" s="0" t="s">
        <v>26</v>
      </c>
      <c r="B14" s="1" t="s">
        <v>27</v>
      </c>
    </row>
    <row r="15" customFormat="false" ht="15" hidden="false" customHeight="false" outlineLevel="0" collapsed="false">
      <c r="A15" s="3" t="s">
        <v>28</v>
      </c>
      <c r="B15" s="1" t="s">
        <v>29</v>
      </c>
    </row>
    <row r="16" customFormat="false" ht="15" hidden="false" customHeight="false" outlineLevel="0" collapsed="false">
      <c r="A16" s="0" t="s">
        <v>30</v>
      </c>
      <c r="B16" s="1" t="s">
        <v>31</v>
      </c>
    </row>
    <row r="18" customFormat="false" ht="24" hidden="false" customHeight="true" outlineLevel="0" collapsed="false">
      <c r="A18" s="4" t="s">
        <v>32</v>
      </c>
      <c r="B18" s="4" t="s">
        <v>33</v>
      </c>
    </row>
    <row r="19" customFormat="false" ht="15" hidden="false" customHeight="false" outlineLevel="0" collapsed="false">
      <c r="A19" s="0" t="s">
        <v>34</v>
      </c>
      <c r="B19" s="5" t="n">
        <v>0.5</v>
      </c>
    </row>
    <row r="20" customFormat="false" ht="15" hidden="false" customHeight="false" outlineLevel="0" collapsed="false">
      <c r="A20" s="0" t="s">
        <v>35</v>
      </c>
      <c r="B20" s="5" t="n">
        <v>2</v>
      </c>
    </row>
    <row r="21" customFormat="false" ht="36" hidden="false" customHeight="true" outlineLevel="0" collapsed="false">
      <c r="A21" s="0" t="s">
        <v>36</v>
      </c>
      <c r="B21" s="6" t="s">
        <v>37</v>
      </c>
    </row>
    <row r="22" customFormat="false" ht="36" hidden="false" customHeight="true" outlineLevel="0" collapsed="false">
      <c r="A22" s="0" t="s">
        <v>38</v>
      </c>
      <c r="B22" s="6" t="s">
        <v>39</v>
      </c>
    </row>
    <row r="23" customFormat="false" ht="15" hidden="false" customHeight="false" outlineLevel="0" collapsed="false">
      <c r="A23" s="0" t="s">
        <v>40</v>
      </c>
      <c r="B23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43</v>
      </c>
      <c r="C1" s="0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n">
        <v>2849</v>
      </c>
    </row>
    <row r="3" customFormat="false" ht="15" hidden="false" customHeight="false" outlineLevel="0" collapsed="false">
      <c r="A3" s="0" t="s">
        <v>47</v>
      </c>
      <c r="B3" s="0" t="s">
        <v>46</v>
      </c>
      <c r="C3" s="0" t="n">
        <v>5671</v>
      </c>
    </row>
    <row r="4" customFormat="false" ht="15" hidden="false" customHeight="false" outlineLevel="0" collapsed="false">
      <c r="A4" s="0" t="s">
        <v>48</v>
      </c>
      <c r="B4" s="0" t="s">
        <v>46</v>
      </c>
      <c r="C4" s="0" t="n">
        <v>2170</v>
      </c>
    </row>
    <row r="5" customFormat="false" ht="15" hidden="false" customHeight="false" outlineLevel="0" collapsed="false">
      <c r="A5" s="0" t="s">
        <v>49</v>
      </c>
      <c r="B5" s="0" t="s">
        <v>46</v>
      </c>
      <c r="C5" s="0" t="n">
        <v>1868</v>
      </c>
    </row>
    <row r="6" customFormat="false" ht="15" hidden="false" customHeight="false" outlineLevel="0" collapsed="false">
      <c r="A6" s="0" t="s">
        <v>50</v>
      </c>
      <c r="B6" s="0" t="s">
        <v>46</v>
      </c>
      <c r="C6" s="0" t="n">
        <v>1511</v>
      </c>
    </row>
    <row r="7" customFormat="false" ht="15" hidden="false" customHeight="false" outlineLevel="0" collapsed="false">
      <c r="A7" s="0" t="s">
        <v>51</v>
      </c>
      <c r="B7" s="0" t="s">
        <v>46</v>
      </c>
      <c r="C7" s="0" t="n">
        <v>3068</v>
      </c>
    </row>
    <row r="8" customFormat="false" ht="15" hidden="false" customHeight="false" outlineLevel="0" collapsed="false">
      <c r="A8" s="0" t="s">
        <v>52</v>
      </c>
      <c r="B8" s="0" t="s">
        <v>53</v>
      </c>
      <c r="C8" s="0" t="n">
        <v>3975</v>
      </c>
    </row>
    <row r="9" customFormat="false" ht="15" hidden="false" customHeight="false" outlineLevel="0" collapsed="false">
      <c r="A9" s="0" t="s">
        <v>54</v>
      </c>
      <c r="B9" s="0" t="s">
        <v>53</v>
      </c>
      <c r="C9" s="0" t="n">
        <v>3739</v>
      </c>
    </row>
    <row r="10" customFormat="false" ht="15" hidden="false" customHeight="false" outlineLevel="0" collapsed="false">
      <c r="A10" s="0" t="s">
        <v>55</v>
      </c>
      <c r="B10" s="0" t="s">
        <v>53</v>
      </c>
      <c r="C10" s="0" t="n">
        <v>1825</v>
      </c>
    </row>
    <row r="11" customFormat="false" ht="15" hidden="false" customHeight="false" outlineLevel="0" collapsed="false">
      <c r="A11" s="0" t="s">
        <v>56</v>
      </c>
      <c r="B11" s="0" t="s">
        <v>53</v>
      </c>
      <c r="C11" s="0" t="n">
        <v>4171</v>
      </c>
    </row>
    <row r="12" customFormat="false" ht="15" hidden="false" customHeight="false" outlineLevel="0" collapsed="false">
      <c r="A12" s="0" t="s">
        <v>57</v>
      </c>
      <c r="B12" s="0" t="s">
        <v>53</v>
      </c>
      <c r="C12" s="0" t="n">
        <v>2572</v>
      </c>
    </row>
    <row r="13" customFormat="false" ht="15" hidden="false" customHeight="false" outlineLevel="0" collapsed="false">
      <c r="A13" s="0" t="s">
        <v>58</v>
      </c>
      <c r="B13" s="0" t="s">
        <v>53</v>
      </c>
      <c r="C13" s="0" t="n">
        <v>5622</v>
      </c>
    </row>
    <row r="14" customFormat="false" ht="15" hidden="false" customHeight="false" outlineLevel="0" collapsed="false">
      <c r="A14" s="0" t="s">
        <v>59</v>
      </c>
      <c r="B14" s="0" t="s">
        <v>53</v>
      </c>
      <c r="C14" s="0" t="n">
        <v>2139</v>
      </c>
    </row>
    <row r="15" customFormat="false" ht="15" hidden="false" customHeight="false" outlineLevel="0" collapsed="false">
      <c r="A15" s="0" t="s">
        <v>60</v>
      </c>
      <c r="B15" s="0" t="s">
        <v>53</v>
      </c>
      <c r="C15" s="0" t="n">
        <v>5940</v>
      </c>
    </row>
    <row r="16" customFormat="false" ht="15" hidden="false" customHeight="false" outlineLevel="0" collapsed="false">
      <c r="A16" s="0" t="s">
        <v>61</v>
      </c>
      <c r="B16" s="0" t="s">
        <v>53</v>
      </c>
      <c r="C16" s="0" t="n">
        <v>3093</v>
      </c>
    </row>
    <row r="17" customFormat="false" ht="15" hidden="false" customHeight="false" outlineLevel="0" collapsed="false">
      <c r="A17" s="0" t="s">
        <v>62</v>
      </c>
      <c r="B17" s="0" t="s">
        <v>46</v>
      </c>
      <c r="C17" s="0" t="n">
        <v>4980</v>
      </c>
    </row>
    <row r="18" customFormat="false" ht="15" hidden="false" customHeight="false" outlineLevel="0" collapsed="false">
      <c r="A18" s="0" t="s">
        <v>63</v>
      </c>
      <c r="B18" s="0" t="s">
        <v>46</v>
      </c>
      <c r="C18" s="0" t="n">
        <v>4837</v>
      </c>
    </row>
    <row r="19" customFormat="false" ht="15" hidden="false" customHeight="false" outlineLevel="0" collapsed="false">
      <c r="A19" s="0" t="s">
        <v>64</v>
      </c>
      <c r="B19" s="0" t="s">
        <v>46</v>
      </c>
      <c r="C19" s="0" t="n">
        <v>9872</v>
      </c>
    </row>
    <row r="20" customFormat="false" ht="15" hidden="false" customHeight="false" outlineLevel="0" collapsed="false">
      <c r="A20" s="0" t="s">
        <v>65</v>
      </c>
      <c r="B20" s="0" t="s">
        <v>46</v>
      </c>
      <c r="C20" s="0" t="n">
        <v>8592</v>
      </c>
    </row>
    <row r="21" customFormat="false" ht="15" hidden="false" customHeight="false" outlineLevel="0" collapsed="false">
      <c r="A21" s="0" t="s">
        <v>66</v>
      </c>
      <c r="B21" s="0" t="s">
        <v>46</v>
      </c>
      <c r="C21" s="0" t="n">
        <v>5694</v>
      </c>
    </row>
    <row r="22" customFormat="false" ht="15" hidden="false" customHeight="false" outlineLevel="0" collapsed="false">
      <c r="A22" s="0" t="s">
        <v>67</v>
      </c>
      <c r="B22" s="0" t="s">
        <v>46</v>
      </c>
      <c r="C22" s="0" t="n">
        <v>4952</v>
      </c>
    </row>
    <row r="23" customFormat="false" ht="15" hidden="false" customHeight="false" outlineLevel="0" collapsed="false">
      <c r="A23" s="0" t="s">
        <v>68</v>
      </c>
      <c r="B23" s="0" t="s">
        <v>46</v>
      </c>
      <c r="C23" s="0" t="n">
        <v>9683</v>
      </c>
    </row>
    <row r="24" customFormat="false" ht="15" hidden="false" customHeight="false" outlineLevel="0" collapsed="false">
      <c r="A24" s="0" t="s">
        <v>69</v>
      </c>
      <c r="B24" s="0" t="s">
        <v>46</v>
      </c>
      <c r="C24" s="0" t="n">
        <v>3406</v>
      </c>
    </row>
    <row r="25" customFormat="false" ht="15" hidden="false" customHeight="false" outlineLevel="0" collapsed="false">
      <c r="A25" s="0" t="s">
        <v>70</v>
      </c>
      <c r="B25" s="0" t="s">
        <v>46</v>
      </c>
      <c r="C25" s="0" t="n">
        <v>9275</v>
      </c>
    </row>
    <row r="26" customFormat="false" ht="15" hidden="false" customHeight="false" outlineLevel="0" collapsed="false">
      <c r="A26" s="0" t="s">
        <v>71</v>
      </c>
      <c r="B26" s="0" t="s">
        <v>46</v>
      </c>
      <c r="C26" s="0" t="n">
        <v>1341</v>
      </c>
    </row>
    <row r="27" customFormat="false" ht="15" hidden="false" customHeight="false" outlineLevel="0" collapsed="false">
      <c r="A27" s="0" t="s">
        <v>72</v>
      </c>
      <c r="B27" s="0" t="s">
        <v>46</v>
      </c>
      <c r="C27" s="0" t="n">
        <v>2373</v>
      </c>
    </row>
    <row r="28" customFormat="false" ht="15" hidden="false" customHeight="false" outlineLevel="0" collapsed="false">
      <c r="A28" s="0" t="s">
        <v>73</v>
      </c>
      <c r="B28" s="0" t="s">
        <v>46</v>
      </c>
      <c r="C28" s="0" t="n">
        <v>2279</v>
      </c>
    </row>
    <row r="29" customFormat="false" ht="15" hidden="false" customHeight="false" outlineLevel="0" collapsed="false">
      <c r="A29" s="0" t="s">
        <v>74</v>
      </c>
      <c r="B29" s="0" t="s">
        <v>46</v>
      </c>
      <c r="C29" s="0" t="n">
        <v>4252</v>
      </c>
    </row>
    <row r="30" customFormat="false" ht="15" hidden="false" customHeight="false" outlineLevel="0" collapsed="false">
      <c r="A30" s="0" t="s">
        <v>75</v>
      </c>
      <c r="B30" s="0" t="s">
        <v>46</v>
      </c>
      <c r="C30" s="0" t="n">
        <v>2790</v>
      </c>
    </row>
    <row r="31" customFormat="false" ht="15" hidden="false" customHeight="false" outlineLevel="0" collapsed="false">
      <c r="A31" s="0" t="s">
        <v>76</v>
      </c>
      <c r="B31" s="0" t="s">
        <v>46</v>
      </c>
      <c r="C31" s="0" t="n">
        <v>4569</v>
      </c>
    </row>
    <row r="32" customFormat="false" ht="15" hidden="false" customHeight="false" outlineLevel="0" collapsed="false">
      <c r="A32" s="0" t="s">
        <v>77</v>
      </c>
      <c r="B32" s="0" t="s">
        <v>46</v>
      </c>
      <c r="C32" s="0" t="n">
        <v>4583</v>
      </c>
    </row>
    <row r="33" customFormat="false" ht="15" hidden="false" customHeight="false" outlineLevel="0" collapsed="false">
      <c r="A33" s="0" t="s">
        <v>78</v>
      </c>
      <c r="B33" s="0" t="s">
        <v>46</v>
      </c>
      <c r="C33" s="0" t="n">
        <v>3445</v>
      </c>
    </row>
    <row r="34" customFormat="false" ht="15" hidden="false" customHeight="false" outlineLevel="0" collapsed="false">
      <c r="A34" s="0" t="s">
        <v>79</v>
      </c>
      <c r="B34" s="0" t="s">
        <v>80</v>
      </c>
      <c r="C34" s="0" t="n">
        <v>2671</v>
      </c>
    </row>
    <row r="35" customFormat="false" ht="15" hidden="false" customHeight="false" outlineLevel="0" collapsed="false">
      <c r="A35" s="0" t="s">
        <v>81</v>
      </c>
      <c r="B35" s="0" t="s">
        <v>80</v>
      </c>
      <c r="C35" s="0" t="n">
        <v>3710</v>
      </c>
    </row>
    <row r="36" customFormat="false" ht="15" hidden="false" customHeight="false" outlineLevel="0" collapsed="false">
      <c r="A36" s="0" t="s">
        <v>82</v>
      </c>
      <c r="B36" s="0" t="s">
        <v>80</v>
      </c>
      <c r="C36" s="0" t="n">
        <v>4926</v>
      </c>
    </row>
    <row r="37" customFormat="false" ht="15" hidden="false" customHeight="false" outlineLevel="0" collapsed="false">
      <c r="A37" s="0" t="s">
        <v>83</v>
      </c>
      <c r="B37" s="0" t="s">
        <v>80</v>
      </c>
      <c r="C37" s="0" t="n">
        <v>0</v>
      </c>
    </row>
    <row r="38" customFormat="false" ht="15" hidden="false" customHeight="false" outlineLevel="0" collapsed="false">
      <c r="A38" s="0" t="s">
        <v>84</v>
      </c>
      <c r="B38" s="0" t="s">
        <v>80</v>
      </c>
      <c r="C38" s="0" t="n">
        <v>7363</v>
      </c>
    </row>
    <row r="39" customFormat="false" ht="15" hidden="false" customHeight="false" outlineLevel="0" collapsed="false">
      <c r="A39" s="0" t="s">
        <v>85</v>
      </c>
      <c r="B39" s="0" t="s">
        <v>80</v>
      </c>
      <c r="C39" s="0" t="n">
        <v>4784</v>
      </c>
    </row>
    <row r="40" customFormat="false" ht="15" hidden="false" customHeight="false" outlineLevel="0" collapsed="false">
      <c r="A40" s="0" t="s">
        <v>86</v>
      </c>
      <c r="B40" s="0" t="s">
        <v>80</v>
      </c>
      <c r="C40" s="0" t="n">
        <v>7345</v>
      </c>
    </row>
    <row r="41" customFormat="false" ht="15" hidden="false" customHeight="false" outlineLevel="0" collapsed="false">
      <c r="A41" s="0" t="s">
        <v>87</v>
      </c>
      <c r="B41" s="0" t="s">
        <v>80</v>
      </c>
      <c r="C41" s="0" t="n">
        <v>3603</v>
      </c>
    </row>
    <row r="42" customFormat="false" ht="15" hidden="false" customHeight="false" outlineLevel="0" collapsed="false">
      <c r="A42" s="0" t="s">
        <v>88</v>
      </c>
      <c r="B42" s="0" t="s">
        <v>80</v>
      </c>
      <c r="C42" s="0" t="n">
        <v>3128</v>
      </c>
    </row>
    <row r="43" customFormat="false" ht="15" hidden="false" customHeight="false" outlineLevel="0" collapsed="false">
      <c r="A43" s="0" t="s">
        <v>89</v>
      </c>
      <c r="B43" s="0" t="s">
        <v>80</v>
      </c>
      <c r="C43" s="0" t="n">
        <v>4065</v>
      </c>
    </row>
    <row r="44" customFormat="false" ht="15" hidden="false" customHeight="false" outlineLevel="0" collapsed="false">
      <c r="A44" s="0" t="s">
        <v>90</v>
      </c>
      <c r="B44" s="0" t="s">
        <v>80</v>
      </c>
      <c r="C44" s="0" t="n">
        <v>3988</v>
      </c>
    </row>
    <row r="45" customFormat="false" ht="15" hidden="false" customHeight="false" outlineLevel="0" collapsed="false">
      <c r="A45" s="0" t="s">
        <v>91</v>
      </c>
      <c r="B45" s="0" t="s">
        <v>80</v>
      </c>
      <c r="C45" s="0" t="n">
        <v>5003</v>
      </c>
    </row>
    <row r="46" customFormat="false" ht="15" hidden="false" customHeight="false" outlineLevel="0" collapsed="false">
      <c r="A46" s="0" t="s">
        <v>92</v>
      </c>
      <c r="B46" s="0" t="s">
        <v>80</v>
      </c>
      <c r="C46" s="0" t="n">
        <v>4481</v>
      </c>
    </row>
    <row r="47" customFormat="false" ht="15" hidden="false" customHeight="false" outlineLevel="0" collapsed="false">
      <c r="A47" s="0" t="s">
        <v>93</v>
      </c>
      <c r="B47" s="0" t="s">
        <v>80</v>
      </c>
      <c r="C47" s="0" t="n">
        <v>2988</v>
      </c>
    </row>
    <row r="48" customFormat="false" ht="15" hidden="false" customHeight="false" outlineLevel="0" collapsed="false">
      <c r="A48" s="0" t="s">
        <v>94</v>
      </c>
      <c r="B48" s="0" t="s">
        <v>80</v>
      </c>
      <c r="C48" s="0" t="n">
        <v>4219</v>
      </c>
    </row>
    <row r="49" customFormat="false" ht="15" hidden="false" customHeight="false" outlineLevel="0" collapsed="false">
      <c r="A49" s="0" t="s">
        <v>95</v>
      </c>
      <c r="B49" s="0" t="s">
        <v>80</v>
      </c>
      <c r="C49" s="0" t="n">
        <v>4001</v>
      </c>
    </row>
    <row r="50" customFormat="false" ht="15" hidden="false" customHeight="false" outlineLevel="0" collapsed="false">
      <c r="A50" s="0" t="s">
        <v>96</v>
      </c>
      <c r="B50" s="0" t="s">
        <v>80</v>
      </c>
      <c r="C50" s="0" t="n">
        <v>5507</v>
      </c>
    </row>
    <row r="51" customFormat="false" ht="15" hidden="false" customHeight="false" outlineLevel="0" collapsed="false">
      <c r="A51" s="0" t="s">
        <v>97</v>
      </c>
      <c r="B51" s="0" t="s">
        <v>80</v>
      </c>
      <c r="C51" s="0" t="n">
        <v>3798</v>
      </c>
    </row>
    <row r="52" customFormat="false" ht="15" hidden="false" customHeight="false" outlineLevel="0" collapsed="false">
      <c r="A52" s="0" t="s">
        <v>98</v>
      </c>
      <c r="B52" s="0" t="s">
        <v>99</v>
      </c>
      <c r="C52" s="0" t="n">
        <v>3897</v>
      </c>
    </row>
    <row r="53" customFormat="false" ht="15" hidden="false" customHeight="false" outlineLevel="0" collapsed="false">
      <c r="A53" s="0" t="s">
        <v>100</v>
      </c>
      <c r="B53" s="0" t="s">
        <v>99</v>
      </c>
      <c r="C53" s="0" t="n">
        <v>3645</v>
      </c>
    </row>
    <row r="54" customFormat="false" ht="15" hidden="false" customHeight="false" outlineLevel="0" collapsed="false">
      <c r="A54" s="0" t="s">
        <v>101</v>
      </c>
      <c r="B54" s="0" t="s">
        <v>99</v>
      </c>
      <c r="C54" s="0" t="n">
        <v>4028</v>
      </c>
    </row>
    <row r="55" customFormat="false" ht="15" hidden="false" customHeight="false" outlineLevel="0" collapsed="false">
      <c r="A55" s="0" t="s">
        <v>102</v>
      </c>
      <c r="B55" s="0" t="s">
        <v>99</v>
      </c>
      <c r="C55" s="0" t="n">
        <v>4247</v>
      </c>
    </row>
    <row r="56" customFormat="false" ht="15" hidden="false" customHeight="false" outlineLevel="0" collapsed="false">
      <c r="A56" s="0" t="s">
        <v>103</v>
      </c>
      <c r="B56" s="0" t="s">
        <v>99</v>
      </c>
      <c r="C56" s="0" t="n">
        <v>4493</v>
      </c>
    </row>
    <row r="57" customFormat="false" ht="15" hidden="false" customHeight="false" outlineLevel="0" collapsed="false">
      <c r="A57" s="0" t="s">
        <v>104</v>
      </c>
      <c r="B57" s="0" t="s">
        <v>99</v>
      </c>
      <c r="C57" s="0" t="n">
        <v>5041</v>
      </c>
    </row>
    <row r="58" customFormat="false" ht="15" hidden="false" customHeight="false" outlineLevel="0" collapsed="false">
      <c r="A58" s="0" t="s">
        <v>105</v>
      </c>
      <c r="B58" s="0" t="s">
        <v>99</v>
      </c>
      <c r="C58" s="0" t="n">
        <v>9208</v>
      </c>
    </row>
    <row r="59" customFormat="false" ht="15" hidden="false" customHeight="false" outlineLevel="0" collapsed="false">
      <c r="A59" s="0" t="s">
        <v>106</v>
      </c>
      <c r="B59" s="0" t="s">
        <v>99</v>
      </c>
      <c r="C59" s="0" t="n">
        <v>3432</v>
      </c>
    </row>
    <row r="60" customFormat="false" ht="15" hidden="false" customHeight="false" outlineLevel="0" collapsed="false">
      <c r="A60" s="0" t="s">
        <v>107</v>
      </c>
      <c r="B60" s="0" t="s">
        <v>53</v>
      </c>
      <c r="C60" s="0" t="n">
        <v>4393</v>
      </c>
    </row>
    <row r="61" customFormat="false" ht="15" hidden="false" customHeight="false" outlineLevel="0" collapsed="false">
      <c r="A61" s="0" t="s">
        <v>108</v>
      </c>
      <c r="B61" s="0" t="s">
        <v>53</v>
      </c>
      <c r="C61" s="0" t="n">
        <v>2812</v>
      </c>
    </row>
    <row r="62" customFormat="false" ht="15" hidden="false" customHeight="false" outlineLevel="0" collapsed="false">
      <c r="A62" s="0" t="s">
        <v>109</v>
      </c>
      <c r="B62" s="0" t="s">
        <v>53</v>
      </c>
      <c r="C62" s="0" t="n">
        <v>4686</v>
      </c>
    </row>
    <row r="63" customFormat="false" ht="15" hidden="false" customHeight="false" outlineLevel="0" collapsed="false">
      <c r="A63" s="0" t="s">
        <v>110</v>
      </c>
      <c r="B63" s="0" t="s">
        <v>53</v>
      </c>
      <c r="C63" s="0" t="n">
        <v>3857</v>
      </c>
    </row>
    <row r="64" customFormat="false" ht="15" hidden="false" customHeight="false" outlineLevel="0" collapsed="false">
      <c r="A64" s="0" t="s">
        <v>111</v>
      </c>
      <c r="B64" s="0" t="s">
        <v>53</v>
      </c>
      <c r="C64" s="0" t="n">
        <v>4425</v>
      </c>
    </row>
    <row r="65" customFormat="false" ht="15" hidden="false" customHeight="false" outlineLevel="0" collapsed="false">
      <c r="A65" s="0" t="s">
        <v>112</v>
      </c>
      <c r="B65" s="0" t="s">
        <v>53</v>
      </c>
      <c r="C65" s="0" t="n">
        <v>3803</v>
      </c>
    </row>
    <row r="66" customFormat="false" ht="15" hidden="false" customHeight="false" outlineLevel="0" collapsed="false">
      <c r="A66" s="0" t="s">
        <v>113</v>
      </c>
      <c r="B66" s="0" t="s">
        <v>53</v>
      </c>
      <c r="C66" s="0" t="n">
        <v>3899</v>
      </c>
    </row>
    <row r="67" customFormat="false" ht="15" hidden="false" customHeight="false" outlineLevel="0" collapsed="false">
      <c r="A67" s="0" t="s">
        <v>114</v>
      </c>
      <c r="B67" s="0" t="s">
        <v>53</v>
      </c>
      <c r="C67" s="0" t="n">
        <v>3348</v>
      </c>
    </row>
    <row r="68" customFormat="false" ht="15" hidden="false" customHeight="false" outlineLevel="0" collapsed="false">
      <c r="A68" s="0" t="s">
        <v>115</v>
      </c>
      <c r="B68" s="0" t="s">
        <v>53</v>
      </c>
      <c r="C68" s="0" t="n">
        <v>3343</v>
      </c>
    </row>
    <row r="69" customFormat="false" ht="15" hidden="false" customHeight="false" outlineLevel="0" collapsed="false">
      <c r="A69" s="0" t="s">
        <v>116</v>
      </c>
      <c r="B69" s="0" t="s">
        <v>53</v>
      </c>
      <c r="C69" s="0" t="n">
        <v>4108</v>
      </c>
    </row>
    <row r="70" customFormat="false" ht="15" hidden="false" customHeight="false" outlineLevel="0" collapsed="false">
      <c r="A70" s="0" t="s">
        <v>117</v>
      </c>
      <c r="B70" s="0" t="s">
        <v>53</v>
      </c>
      <c r="C70" s="0" t="n">
        <v>2900</v>
      </c>
    </row>
    <row r="71" customFormat="false" ht="15" hidden="false" customHeight="false" outlineLevel="0" collapsed="false">
      <c r="A71" s="0" t="s">
        <v>118</v>
      </c>
      <c r="B71" s="0" t="s">
        <v>53</v>
      </c>
      <c r="C71" s="0" t="n">
        <v>3344</v>
      </c>
    </row>
    <row r="72" customFormat="false" ht="15" hidden="false" customHeight="false" outlineLevel="0" collapsed="false">
      <c r="A72" s="0" t="s">
        <v>119</v>
      </c>
      <c r="B72" s="0" t="s">
        <v>53</v>
      </c>
      <c r="C72" s="0" t="n">
        <v>2223</v>
      </c>
    </row>
    <row r="73" customFormat="false" ht="15" hidden="false" customHeight="false" outlineLevel="0" collapsed="false">
      <c r="A73" s="0" t="s">
        <v>120</v>
      </c>
      <c r="B73" s="0" t="s">
        <v>53</v>
      </c>
      <c r="C73" s="0" t="n">
        <v>3462</v>
      </c>
    </row>
    <row r="74" customFormat="false" ht="15" hidden="false" customHeight="false" outlineLevel="0" collapsed="false">
      <c r="A74" s="0" t="s">
        <v>121</v>
      </c>
      <c r="B74" s="0" t="s">
        <v>53</v>
      </c>
      <c r="C74" s="0" t="n">
        <v>4017</v>
      </c>
    </row>
    <row r="75" customFormat="false" ht="15" hidden="false" customHeight="false" outlineLevel="0" collapsed="false">
      <c r="A75" s="0" t="s">
        <v>122</v>
      </c>
      <c r="B75" s="0" t="s">
        <v>53</v>
      </c>
      <c r="C75" s="0" t="n">
        <v>3473</v>
      </c>
    </row>
    <row r="76" customFormat="false" ht="15" hidden="false" customHeight="false" outlineLevel="0" collapsed="false">
      <c r="A76" s="0" t="s">
        <v>123</v>
      </c>
      <c r="B76" s="0" t="s">
        <v>53</v>
      </c>
      <c r="C76" s="0" t="n">
        <v>2867</v>
      </c>
    </row>
    <row r="77" customFormat="false" ht="15" hidden="false" customHeight="false" outlineLevel="0" collapsed="false">
      <c r="A77" s="0" t="s">
        <v>124</v>
      </c>
      <c r="B77" s="0" t="s">
        <v>53</v>
      </c>
      <c r="C77" s="0" t="n">
        <v>2043</v>
      </c>
    </row>
    <row r="78" customFormat="false" ht="15" hidden="false" customHeight="false" outlineLevel="0" collapsed="false">
      <c r="A78" s="0" t="s">
        <v>125</v>
      </c>
      <c r="B78" s="0" t="s">
        <v>53</v>
      </c>
      <c r="C78" s="0" t="n">
        <v>2931</v>
      </c>
    </row>
    <row r="79" customFormat="false" ht="15" hidden="false" customHeight="false" outlineLevel="0" collapsed="false">
      <c r="A79" s="0" t="s">
        <v>126</v>
      </c>
      <c r="B79" s="0" t="s">
        <v>53</v>
      </c>
      <c r="C79" s="0" t="n">
        <v>2771</v>
      </c>
    </row>
    <row r="80" customFormat="false" ht="15" hidden="false" customHeight="false" outlineLevel="0" collapsed="false">
      <c r="A80" s="0" t="s">
        <v>127</v>
      </c>
      <c r="B80" s="0" t="s">
        <v>53</v>
      </c>
      <c r="C80" s="0" t="n">
        <v>3714</v>
      </c>
    </row>
    <row r="81" customFormat="false" ht="15" hidden="false" customHeight="false" outlineLevel="0" collapsed="false">
      <c r="A81" s="0" t="s">
        <v>128</v>
      </c>
      <c r="B81" s="0" t="s">
        <v>53</v>
      </c>
      <c r="C81" s="0" t="n">
        <v>2125</v>
      </c>
    </row>
    <row r="82" customFormat="false" ht="15" hidden="false" customHeight="false" outlineLevel="0" collapsed="false">
      <c r="A82" s="0" t="s">
        <v>129</v>
      </c>
      <c r="B82" s="0" t="s">
        <v>53</v>
      </c>
      <c r="C82" s="0" t="n">
        <v>2961</v>
      </c>
    </row>
    <row r="83" customFormat="false" ht="15" hidden="false" customHeight="false" outlineLevel="0" collapsed="false">
      <c r="A83" s="0" t="s">
        <v>130</v>
      </c>
      <c r="B83" s="0" t="s">
        <v>53</v>
      </c>
      <c r="C83" s="0" t="n">
        <v>4117</v>
      </c>
    </row>
    <row r="84" customFormat="false" ht="15" hidden="false" customHeight="false" outlineLevel="0" collapsed="false">
      <c r="A84" s="0" t="s">
        <v>131</v>
      </c>
      <c r="B84" s="0" t="s">
        <v>53</v>
      </c>
      <c r="C84" s="0" t="n">
        <v>3877</v>
      </c>
    </row>
    <row r="85" customFormat="false" ht="15" hidden="false" customHeight="false" outlineLevel="0" collapsed="false">
      <c r="A85" s="0" t="s">
        <v>132</v>
      </c>
      <c r="B85" s="0" t="s">
        <v>53</v>
      </c>
      <c r="C85" s="0" t="n">
        <v>3710</v>
      </c>
    </row>
    <row r="86" customFormat="false" ht="15" hidden="false" customHeight="false" outlineLevel="0" collapsed="false">
      <c r="A86" s="0" t="s">
        <v>133</v>
      </c>
      <c r="B86" s="0" t="s">
        <v>53</v>
      </c>
      <c r="C86" s="0" t="n">
        <v>4212</v>
      </c>
    </row>
    <row r="87" customFormat="false" ht="15" hidden="false" customHeight="false" outlineLevel="0" collapsed="false">
      <c r="A87" s="0" t="s">
        <v>134</v>
      </c>
      <c r="B87" s="0" t="s">
        <v>53</v>
      </c>
      <c r="C87" s="0" t="n">
        <v>1912</v>
      </c>
    </row>
    <row r="88" customFormat="false" ht="15" hidden="false" customHeight="false" outlineLevel="0" collapsed="false">
      <c r="A88" s="0" t="s">
        <v>135</v>
      </c>
      <c r="B88" s="0" t="s">
        <v>80</v>
      </c>
      <c r="C88" s="0" t="n">
        <v>1726</v>
      </c>
    </row>
    <row r="89" customFormat="false" ht="15" hidden="false" customHeight="false" outlineLevel="0" collapsed="false">
      <c r="A89" s="0" t="s">
        <v>136</v>
      </c>
      <c r="B89" s="0" t="s">
        <v>80</v>
      </c>
      <c r="C89" s="0" t="n">
        <v>3573</v>
      </c>
    </row>
    <row r="90" customFormat="false" ht="15" hidden="false" customHeight="false" outlineLevel="0" collapsed="false">
      <c r="A90" s="0" t="s">
        <v>137</v>
      </c>
      <c r="B90" s="0" t="s">
        <v>80</v>
      </c>
      <c r="C90" s="0" t="n">
        <v>4580</v>
      </c>
    </row>
    <row r="91" customFormat="false" ht="15" hidden="false" customHeight="false" outlineLevel="0" collapsed="false">
      <c r="A91" s="0" t="s">
        <v>138</v>
      </c>
      <c r="B91" s="0" t="s">
        <v>80</v>
      </c>
      <c r="C91" s="0" t="n">
        <v>3112</v>
      </c>
    </row>
    <row r="92" customFormat="false" ht="15" hidden="false" customHeight="false" outlineLevel="0" collapsed="false">
      <c r="A92" s="0" t="s">
        <v>139</v>
      </c>
      <c r="B92" s="0" t="s">
        <v>80</v>
      </c>
      <c r="C92" s="0" t="n">
        <v>2961</v>
      </c>
    </row>
    <row r="93" customFormat="false" ht="15" hidden="false" customHeight="false" outlineLevel="0" collapsed="false">
      <c r="A93" s="0" t="s">
        <v>140</v>
      </c>
      <c r="B93" s="0" t="s">
        <v>80</v>
      </c>
      <c r="C93" s="0" t="n">
        <v>3926</v>
      </c>
    </row>
    <row r="94" customFormat="false" ht="15" hidden="false" customHeight="false" outlineLevel="0" collapsed="false">
      <c r="A94" s="0" t="s">
        <v>141</v>
      </c>
      <c r="B94" s="0" t="s">
        <v>80</v>
      </c>
      <c r="C94" s="0" t="n">
        <v>4352</v>
      </c>
    </row>
    <row r="95" customFormat="false" ht="15" hidden="false" customHeight="false" outlineLevel="0" collapsed="false">
      <c r="A95" s="0" t="s">
        <v>142</v>
      </c>
      <c r="B95" s="0" t="s">
        <v>80</v>
      </c>
      <c r="C95" s="0" t="n">
        <v>3555</v>
      </c>
    </row>
    <row r="96" customFormat="false" ht="15" hidden="false" customHeight="false" outlineLevel="0" collapsed="false">
      <c r="A96" s="0" t="s">
        <v>143</v>
      </c>
      <c r="B96" s="0" t="s">
        <v>80</v>
      </c>
      <c r="C96" s="0" t="n">
        <v>5192</v>
      </c>
    </row>
    <row r="97" customFormat="false" ht="15" hidden="false" customHeight="false" outlineLevel="0" collapsed="false">
      <c r="A97" s="0" t="s">
        <v>144</v>
      </c>
      <c r="B97" s="0" t="s">
        <v>80</v>
      </c>
      <c r="C97" s="0" t="n">
        <v>4664</v>
      </c>
    </row>
    <row r="98" customFormat="false" ht="15" hidden="false" customHeight="false" outlineLevel="0" collapsed="false">
      <c r="A98" s="0" t="s">
        <v>145</v>
      </c>
      <c r="B98" s="0" t="s">
        <v>80</v>
      </c>
      <c r="C98" s="0" t="n">
        <v>3681</v>
      </c>
    </row>
    <row r="99" customFormat="false" ht="15" hidden="false" customHeight="false" outlineLevel="0" collapsed="false">
      <c r="A99" s="0" t="s">
        <v>146</v>
      </c>
      <c r="B99" s="0" t="s">
        <v>80</v>
      </c>
      <c r="C99" s="0" t="n">
        <v>3850</v>
      </c>
    </row>
    <row r="100" customFormat="false" ht="15" hidden="false" customHeight="false" outlineLevel="0" collapsed="false">
      <c r="A100" s="0" t="s">
        <v>147</v>
      </c>
      <c r="B100" s="0" t="s">
        <v>80</v>
      </c>
      <c r="C100" s="0" t="n">
        <v>5150</v>
      </c>
    </row>
    <row r="101" customFormat="false" ht="15" hidden="false" customHeight="false" outlineLevel="0" collapsed="false">
      <c r="A101" s="0" t="s">
        <v>148</v>
      </c>
      <c r="B101" s="0" t="s">
        <v>80</v>
      </c>
      <c r="C101" s="0" t="n">
        <v>5165</v>
      </c>
    </row>
    <row r="102" customFormat="false" ht="15" hidden="false" customHeight="false" outlineLevel="0" collapsed="false">
      <c r="A102" s="0" t="s">
        <v>149</v>
      </c>
      <c r="B102" s="0" t="s">
        <v>80</v>
      </c>
      <c r="C102" s="0" t="n">
        <v>3012</v>
      </c>
    </row>
    <row r="103" customFormat="false" ht="15" hidden="false" customHeight="false" outlineLevel="0" collapsed="false">
      <c r="A103" s="0" t="s">
        <v>150</v>
      </c>
      <c r="B103" s="0" t="s">
        <v>80</v>
      </c>
      <c r="C103" s="0" t="n">
        <v>4281</v>
      </c>
    </row>
    <row r="104" customFormat="false" ht="15" hidden="false" customHeight="false" outlineLevel="0" collapsed="false">
      <c r="A104" s="0" t="s">
        <v>151</v>
      </c>
      <c r="B104" s="0" t="s">
        <v>99</v>
      </c>
      <c r="C104" s="0" t="n">
        <v>4591</v>
      </c>
    </row>
    <row r="105" customFormat="false" ht="15" hidden="false" customHeight="false" outlineLevel="0" collapsed="false">
      <c r="A105" s="0" t="s">
        <v>152</v>
      </c>
      <c r="B105" s="0" t="s">
        <v>99</v>
      </c>
      <c r="C105" s="0" t="n">
        <v>3786</v>
      </c>
    </row>
    <row r="106" customFormat="false" ht="15" hidden="false" customHeight="false" outlineLevel="0" collapsed="false">
      <c r="A106" s="0" t="s">
        <v>153</v>
      </c>
      <c r="B106" s="0" t="s">
        <v>99</v>
      </c>
      <c r="C106" s="0" t="n">
        <v>3885</v>
      </c>
    </row>
    <row r="107" customFormat="false" ht="15" hidden="false" customHeight="false" outlineLevel="0" collapsed="false">
      <c r="A107" s="0" t="s">
        <v>154</v>
      </c>
      <c r="B107" s="0" t="s">
        <v>99</v>
      </c>
      <c r="C107" s="0" t="n">
        <v>2967</v>
      </c>
    </row>
    <row r="108" customFormat="false" ht="15" hidden="false" customHeight="false" outlineLevel="0" collapsed="false">
      <c r="A108" s="0" t="s">
        <v>155</v>
      </c>
      <c r="B108" s="0" t="s">
        <v>99</v>
      </c>
      <c r="C108" s="0" t="n">
        <v>3490</v>
      </c>
    </row>
    <row r="109" customFormat="false" ht="15" hidden="false" customHeight="false" outlineLevel="0" collapsed="false">
      <c r="A109" s="0" t="s">
        <v>156</v>
      </c>
      <c r="B109" s="0" t="s">
        <v>99</v>
      </c>
      <c r="C109" s="0" t="n">
        <v>4208</v>
      </c>
    </row>
    <row r="110" customFormat="false" ht="15" hidden="false" customHeight="false" outlineLevel="0" collapsed="false">
      <c r="A110" s="0" t="s">
        <v>157</v>
      </c>
      <c r="B110" s="0" t="s">
        <v>99</v>
      </c>
      <c r="C110" s="0" t="n">
        <v>5545</v>
      </c>
    </row>
    <row r="111" customFormat="false" ht="15" hidden="false" customHeight="false" outlineLevel="0" collapsed="false">
      <c r="A111" s="0" t="s">
        <v>158</v>
      </c>
      <c r="B111" s="0" t="s">
        <v>99</v>
      </c>
      <c r="C111" s="0" t="n">
        <v>1541</v>
      </c>
    </row>
    <row r="112" customFormat="false" ht="15" hidden="false" customHeight="false" outlineLevel="0" collapsed="false">
      <c r="A112" s="0" t="s">
        <v>159</v>
      </c>
      <c r="B112" s="0" t="s">
        <v>99</v>
      </c>
      <c r="C112" s="0" t="n">
        <v>2388</v>
      </c>
    </row>
    <row r="113" customFormat="false" ht="15" hidden="false" customHeight="false" outlineLevel="0" collapsed="false">
      <c r="A113" s="0" t="s">
        <v>160</v>
      </c>
      <c r="B113" s="0" t="s">
        <v>99</v>
      </c>
      <c r="C113" s="0" t="n">
        <v>2515</v>
      </c>
    </row>
    <row r="114" customFormat="false" ht="15" hidden="false" customHeight="false" outlineLevel="0" collapsed="false">
      <c r="A114" s="0" t="s">
        <v>161</v>
      </c>
      <c r="B114" s="0" t="s">
        <v>99</v>
      </c>
      <c r="C114" s="0" t="n">
        <v>3726</v>
      </c>
    </row>
    <row r="115" customFormat="false" ht="15" hidden="false" customHeight="false" outlineLevel="0" collapsed="false">
      <c r="A115" s="0" t="s">
        <v>162</v>
      </c>
      <c r="B115" s="0" t="s">
        <v>99</v>
      </c>
      <c r="C115" s="0" t="n">
        <v>3481</v>
      </c>
    </row>
    <row r="116" customFormat="false" ht="15" hidden="false" customHeight="false" outlineLevel="0" collapsed="false">
      <c r="A116" s="0" t="s">
        <v>163</v>
      </c>
      <c r="B116" s="0" t="s">
        <v>99</v>
      </c>
      <c r="C116" s="0" t="n">
        <v>5054</v>
      </c>
    </row>
    <row r="117" customFormat="false" ht="15" hidden="false" customHeight="false" outlineLevel="0" collapsed="false">
      <c r="A117" s="0" t="s">
        <v>164</v>
      </c>
      <c r="B117" s="0" t="s">
        <v>99</v>
      </c>
      <c r="C117" s="0" t="n">
        <v>4565</v>
      </c>
    </row>
    <row r="118" customFormat="false" ht="15" hidden="false" customHeight="false" outlineLevel="0" collapsed="false">
      <c r="A118" s="0" t="s">
        <v>165</v>
      </c>
      <c r="B118" s="0" t="s">
        <v>99</v>
      </c>
      <c r="C118" s="0" t="n">
        <v>4302</v>
      </c>
    </row>
    <row r="119" customFormat="false" ht="15" hidden="false" customHeight="false" outlineLevel="0" collapsed="false">
      <c r="A119" s="0" t="s">
        <v>166</v>
      </c>
      <c r="B119" s="0" t="s">
        <v>99</v>
      </c>
      <c r="C119" s="0" t="n">
        <v>4114</v>
      </c>
    </row>
    <row r="120" customFormat="false" ht="15" hidden="false" customHeight="false" outlineLevel="0" collapsed="false">
      <c r="A120" s="0" t="s">
        <v>167</v>
      </c>
      <c r="B120" s="0" t="s">
        <v>99</v>
      </c>
      <c r="C120" s="0" t="n">
        <v>4648</v>
      </c>
    </row>
    <row r="121" customFormat="false" ht="15" hidden="false" customHeight="false" outlineLevel="0" collapsed="false">
      <c r="A121" s="0" t="s">
        <v>168</v>
      </c>
      <c r="B121" s="0" t="s">
        <v>99</v>
      </c>
      <c r="C121" s="0" t="n">
        <v>3892</v>
      </c>
    </row>
    <row r="122" customFormat="false" ht="15" hidden="false" customHeight="false" outlineLevel="0" collapsed="false">
      <c r="A122" s="0" t="s">
        <v>169</v>
      </c>
      <c r="B122" s="0" t="s">
        <v>99</v>
      </c>
      <c r="C122" s="0" t="n">
        <v>2779</v>
      </c>
    </row>
    <row r="123" customFormat="false" ht="15" hidden="false" customHeight="false" outlineLevel="0" collapsed="false">
      <c r="A123" s="0" t="s">
        <v>170</v>
      </c>
      <c r="B123" s="0" t="s">
        <v>80</v>
      </c>
      <c r="C123" s="0" t="n">
        <v>7145</v>
      </c>
    </row>
    <row r="124" customFormat="false" ht="15" hidden="false" customHeight="false" outlineLevel="0" collapsed="false">
      <c r="A124" s="0" t="s">
        <v>171</v>
      </c>
      <c r="B124" s="0" t="s">
        <v>80</v>
      </c>
      <c r="C124" s="0" t="n">
        <v>3382</v>
      </c>
    </row>
    <row r="125" customFormat="false" ht="15" hidden="false" customHeight="false" outlineLevel="0" collapsed="false">
      <c r="A125" s="0" t="s">
        <v>172</v>
      </c>
      <c r="B125" s="0" t="s">
        <v>80</v>
      </c>
      <c r="C125" s="0" t="n">
        <v>4835</v>
      </c>
    </row>
    <row r="126" customFormat="false" ht="15" hidden="false" customHeight="false" outlineLevel="0" collapsed="false">
      <c r="A126" s="0" t="s">
        <v>173</v>
      </c>
      <c r="B126" s="0" t="s">
        <v>80</v>
      </c>
      <c r="C126" s="0" t="n">
        <v>1931</v>
      </c>
    </row>
    <row r="127" customFormat="false" ht="15" hidden="false" customHeight="false" outlineLevel="0" collapsed="false">
      <c r="A127" s="0" t="s">
        <v>174</v>
      </c>
      <c r="B127" s="0" t="s">
        <v>80</v>
      </c>
      <c r="C127" s="0" t="n">
        <v>4371</v>
      </c>
    </row>
    <row r="128" customFormat="false" ht="15" hidden="false" customHeight="false" outlineLevel="0" collapsed="false">
      <c r="A128" s="0" t="s">
        <v>175</v>
      </c>
      <c r="B128" s="0" t="s">
        <v>80</v>
      </c>
      <c r="C128" s="0" t="n">
        <v>26</v>
      </c>
    </row>
    <row r="129" customFormat="false" ht="15" hidden="false" customHeight="false" outlineLevel="0" collapsed="false">
      <c r="A129" s="0" t="s">
        <v>176</v>
      </c>
      <c r="B129" s="0" t="s">
        <v>80</v>
      </c>
      <c r="C129" s="0" t="n">
        <v>4012</v>
      </c>
    </row>
    <row r="130" customFormat="false" ht="15" hidden="false" customHeight="false" outlineLevel="0" collapsed="false">
      <c r="A130" s="0" t="s">
        <v>177</v>
      </c>
      <c r="B130" s="0" t="s">
        <v>80</v>
      </c>
      <c r="C130" s="0" t="n">
        <v>2361</v>
      </c>
    </row>
    <row r="131" customFormat="false" ht="15" hidden="false" customHeight="false" outlineLevel="0" collapsed="false">
      <c r="A131" s="0" t="s">
        <v>178</v>
      </c>
      <c r="B131" s="0" t="s">
        <v>80</v>
      </c>
      <c r="C131" s="0" t="n">
        <v>4419</v>
      </c>
    </row>
    <row r="132" customFormat="false" ht="15" hidden="false" customHeight="false" outlineLevel="0" collapsed="false">
      <c r="A132" s="0" t="s">
        <v>179</v>
      </c>
      <c r="B132" s="0" t="s">
        <v>46</v>
      </c>
      <c r="C132" s="0" t="n">
        <v>4825</v>
      </c>
    </row>
    <row r="133" customFormat="false" ht="15" hidden="false" customHeight="false" outlineLevel="0" collapsed="false">
      <c r="A133" s="0" t="s">
        <v>180</v>
      </c>
      <c r="B133" s="0" t="s">
        <v>46</v>
      </c>
      <c r="C133" s="0" t="n">
        <v>2895</v>
      </c>
    </row>
    <row r="134" customFormat="false" ht="15" hidden="false" customHeight="false" outlineLevel="0" collapsed="false">
      <c r="A134" s="0" t="s">
        <v>181</v>
      </c>
      <c r="B134" s="0" t="s">
        <v>46</v>
      </c>
      <c r="C134" s="0" t="n">
        <v>3025</v>
      </c>
    </row>
    <row r="135" customFormat="false" ht="15" hidden="false" customHeight="false" outlineLevel="0" collapsed="false">
      <c r="A135" s="0" t="s">
        <v>182</v>
      </c>
      <c r="B135" s="0" t="s">
        <v>46</v>
      </c>
      <c r="C135" s="0" t="n">
        <v>4092</v>
      </c>
    </row>
    <row r="136" customFormat="false" ht="15" hidden="false" customHeight="false" outlineLevel="0" collapsed="false">
      <c r="A136" s="0" t="s">
        <v>183</v>
      </c>
      <c r="B136" s="0" t="s">
        <v>46</v>
      </c>
      <c r="C136" s="0" t="n">
        <v>2888</v>
      </c>
    </row>
    <row r="137" customFormat="false" ht="15" hidden="false" customHeight="false" outlineLevel="0" collapsed="false">
      <c r="A137" s="0" t="s">
        <v>184</v>
      </c>
      <c r="B137" s="0" t="s">
        <v>46</v>
      </c>
      <c r="C137" s="0" t="n">
        <v>4611</v>
      </c>
    </row>
    <row r="138" customFormat="false" ht="15" hidden="false" customHeight="false" outlineLevel="0" collapsed="false">
      <c r="A138" s="0" t="s">
        <v>185</v>
      </c>
      <c r="B138" s="0" t="s">
        <v>46</v>
      </c>
      <c r="C138" s="0" t="n">
        <v>4793</v>
      </c>
    </row>
    <row r="139" customFormat="false" ht="15" hidden="false" customHeight="false" outlineLevel="0" collapsed="false">
      <c r="A139" s="0" t="s">
        <v>186</v>
      </c>
      <c r="B139" s="0" t="s">
        <v>46</v>
      </c>
      <c r="C139" s="0" t="n">
        <v>4908</v>
      </c>
    </row>
    <row r="140" customFormat="false" ht="15" hidden="false" customHeight="false" outlineLevel="0" collapsed="false">
      <c r="A140" s="0" t="s">
        <v>187</v>
      </c>
      <c r="B140" s="0" t="s">
        <v>46</v>
      </c>
      <c r="C140" s="0" t="n">
        <v>3866</v>
      </c>
    </row>
    <row r="141" customFormat="false" ht="15" hidden="false" customHeight="false" outlineLevel="0" collapsed="false">
      <c r="A141" s="0" t="s">
        <v>188</v>
      </c>
      <c r="B141" s="0" t="s">
        <v>46</v>
      </c>
      <c r="C141" s="0" t="n">
        <v>4056</v>
      </c>
    </row>
    <row r="142" customFormat="false" ht="15" hidden="false" customHeight="false" outlineLevel="0" collapsed="false">
      <c r="A142" s="0" t="s">
        <v>189</v>
      </c>
      <c r="B142" s="0" t="s">
        <v>46</v>
      </c>
      <c r="C142" s="0" t="n">
        <v>3791</v>
      </c>
    </row>
    <row r="143" customFormat="false" ht="15" hidden="false" customHeight="false" outlineLevel="0" collapsed="false">
      <c r="A143" s="0" t="s">
        <v>190</v>
      </c>
      <c r="B143" s="0" t="s">
        <v>46</v>
      </c>
      <c r="C143" s="0" t="n">
        <v>4166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0" t="s">
        <v>191</v>
      </c>
      <c r="B1" s="0" t="s">
        <v>43</v>
      </c>
      <c r="C1" s="0" t="s">
        <v>192</v>
      </c>
    </row>
    <row r="2" customFormat="false" ht="15" hidden="false" customHeight="false" outlineLevel="0" collapsed="false">
      <c r="A2" s="0" t="s">
        <v>193</v>
      </c>
      <c r="B2" s="0" t="s">
        <v>80</v>
      </c>
      <c r="C2" s="0" t="n">
        <v>420</v>
      </c>
    </row>
    <row r="3" customFormat="false" ht="15" hidden="false" customHeight="false" outlineLevel="0" collapsed="false">
      <c r="A3" s="0" t="s">
        <v>194</v>
      </c>
      <c r="B3" s="0" t="s">
        <v>53</v>
      </c>
      <c r="C3" s="0" t="n">
        <v>480</v>
      </c>
    </row>
    <row r="4" customFormat="false" ht="15" hidden="false" customHeight="false" outlineLevel="0" collapsed="false">
      <c r="A4" s="0" t="s">
        <v>195</v>
      </c>
      <c r="B4" s="0" t="s">
        <v>99</v>
      </c>
      <c r="C4" s="0" t="n">
        <v>640</v>
      </c>
    </row>
    <row r="5" customFormat="false" ht="15" hidden="false" customHeight="false" outlineLevel="0" collapsed="false">
      <c r="A5" s="0" t="s">
        <v>196</v>
      </c>
      <c r="B5" s="0" t="s">
        <v>80</v>
      </c>
      <c r="C5" s="0" t="n">
        <v>440</v>
      </c>
    </row>
    <row r="6" customFormat="false" ht="15" hidden="false" customHeight="false" outlineLevel="0" collapsed="false">
      <c r="A6" s="0" t="s">
        <v>197</v>
      </c>
      <c r="B6" s="0" t="s">
        <v>53</v>
      </c>
      <c r="C6" s="0" t="n">
        <v>490</v>
      </c>
    </row>
    <row r="7" customFormat="false" ht="15" hidden="false" customHeight="false" outlineLevel="0" collapsed="false">
      <c r="A7" s="0" t="s">
        <v>198</v>
      </c>
      <c r="B7" s="0" t="s">
        <v>80</v>
      </c>
      <c r="C7" s="0" t="n">
        <v>500</v>
      </c>
    </row>
    <row r="8" customFormat="false" ht="15" hidden="false" customHeight="false" outlineLevel="0" collapsed="false">
      <c r="A8" s="0" t="s">
        <v>199</v>
      </c>
      <c r="B8" s="0" t="s">
        <v>80</v>
      </c>
      <c r="C8" s="0" t="n">
        <v>640</v>
      </c>
    </row>
    <row r="9" customFormat="false" ht="15" hidden="false" customHeight="false" outlineLevel="0" collapsed="false">
      <c r="A9" s="0" t="s">
        <v>200</v>
      </c>
      <c r="B9" s="0" t="s">
        <v>46</v>
      </c>
      <c r="C9" s="0" t="n">
        <v>550</v>
      </c>
    </row>
    <row r="10" customFormat="false" ht="15" hidden="false" customHeight="false" outlineLevel="0" collapsed="false">
      <c r="A10" s="0" t="s">
        <v>201</v>
      </c>
      <c r="B10" s="0" t="s">
        <v>46</v>
      </c>
      <c r="C10" s="0" t="n">
        <v>420</v>
      </c>
    </row>
    <row r="11" customFormat="false" ht="15" hidden="false" customHeight="false" outlineLevel="0" collapsed="false">
      <c r="A11" s="0" t="s">
        <v>202</v>
      </c>
      <c r="B11" s="0" t="s">
        <v>99</v>
      </c>
      <c r="C11" s="0" t="n">
        <v>440</v>
      </c>
    </row>
    <row r="12" customFormat="false" ht="15" hidden="false" customHeight="false" outlineLevel="0" collapsed="false">
      <c r="A12" s="0" t="s">
        <v>203</v>
      </c>
      <c r="B12" s="0" t="s">
        <v>46</v>
      </c>
      <c r="C12" s="0" t="n">
        <v>540</v>
      </c>
    </row>
    <row r="13" customFormat="false" ht="15" hidden="false" customHeight="false" outlineLevel="0" collapsed="false">
      <c r="A13" s="0" t="s">
        <v>204</v>
      </c>
      <c r="B13" s="0" t="s">
        <v>99</v>
      </c>
      <c r="C13" s="0" t="n">
        <v>450</v>
      </c>
    </row>
    <row r="14" customFormat="false" ht="15" hidden="false" customHeight="false" outlineLevel="0" collapsed="false">
      <c r="A14" s="0" t="s">
        <v>205</v>
      </c>
      <c r="B14" s="0" t="s">
        <v>53</v>
      </c>
      <c r="C14" s="0" t="n">
        <v>540</v>
      </c>
    </row>
    <row r="15" customFormat="false" ht="15" hidden="false" customHeight="false" outlineLevel="0" collapsed="false">
      <c r="A15" s="0" t="s">
        <v>206</v>
      </c>
      <c r="B15" s="0" t="s">
        <v>53</v>
      </c>
      <c r="C15" s="0" t="n">
        <v>520</v>
      </c>
    </row>
    <row r="16" customFormat="false" ht="15" hidden="false" customHeight="false" outlineLevel="0" collapsed="false">
      <c r="A16" s="0" t="s">
        <v>207</v>
      </c>
      <c r="B16" s="0" t="s">
        <v>46</v>
      </c>
      <c r="C16" s="0" t="n">
        <v>640</v>
      </c>
    </row>
    <row r="17" customFormat="false" ht="15" hidden="false" customHeight="false" outlineLevel="0" collapsed="false">
      <c r="A17" s="0" t="s">
        <v>208</v>
      </c>
      <c r="B17" s="0" t="s">
        <v>80</v>
      </c>
      <c r="C17" s="0" t="n">
        <v>620</v>
      </c>
    </row>
    <row r="18" customFormat="false" ht="15" hidden="false" customHeight="false" outlineLevel="0" collapsed="false">
      <c r="A18" s="0" t="s">
        <v>209</v>
      </c>
      <c r="B18" s="0" t="s">
        <v>46</v>
      </c>
      <c r="C18" s="0" t="n">
        <v>520</v>
      </c>
    </row>
    <row r="19" customFormat="false" ht="15" hidden="false" customHeight="false" outlineLevel="0" collapsed="false">
      <c r="A19" s="0" t="s">
        <v>210</v>
      </c>
      <c r="B19" s="0" t="s">
        <v>80</v>
      </c>
      <c r="C19" s="0" t="n">
        <v>590</v>
      </c>
    </row>
    <row r="20" customFormat="false" ht="15" hidden="false" customHeight="false" outlineLevel="0" collapsed="false">
      <c r="A20" s="0" t="s">
        <v>211</v>
      </c>
      <c r="B20" s="0" t="s">
        <v>99</v>
      </c>
      <c r="C20" s="0" t="n">
        <v>610</v>
      </c>
    </row>
    <row r="21" customFormat="false" ht="15" hidden="false" customHeight="false" outlineLevel="0" collapsed="false">
      <c r="A21" s="0" t="s">
        <v>212</v>
      </c>
      <c r="B21" s="0" t="s">
        <v>99</v>
      </c>
      <c r="C21" s="0" t="n">
        <v>560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0" t="s">
        <v>213</v>
      </c>
      <c r="B1" s="0" t="s">
        <v>214</v>
      </c>
      <c r="C1" s="7" t="s">
        <v>215</v>
      </c>
    </row>
    <row r="2" customFormat="false" ht="15" hidden="false" customHeight="false" outlineLevel="0" collapsed="false">
      <c r="A2" s="0" t="s">
        <v>216</v>
      </c>
      <c r="B2" s="0" t="s">
        <v>193</v>
      </c>
      <c r="C2" s="0" t="s">
        <v>217</v>
      </c>
    </row>
    <row r="3" customFormat="false" ht="15" hidden="false" customHeight="false" outlineLevel="0" collapsed="false">
      <c r="A3" s="0" t="s">
        <v>218</v>
      </c>
      <c r="B3" s="0" t="s">
        <v>194</v>
      </c>
      <c r="C3" s="0" t="s">
        <v>219</v>
      </c>
    </row>
    <row r="4" customFormat="false" ht="15" hidden="false" customHeight="false" outlineLevel="0" collapsed="false">
      <c r="A4" s="0" t="s">
        <v>220</v>
      </c>
      <c r="B4" s="0" t="s">
        <v>195</v>
      </c>
      <c r="C4" s="0" t="s">
        <v>221</v>
      </c>
    </row>
    <row r="5" customFormat="false" ht="15" hidden="false" customHeight="false" outlineLevel="0" collapsed="false">
      <c r="A5" s="0" t="s">
        <v>222</v>
      </c>
      <c r="B5" s="0" t="s">
        <v>196</v>
      </c>
      <c r="C5" s="0" t="s">
        <v>223</v>
      </c>
    </row>
    <row r="6" customFormat="false" ht="15" hidden="false" customHeight="false" outlineLevel="0" collapsed="false">
      <c r="A6" s="0" t="s">
        <v>224</v>
      </c>
      <c r="B6" s="0" t="s">
        <v>197</v>
      </c>
      <c r="C6" s="0" t="s">
        <v>225</v>
      </c>
    </row>
    <row r="7" customFormat="false" ht="15" hidden="false" customHeight="false" outlineLevel="0" collapsed="false">
      <c r="A7" s="0" t="s">
        <v>226</v>
      </c>
      <c r="B7" s="0" t="s">
        <v>198</v>
      </c>
      <c r="C7" s="0" t="s">
        <v>227</v>
      </c>
    </row>
    <row r="8" customFormat="false" ht="15" hidden="false" customHeight="false" outlineLevel="0" collapsed="false">
      <c r="A8" s="0" t="s">
        <v>228</v>
      </c>
      <c r="B8" s="0" t="s">
        <v>199</v>
      </c>
      <c r="C8" s="0" t="s">
        <v>229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0" t="s">
        <v>230</v>
      </c>
      <c r="B1" s="7" t="s">
        <v>231</v>
      </c>
    </row>
    <row r="2" customFormat="false" ht="15" hidden="false" customHeight="false" outlineLevel="0" collapsed="false">
      <c r="A2" s="0" t="s">
        <v>232</v>
      </c>
      <c r="B2" s="0" t="n">
        <f aca="false">Calibracion!$AD$4</f>
        <v>225.372625077835</v>
      </c>
    </row>
    <row r="3" customFormat="false" ht="15" hidden="false" customHeight="false" outlineLevel="0" collapsed="false">
      <c r="A3" s="0" t="s">
        <v>233</v>
      </c>
      <c r="B3" s="0" t="n">
        <f aca="false">Calibracion!$AE$4</f>
        <v>679.791786536203</v>
      </c>
    </row>
    <row r="4" customFormat="false" ht="15" hidden="false" customHeight="false" outlineLevel="0" collapsed="false">
      <c r="A4" s="0" t="s">
        <v>234</v>
      </c>
      <c r="B4" s="0" t="n">
        <f aca="false">Calibracion!$AF$4</f>
        <v>40.9330464550462</v>
      </c>
    </row>
    <row r="5" customFormat="false" ht="15" hidden="false" customHeight="false" outlineLevel="0" collapsed="false">
      <c r="A5" s="0" t="s">
        <v>235</v>
      </c>
      <c r="B5" s="0" t="n">
        <f aca="false">Calibracion!$AG$4</f>
        <v>202.603708803456</v>
      </c>
    </row>
    <row r="6" customFormat="false" ht="15" hidden="false" customHeight="false" outlineLevel="0" collapsed="false">
      <c r="A6" s="0" t="s">
        <v>236</v>
      </c>
      <c r="B6" s="0" t="n">
        <f aca="false">Calibracion!$AH$4</f>
        <v>228.689727143685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4" min="3" style="0" width="23"/>
    <col collapsed="false" customWidth="true" hidden="false" outlineLevel="0" max="5" min="5" style="0" width="24"/>
    <col collapsed="false" customWidth="true" hidden="false" outlineLevel="0" max="6" min="6" style="0" width="27"/>
  </cols>
  <sheetData>
    <row r="1" customFormat="false" ht="25.5" hidden="false" customHeight="true" outlineLevel="0" collapsed="false">
      <c r="A1" s="8" t="s">
        <v>237</v>
      </c>
      <c r="B1" s="8" t="s">
        <v>230</v>
      </c>
      <c r="C1" s="8" t="s">
        <v>238</v>
      </c>
      <c r="D1" s="8" t="s">
        <v>239</v>
      </c>
      <c r="E1" s="8" t="s">
        <v>240</v>
      </c>
      <c r="F1" s="8" t="s">
        <v>241</v>
      </c>
    </row>
    <row r="2" customFormat="false" ht="15" hidden="false" customHeight="false" outlineLevel="0" collapsed="false">
      <c r="A2" s="0" t="s">
        <v>242</v>
      </c>
      <c r="B2" s="0" t="s">
        <v>232</v>
      </c>
      <c r="C2" s="9" t="n">
        <v>0.055055</v>
      </c>
      <c r="D2" s="9" t="n">
        <v>1.0164</v>
      </c>
      <c r="E2" s="10" t="n">
        <v>442150</v>
      </c>
      <c r="F2" s="11" t="n">
        <f aca="false">ROUND(E2*Costos!$B$5,0)</f>
        <v>22108</v>
      </c>
    </row>
    <row r="3" customFormat="false" ht="15" hidden="false" customHeight="false" outlineLevel="0" collapsed="false">
      <c r="A3" s="0" t="s">
        <v>243</v>
      </c>
      <c r="B3" s="0" t="s">
        <v>232</v>
      </c>
      <c r="C3" s="9" t="n">
        <v>0.07865</v>
      </c>
      <c r="D3" s="9" t="n">
        <v>1.4659</v>
      </c>
      <c r="E3" s="10" t="n">
        <v>527043</v>
      </c>
      <c r="F3" s="11" t="n">
        <f aca="false">ROUND(E3*Costos!$B$5,0)</f>
        <v>26352</v>
      </c>
    </row>
    <row r="4" customFormat="false" ht="15" hidden="false" customHeight="false" outlineLevel="0" collapsed="false">
      <c r="A4" s="0" t="s">
        <v>244</v>
      </c>
      <c r="B4" s="0" t="s">
        <v>233</v>
      </c>
      <c r="C4" s="9" t="n">
        <v>0.0096</v>
      </c>
      <c r="D4" s="9" t="n">
        <v>0.42703</v>
      </c>
      <c r="E4" s="10" t="n">
        <v>96334</v>
      </c>
      <c r="F4" s="11" t="n">
        <f aca="false">ROUND(E4*Costos!$B$5,0)</f>
        <v>4817</v>
      </c>
    </row>
    <row r="5" customFormat="false" ht="15" hidden="false" customHeight="false" outlineLevel="0" collapsed="false">
      <c r="A5" s="0" t="s">
        <v>245</v>
      </c>
      <c r="B5" s="0" t="s">
        <v>233</v>
      </c>
      <c r="C5" s="9" t="n">
        <v>0.0308</v>
      </c>
      <c r="D5" s="9" t="n">
        <v>1.0164</v>
      </c>
      <c r="E5" s="10" t="n">
        <v>442150</v>
      </c>
      <c r="F5" s="11" t="n">
        <f aca="false">ROUND(E5*Costos!$B$5,0)</f>
        <v>22108</v>
      </c>
    </row>
    <row r="6" customFormat="false" ht="15" hidden="false" customHeight="false" outlineLevel="0" collapsed="false">
      <c r="A6" s="0" t="s">
        <v>246</v>
      </c>
      <c r="B6" s="0" t="s">
        <v>233</v>
      </c>
      <c r="C6" s="9" t="n">
        <v>0.044</v>
      </c>
      <c r="D6" s="9" t="n">
        <v>1.4659</v>
      </c>
      <c r="E6" s="10" t="n">
        <v>527043</v>
      </c>
      <c r="F6" s="11" t="n">
        <f aca="false">ROUND(E6*Costos!$B$5,0)</f>
        <v>26352</v>
      </c>
    </row>
    <row r="7" customFormat="false" ht="15" hidden="false" customHeight="false" outlineLevel="0" collapsed="false">
      <c r="A7" s="0" t="s">
        <v>247</v>
      </c>
      <c r="B7" s="0" t="s">
        <v>234</v>
      </c>
      <c r="C7" s="9" t="n">
        <v>0.096</v>
      </c>
      <c r="D7" s="9" t="n">
        <v>0.42703</v>
      </c>
      <c r="E7" s="10" t="n">
        <v>96334</v>
      </c>
      <c r="F7" s="11" t="n">
        <f aca="false">ROUND(E7*Costos!$B$5,0)</f>
        <v>4817</v>
      </c>
    </row>
    <row r="8" customFormat="false" ht="15" hidden="false" customHeight="false" outlineLevel="0" collapsed="false">
      <c r="A8" s="0" t="s">
        <v>248</v>
      </c>
      <c r="B8" s="0" t="s">
        <v>234</v>
      </c>
      <c r="C8" s="9" t="n">
        <v>1.5</v>
      </c>
      <c r="D8" s="9" t="n">
        <v>2.64</v>
      </c>
      <c r="E8" s="10" t="n">
        <v>1500000</v>
      </c>
      <c r="F8" s="11" t="n">
        <f aca="false">ROUND(E8*Costos!$B$5,0)</f>
        <v>75000</v>
      </c>
    </row>
    <row r="9" customFormat="false" ht="15" hidden="false" customHeight="false" outlineLevel="0" collapsed="false">
      <c r="A9" s="0" t="s">
        <v>249</v>
      </c>
      <c r="B9" s="0" t="s">
        <v>235</v>
      </c>
      <c r="C9" s="9" t="n">
        <v>0.00864</v>
      </c>
      <c r="D9" s="9" t="n">
        <v>0.42703</v>
      </c>
      <c r="E9" s="10" t="n">
        <v>96334</v>
      </c>
      <c r="F9" s="11" t="n">
        <f aca="false">ROUND(E9*Costos!$B$5,0)</f>
        <v>4817</v>
      </c>
    </row>
    <row r="10" customFormat="false" ht="15" hidden="false" customHeight="false" outlineLevel="0" collapsed="false">
      <c r="A10" s="0" t="s">
        <v>250</v>
      </c>
      <c r="B10" s="0" t="s">
        <v>235</v>
      </c>
      <c r="C10" s="9" t="n">
        <v>0.02772</v>
      </c>
      <c r="D10" s="9" t="n">
        <v>1.0164</v>
      </c>
      <c r="E10" s="10" t="n">
        <v>442150</v>
      </c>
      <c r="F10" s="11" t="n">
        <f aca="false">ROUND(E10*Costos!$B$5,0)</f>
        <v>22108</v>
      </c>
    </row>
    <row r="11" customFormat="false" ht="15" hidden="false" customHeight="false" outlineLevel="0" collapsed="false">
      <c r="A11" s="0" t="s">
        <v>251</v>
      </c>
      <c r="B11" s="0" t="s">
        <v>236</v>
      </c>
      <c r="C11" s="9" t="n">
        <v>0.02002</v>
      </c>
      <c r="D11" s="9" t="n">
        <v>1.0164</v>
      </c>
      <c r="E11" s="10" t="n">
        <v>442150</v>
      </c>
      <c r="F11" s="11" t="n">
        <f aca="false">ROUND(E11*Costos!$B$5,0)</f>
        <v>22108</v>
      </c>
    </row>
    <row r="12" customFormat="false" ht="15" hidden="false" customHeight="false" outlineLevel="0" collapsed="false">
      <c r="A12" s="0" t="s">
        <v>252</v>
      </c>
      <c r="B12" s="0" t="s">
        <v>236</v>
      </c>
      <c r="C12" s="9" t="n">
        <v>0.0286</v>
      </c>
      <c r="D12" s="9" t="n">
        <v>1.4659</v>
      </c>
      <c r="E12" s="10" t="n">
        <v>527043</v>
      </c>
      <c r="F12" s="11" t="n">
        <f aca="false">ROUND(E12*Costos!$B$5,0)</f>
        <v>26352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3"/>
    <col collapsed="false" customWidth="true" hidden="false" outlineLevel="0" max="5" min="5" style="0" width="26"/>
    <col collapsed="false" customWidth="true" hidden="false" outlineLevel="0" max="6" min="6" style="0" width="23"/>
  </cols>
  <sheetData>
    <row r="1" customFormat="false" ht="28.5" hidden="false" customHeight="true" outlineLevel="0" collapsed="false">
      <c r="A1" s="12" t="s">
        <v>213</v>
      </c>
      <c r="B1" s="12" t="s">
        <v>253</v>
      </c>
      <c r="C1" s="12" t="s">
        <v>230</v>
      </c>
      <c r="D1" s="12" t="s">
        <v>254</v>
      </c>
      <c r="E1" s="12" t="s">
        <v>255</v>
      </c>
      <c r="F1" s="12" t="s">
        <v>239</v>
      </c>
    </row>
    <row r="2" customFormat="false" ht="15" hidden="false" customHeight="false" outlineLevel="0" collapsed="false">
      <c r="A2" s="0" t="s">
        <v>219</v>
      </c>
      <c r="B2" s="0" t="s">
        <v>256</v>
      </c>
      <c r="C2" s="0" t="s">
        <v>232</v>
      </c>
      <c r="D2" s="13" t="n">
        <v>1</v>
      </c>
      <c r="E2" s="9" t="n">
        <v>0.4576</v>
      </c>
      <c r="F2" s="9" t="n">
        <v>3.2</v>
      </c>
    </row>
    <row r="3" customFormat="false" ht="15" hidden="false" customHeight="false" outlineLevel="0" collapsed="false">
      <c r="A3" s="0" t="s">
        <v>219</v>
      </c>
      <c r="B3" s="0" t="s">
        <v>257</v>
      </c>
      <c r="C3" s="0" t="s">
        <v>233</v>
      </c>
      <c r="D3" s="13" t="n">
        <v>4</v>
      </c>
      <c r="E3" s="9" t="n">
        <v>0.0308</v>
      </c>
      <c r="F3" s="9" t="n">
        <v>1.0608</v>
      </c>
    </row>
    <row r="4" customFormat="false" ht="15" hidden="false" customHeight="false" outlineLevel="0" collapsed="false">
      <c r="A4" s="0" t="s">
        <v>219</v>
      </c>
      <c r="B4" s="0" t="s">
        <v>258</v>
      </c>
      <c r="C4" s="0" t="s">
        <v>234</v>
      </c>
      <c r="D4" s="13" t="n">
        <v>1</v>
      </c>
      <c r="E4" s="9" t="n">
        <v>1.5</v>
      </c>
      <c r="F4" s="9" t="n">
        <v>2.64</v>
      </c>
    </row>
    <row r="5" customFormat="false" ht="15" hidden="false" customHeight="false" outlineLevel="0" collapsed="false">
      <c r="A5" s="0" t="s">
        <v>219</v>
      </c>
      <c r="B5" s="0" t="s">
        <v>259</v>
      </c>
      <c r="C5" s="0" t="s">
        <v>235</v>
      </c>
      <c r="D5" s="13" t="n">
        <v>1</v>
      </c>
      <c r="E5" s="9" t="n">
        <v>0.045845816</v>
      </c>
      <c r="F5" s="9" t="n">
        <v>1.0608</v>
      </c>
    </row>
    <row r="6" customFormat="false" ht="15" hidden="false" customHeight="false" outlineLevel="0" collapsed="false">
      <c r="A6" s="0" t="s">
        <v>219</v>
      </c>
      <c r="B6" s="0" t="s">
        <v>260</v>
      </c>
      <c r="C6" s="0" t="s">
        <v>236</v>
      </c>
      <c r="D6" s="13" t="n">
        <v>2</v>
      </c>
      <c r="E6" s="9" t="n">
        <v>0.02002</v>
      </c>
      <c r="F6" s="9" t="n">
        <v>1.0608</v>
      </c>
    </row>
    <row r="7" customFormat="false" ht="15" hidden="false" customHeight="false" outlineLevel="0" collapsed="false">
      <c r="A7" s="0" t="s">
        <v>217</v>
      </c>
      <c r="B7" s="0" t="s">
        <v>256</v>
      </c>
      <c r="C7" s="0" t="s">
        <v>232</v>
      </c>
      <c r="D7" s="13" t="n">
        <v>1</v>
      </c>
      <c r="E7" s="9" t="n">
        <v>0.4576</v>
      </c>
      <c r="F7" s="9" t="n">
        <v>3.2</v>
      </c>
    </row>
    <row r="8" customFormat="false" ht="15" hidden="false" customHeight="false" outlineLevel="0" collapsed="false">
      <c r="A8" s="0" t="s">
        <v>217</v>
      </c>
      <c r="B8" s="0" t="s">
        <v>257</v>
      </c>
      <c r="C8" s="0" t="s">
        <v>233</v>
      </c>
      <c r="D8" s="13" t="n">
        <v>5</v>
      </c>
      <c r="E8" s="9" t="n">
        <v>0.0308</v>
      </c>
      <c r="F8" s="9" t="n">
        <v>1.0608</v>
      </c>
    </row>
    <row r="9" customFormat="false" ht="15" hidden="false" customHeight="false" outlineLevel="0" collapsed="false">
      <c r="A9" s="0" t="s">
        <v>217</v>
      </c>
      <c r="B9" s="0" t="s">
        <v>258</v>
      </c>
      <c r="C9" s="0" t="s">
        <v>234</v>
      </c>
      <c r="D9" s="13" t="n">
        <v>1</v>
      </c>
      <c r="E9" s="9" t="n">
        <v>1.5</v>
      </c>
      <c r="F9" s="9" t="n">
        <v>2.64</v>
      </c>
    </row>
    <row r="10" customFormat="false" ht="15" hidden="false" customHeight="false" outlineLevel="0" collapsed="false">
      <c r="A10" s="0" t="s">
        <v>217</v>
      </c>
      <c r="B10" s="0" t="s">
        <v>259</v>
      </c>
      <c r="C10" s="0" t="s">
        <v>235</v>
      </c>
      <c r="D10" s="13" t="n">
        <v>1</v>
      </c>
      <c r="E10" s="9" t="n">
        <v>0.044412934</v>
      </c>
      <c r="F10" s="9" t="n">
        <v>1.0608</v>
      </c>
    </row>
    <row r="11" customFormat="false" ht="15" hidden="false" customHeight="false" outlineLevel="0" collapsed="false">
      <c r="A11" s="0" t="s">
        <v>217</v>
      </c>
      <c r="B11" s="0" t="s">
        <v>260</v>
      </c>
      <c r="C11" s="0" t="s">
        <v>236</v>
      </c>
      <c r="D11" s="13" t="n">
        <v>2</v>
      </c>
      <c r="E11" s="9" t="n">
        <v>0.02002</v>
      </c>
      <c r="F11" s="9" t="n">
        <v>1.0608</v>
      </c>
    </row>
    <row r="12" customFormat="false" ht="15" hidden="false" customHeight="false" outlineLevel="0" collapsed="false">
      <c r="A12" s="0" t="s">
        <v>221</v>
      </c>
      <c r="B12" s="0" t="s">
        <v>256</v>
      </c>
      <c r="C12" s="0" t="s">
        <v>232</v>
      </c>
      <c r="D12" s="13" t="n">
        <v>1</v>
      </c>
      <c r="E12" s="9" t="n">
        <v>0.4576</v>
      </c>
      <c r="F12" s="9" t="n">
        <v>3.2</v>
      </c>
    </row>
    <row r="13" customFormat="false" ht="15" hidden="false" customHeight="false" outlineLevel="0" collapsed="false">
      <c r="A13" s="0" t="s">
        <v>221</v>
      </c>
      <c r="B13" s="0" t="s">
        <v>257</v>
      </c>
      <c r="C13" s="0" t="s">
        <v>233</v>
      </c>
      <c r="D13" s="13" t="n">
        <v>2</v>
      </c>
      <c r="E13" s="9" t="n">
        <v>0.0308</v>
      </c>
      <c r="F13" s="9" t="n">
        <v>1.0608</v>
      </c>
    </row>
    <row r="14" customFormat="false" ht="15" hidden="false" customHeight="false" outlineLevel="0" collapsed="false">
      <c r="A14" s="0" t="s">
        <v>221</v>
      </c>
      <c r="B14" s="0" t="s">
        <v>258</v>
      </c>
      <c r="C14" s="0" t="s">
        <v>234</v>
      </c>
      <c r="D14" s="13" t="n">
        <v>1</v>
      </c>
      <c r="E14" s="9" t="n">
        <v>1.5</v>
      </c>
      <c r="F14" s="9" t="n">
        <v>2.64</v>
      </c>
    </row>
    <row r="15" customFormat="false" ht="15" hidden="false" customHeight="false" outlineLevel="0" collapsed="false">
      <c r="A15" s="0" t="s">
        <v>221</v>
      </c>
      <c r="B15" s="0" t="s">
        <v>259</v>
      </c>
      <c r="C15" s="0" t="s">
        <v>235</v>
      </c>
      <c r="D15" s="13" t="n">
        <v>1</v>
      </c>
      <c r="E15" s="9" t="n">
        <v>0.057726375</v>
      </c>
      <c r="F15" s="9" t="n">
        <v>1.0608</v>
      </c>
    </row>
    <row r="16" customFormat="false" ht="15" hidden="false" customHeight="false" outlineLevel="0" collapsed="false">
      <c r="A16" s="0" t="s">
        <v>221</v>
      </c>
      <c r="B16" s="0" t="s">
        <v>260</v>
      </c>
      <c r="C16" s="0" t="s">
        <v>236</v>
      </c>
      <c r="D16" s="13" t="n">
        <v>1</v>
      </c>
      <c r="E16" s="9" t="n">
        <v>0.02002</v>
      </c>
      <c r="F16" s="9" t="n">
        <v>1.0608</v>
      </c>
    </row>
    <row r="17" customFormat="false" ht="15" hidden="false" customHeight="false" outlineLevel="0" collapsed="false">
      <c r="A17" s="0" t="s">
        <v>229</v>
      </c>
      <c r="B17" s="0" t="s">
        <v>256</v>
      </c>
      <c r="C17" s="0" t="s">
        <v>232</v>
      </c>
      <c r="D17" s="13" t="n">
        <v>1</v>
      </c>
      <c r="E17" s="9" t="n">
        <v>0.4576</v>
      </c>
      <c r="F17" s="9" t="n">
        <v>3.2</v>
      </c>
    </row>
    <row r="18" customFormat="false" ht="15" hidden="false" customHeight="false" outlineLevel="0" collapsed="false">
      <c r="A18" s="0" t="s">
        <v>229</v>
      </c>
      <c r="B18" s="0" t="s">
        <v>257</v>
      </c>
      <c r="C18" s="0" t="s">
        <v>233</v>
      </c>
      <c r="D18" s="13" t="n">
        <v>1</v>
      </c>
      <c r="E18" s="9" t="n">
        <v>0.0308</v>
      </c>
      <c r="F18" s="9" t="n">
        <v>1.0608</v>
      </c>
    </row>
    <row r="19" customFormat="false" ht="15" hidden="false" customHeight="false" outlineLevel="0" collapsed="false">
      <c r="A19" s="0" t="s">
        <v>229</v>
      </c>
      <c r="B19" s="0" t="s">
        <v>258</v>
      </c>
      <c r="C19" s="0" t="s">
        <v>234</v>
      </c>
      <c r="D19" s="13" t="n">
        <v>1</v>
      </c>
      <c r="E19" s="9" t="n">
        <v>1.5</v>
      </c>
      <c r="F19" s="9" t="n">
        <v>2.64</v>
      </c>
    </row>
    <row r="20" customFormat="false" ht="15" hidden="false" customHeight="false" outlineLevel="0" collapsed="false">
      <c r="A20" s="0" t="s">
        <v>229</v>
      </c>
      <c r="B20" s="0" t="s">
        <v>259</v>
      </c>
      <c r="C20" s="0" t="s">
        <v>235</v>
      </c>
      <c r="D20" s="13" t="n">
        <v>1</v>
      </c>
      <c r="E20" s="9" t="n">
        <v>0.045876992</v>
      </c>
      <c r="F20" s="9" t="n">
        <v>1.0608</v>
      </c>
    </row>
    <row r="21" customFormat="false" ht="15" hidden="false" customHeight="false" outlineLevel="0" collapsed="false">
      <c r="A21" s="0" t="s">
        <v>229</v>
      </c>
      <c r="B21" s="0" t="s">
        <v>260</v>
      </c>
      <c r="C21" s="0" t="s">
        <v>236</v>
      </c>
      <c r="D21" s="13" t="n">
        <v>1</v>
      </c>
      <c r="E21" s="9" t="n">
        <v>0.02002</v>
      </c>
      <c r="F21" s="9" t="n">
        <v>1.0608</v>
      </c>
    </row>
    <row r="22" customFormat="false" ht="15" hidden="false" customHeight="false" outlineLevel="0" collapsed="false">
      <c r="A22" s="0" t="s">
        <v>225</v>
      </c>
      <c r="B22" s="0" t="s">
        <v>256</v>
      </c>
      <c r="C22" s="0" t="s">
        <v>232</v>
      </c>
      <c r="D22" s="13" t="n">
        <v>1</v>
      </c>
      <c r="E22" s="9" t="n">
        <v>0.4576</v>
      </c>
      <c r="F22" s="9" t="n">
        <v>3.2</v>
      </c>
    </row>
    <row r="23" customFormat="false" ht="15" hidden="false" customHeight="false" outlineLevel="0" collapsed="false">
      <c r="A23" s="0" t="s">
        <v>225</v>
      </c>
      <c r="B23" s="0" t="s">
        <v>257</v>
      </c>
      <c r="C23" s="0" t="s">
        <v>233</v>
      </c>
      <c r="D23" s="13" t="n">
        <v>3</v>
      </c>
      <c r="E23" s="9" t="n">
        <v>0.0308</v>
      </c>
      <c r="F23" s="9" t="n">
        <v>1.0608</v>
      </c>
    </row>
    <row r="24" customFormat="false" ht="15" hidden="false" customHeight="false" outlineLevel="0" collapsed="false">
      <c r="A24" s="0" t="s">
        <v>225</v>
      </c>
      <c r="B24" s="0" t="s">
        <v>258</v>
      </c>
      <c r="C24" s="0" t="s">
        <v>234</v>
      </c>
      <c r="D24" s="13" t="n">
        <v>1</v>
      </c>
      <c r="E24" s="9" t="n">
        <v>1.5</v>
      </c>
      <c r="F24" s="9" t="n">
        <v>2.64</v>
      </c>
    </row>
    <row r="25" customFormat="false" ht="15" hidden="false" customHeight="false" outlineLevel="0" collapsed="false">
      <c r="A25" s="0" t="s">
        <v>225</v>
      </c>
      <c r="B25" s="0" t="s">
        <v>259</v>
      </c>
      <c r="C25" s="0" t="s">
        <v>235</v>
      </c>
      <c r="D25" s="13" t="n">
        <v>1</v>
      </c>
      <c r="E25" s="9" t="n">
        <v>0.046687253</v>
      </c>
      <c r="F25" s="9" t="n">
        <v>1.0608</v>
      </c>
    </row>
    <row r="26" customFormat="false" ht="15" hidden="false" customHeight="false" outlineLevel="0" collapsed="false">
      <c r="A26" s="0" t="s">
        <v>225</v>
      </c>
      <c r="B26" s="0" t="s">
        <v>260</v>
      </c>
      <c r="C26" s="0" t="s">
        <v>236</v>
      </c>
      <c r="D26" s="13" t="n">
        <v>1</v>
      </c>
      <c r="E26" s="9" t="n">
        <v>0.02002</v>
      </c>
      <c r="F26" s="9" t="n">
        <v>1.0608</v>
      </c>
    </row>
    <row r="27" customFormat="false" ht="15" hidden="false" customHeight="false" outlineLevel="0" collapsed="false">
      <c r="A27" s="0" t="s">
        <v>227</v>
      </c>
      <c r="B27" s="0" t="s">
        <v>256</v>
      </c>
      <c r="C27" s="0" t="s">
        <v>232</v>
      </c>
      <c r="D27" s="13" t="n">
        <v>1</v>
      </c>
      <c r="E27" s="9" t="n">
        <v>0.4576</v>
      </c>
      <c r="F27" s="9" t="n">
        <v>3.2</v>
      </c>
    </row>
    <row r="28" customFormat="false" ht="15" hidden="false" customHeight="false" outlineLevel="0" collapsed="false">
      <c r="A28" s="0" t="s">
        <v>227</v>
      </c>
      <c r="B28" s="0" t="s">
        <v>257</v>
      </c>
      <c r="C28" s="0" t="s">
        <v>233</v>
      </c>
      <c r="D28" s="13" t="n">
        <v>3</v>
      </c>
      <c r="E28" s="9" t="n">
        <v>0.0308</v>
      </c>
      <c r="F28" s="9" t="n">
        <v>1.0608</v>
      </c>
    </row>
    <row r="29" customFormat="false" ht="15" hidden="false" customHeight="false" outlineLevel="0" collapsed="false">
      <c r="A29" s="0" t="s">
        <v>227</v>
      </c>
      <c r="B29" s="0" t="s">
        <v>258</v>
      </c>
      <c r="C29" s="0" t="s">
        <v>234</v>
      </c>
      <c r="D29" s="13" t="n">
        <v>1</v>
      </c>
      <c r="E29" s="9" t="n">
        <v>1.5</v>
      </c>
      <c r="F29" s="9" t="n">
        <v>2.64</v>
      </c>
    </row>
    <row r="30" customFormat="false" ht="15" hidden="false" customHeight="false" outlineLevel="0" collapsed="false">
      <c r="A30" s="0" t="s">
        <v>227</v>
      </c>
      <c r="B30" s="0" t="s">
        <v>259</v>
      </c>
      <c r="C30" s="0" t="s">
        <v>235</v>
      </c>
      <c r="D30" s="13" t="n">
        <v>1</v>
      </c>
      <c r="E30" s="9" t="n">
        <v>0.043486989</v>
      </c>
      <c r="F30" s="9" t="n">
        <v>1.0608</v>
      </c>
    </row>
    <row r="31" customFormat="false" ht="15" hidden="false" customHeight="false" outlineLevel="0" collapsed="false">
      <c r="A31" s="0" t="s">
        <v>227</v>
      </c>
      <c r="B31" s="0" t="s">
        <v>260</v>
      </c>
      <c r="C31" s="0" t="s">
        <v>236</v>
      </c>
      <c r="D31" s="13" t="n">
        <v>1</v>
      </c>
      <c r="E31" s="9" t="n">
        <v>0.02002</v>
      </c>
      <c r="F31" s="9" t="n">
        <v>1.0608</v>
      </c>
    </row>
    <row r="32" customFormat="false" ht="15" hidden="false" customHeight="false" outlineLevel="0" collapsed="false">
      <c r="A32" s="0" t="s">
        <v>223</v>
      </c>
      <c r="B32" s="0" t="s">
        <v>256</v>
      </c>
      <c r="C32" s="0" t="s">
        <v>232</v>
      </c>
      <c r="D32" s="13" t="n">
        <v>1</v>
      </c>
      <c r="E32" s="9" t="n">
        <v>0.4576</v>
      </c>
      <c r="F32" s="9" t="n">
        <v>3.2</v>
      </c>
    </row>
    <row r="33" customFormat="false" ht="15" hidden="false" customHeight="false" outlineLevel="0" collapsed="false">
      <c r="A33" s="0" t="s">
        <v>223</v>
      </c>
      <c r="B33" s="0" t="s">
        <v>257</v>
      </c>
      <c r="C33" s="0" t="s">
        <v>233</v>
      </c>
      <c r="D33" s="13" t="n">
        <v>1</v>
      </c>
      <c r="E33" s="9" t="n">
        <v>0.0308</v>
      </c>
      <c r="F33" s="9" t="n">
        <v>1.0608</v>
      </c>
    </row>
    <row r="34" customFormat="false" ht="15" hidden="false" customHeight="false" outlineLevel="0" collapsed="false">
      <c r="A34" s="0" t="s">
        <v>223</v>
      </c>
      <c r="B34" s="0" t="s">
        <v>258</v>
      </c>
      <c r="C34" s="0" t="s">
        <v>234</v>
      </c>
      <c r="D34" s="13" t="n">
        <v>1</v>
      </c>
      <c r="E34" s="9" t="n">
        <v>1.5</v>
      </c>
      <c r="F34" s="9" t="n">
        <v>2.64</v>
      </c>
    </row>
    <row r="35" customFormat="false" ht="15" hidden="false" customHeight="false" outlineLevel="0" collapsed="false">
      <c r="A35" s="0" t="s">
        <v>223</v>
      </c>
      <c r="B35" s="0" t="s">
        <v>259</v>
      </c>
      <c r="C35" s="0" t="s">
        <v>235</v>
      </c>
      <c r="D35" s="13" t="n">
        <v>1</v>
      </c>
      <c r="E35" s="9" t="n">
        <v>0.046103647</v>
      </c>
      <c r="F35" s="9" t="n">
        <v>1.0608</v>
      </c>
    </row>
    <row r="36" customFormat="false" ht="15" hidden="false" customHeight="false" outlineLevel="0" collapsed="false">
      <c r="A36" s="0" t="s">
        <v>223</v>
      </c>
      <c r="B36" s="0" t="s">
        <v>260</v>
      </c>
      <c r="C36" s="0" t="s">
        <v>236</v>
      </c>
      <c r="D36" s="13" t="n">
        <v>1</v>
      </c>
      <c r="E36" s="9" t="n">
        <v>0.02002</v>
      </c>
      <c r="F36" s="9" t="n">
        <v>1.0608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9"/>
  </cols>
  <sheetData>
    <row r="1" customFormat="false" ht="25.5" hidden="false" customHeight="true" outlineLevel="0" collapsed="false">
      <c r="A1" s="14" t="s">
        <v>42</v>
      </c>
      <c r="B1" s="14" t="s">
        <v>230</v>
      </c>
      <c r="C1" s="14" t="s">
        <v>261</v>
      </c>
    </row>
    <row r="2" customFormat="false" ht="15" hidden="false" customHeight="false" outlineLevel="0" collapsed="false">
      <c r="A2" s="0" t="s">
        <v>45</v>
      </c>
      <c r="B2" s="0" t="s">
        <v>232</v>
      </c>
      <c r="C2" s="15" t="n">
        <v>0.0435338767065874</v>
      </c>
    </row>
    <row r="3" customFormat="false" ht="15" hidden="false" customHeight="false" outlineLevel="0" collapsed="false">
      <c r="A3" s="0" t="s">
        <v>45</v>
      </c>
      <c r="B3" s="0" t="s">
        <v>233</v>
      </c>
      <c r="C3" s="15" t="n">
        <v>0.0378709333951614</v>
      </c>
    </row>
    <row r="4" customFormat="false" ht="15" hidden="false" customHeight="false" outlineLevel="0" collapsed="false">
      <c r="A4" s="0" t="s">
        <v>45</v>
      </c>
      <c r="B4" s="0" t="s">
        <v>234</v>
      </c>
      <c r="C4" s="15" t="n">
        <v>0.0134494903646368</v>
      </c>
    </row>
    <row r="5" customFormat="false" ht="15" hidden="false" customHeight="false" outlineLevel="0" collapsed="false">
      <c r="A5" s="0" t="s">
        <v>45</v>
      </c>
      <c r="B5" s="0" t="s">
        <v>235</v>
      </c>
      <c r="C5" s="15" t="n">
        <v>0.00353933956964125</v>
      </c>
    </row>
    <row r="6" customFormat="false" ht="15" hidden="false" customHeight="false" outlineLevel="0" collapsed="false">
      <c r="A6" s="0" t="s">
        <v>45</v>
      </c>
      <c r="B6" s="0" t="s">
        <v>236</v>
      </c>
      <c r="C6" s="15" t="n">
        <v>0.00247753769874887</v>
      </c>
    </row>
    <row r="7" customFormat="false" ht="15" hidden="false" customHeight="false" outlineLevel="0" collapsed="false">
      <c r="A7" s="0" t="s">
        <v>47</v>
      </c>
      <c r="B7" s="0" t="s">
        <v>232</v>
      </c>
      <c r="C7" s="15" t="n">
        <v>0.0435338767065874</v>
      </c>
    </row>
    <row r="8" customFormat="false" ht="15" hidden="false" customHeight="false" outlineLevel="0" collapsed="false">
      <c r="A8" s="0" t="s">
        <v>47</v>
      </c>
      <c r="B8" s="0" t="s">
        <v>233</v>
      </c>
      <c r="C8" s="15" t="n">
        <v>0.0378709333951614</v>
      </c>
    </row>
    <row r="9" customFormat="false" ht="15" hidden="false" customHeight="false" outlineLevel="0" collapsed="false">
      <c r="A9" s="0" t="s">
        <v>47</v>
      </c>
      <c r="B9" s="0" t="s">
        <v>234</v>
      </c>
      <c r="C9" s="15" t="n">
        <v>0.0134494903646368</v>
      </c>
    </row>
    <row r="10" customFormat="false" ht="15" hidden="false" customHeight="false" outlineLevel="0" collapsed="false">
      <c r="A10" s="0" t="s">
        <v>47</v>
      </c>
      <c r="B10" s="0" t="s">
        <v>235</v>
      </c>
      <c r="C10" s="15" t="n">
        <v>0.00353933956964125</v>
      </c>
    </row>
    <row r="11" customFormat="false" ht="15" hidden="false" customHeight="false" outlineLevel="0" collapsed="false">
      <c r="A11" s="0" t="s">
        <v>47</v>
      </c>
      <c r="B11" s="0" t="s">
        <v>236</v>
      </c>
      <c r="C11" s="15" t="n">
        <v>0.00247753769874887</v>
      </c>
    </row>
    <row r="12" customFormat="false" ht="15" hidden="false" customHeight="false" outlineLevel="0" collapsed="false">
      <c r="A12" s="0" t="s">
        <v>48</v>
      </c>
      <c r="B12" s="0" t="s">
        <v>232</v>
      </c>
      <c r="C12" s="15" t="n">
        <v>0.0435338767065874</v>
      </c>
    </row>
    <row r="13" customFormat="false" ht="15" hidden="false" customHeight="false" outlineLevel="0" collapsed="false">
      <c r="A13" s="0" t="s">
        <v>48</v>
      </c>
      <c r="B13" s="0" t="s">
        <v>233</v>
      </c>
      <c r="C13" s="15" t="n">
        <v>0.0378709333951614</v>
      </c>
    </row>
    <row r="14" customFormat="false" ht="15" hidden="false" customHeight="false" outlineLevel="0" collapsed="false">
      <c r="A14" s="0" t="s">
        <v>48</v>
      </c>
      <c r="B14" s="0" t="s">
        <v>234</v>
      </c>
      <c r="C14" s="15" t="n">
        <v>0.0134494903646368</v>
      </c>
    </row>
    <row r="15" customFormat="false" ht="15" hidden="false" customHeight="false" outlineLevel="0" collapsed="false">
      <c r="A15" s="0" t="s">
        <v>48</v>
      </c>
      <c r="B15" s="0" t="s">
        <v>235</v>
      </c>
      <c r="C15" s="15" t="n">
        <v>0.00353933956964125</v>
      </c>
    </row>
    <row r="16" customFormat="false" ht="15" hidden="false" customHeight="false" outlineLevel="0" collapsed="false">
      <c r="A16" s="0" t="s">
        <v>48</v>
      </c>
      <c r="B16" s="0" t="s">
        <v>236</v>
      </c>
      <c r="C16" s="15" t="n">
        <v>0.00247753769874887</v>
      </c>
    </row>
    <row r="17" customFormat="false" ht="15" hidden="false" customHeight="false" outlineLevel="0" collapsed="false">
      <c r="A17" s="0" t="s">
        <v>49</v>
      </c>
      <c r="B17" s="0" t="s">
        <v>232</v>
      </c>
      <c r="C17" s="15" t="n">
        <v>0.0435338767065874</v>
      </c>
    </row>
    <row r="18" customFormat="false" ht="15" hidden="false" customHeight="false" outlineLevel="0" collapsed="false">
      <c r="A18" s="0" t="s">
        <v>49</v>
      </c>
      <c r="B18" s="0" t="s">
        <v>233</v>
      </c>
      <c r="C18" s="15" t="n">
        <v>0.0378709333951614</v>
      </c>
    </row>
    <row r="19" customFormat="false" ht="15" hidden="false" customHeight="false" outlineLevel="0" collapsed="false">
      <c r="A19" s="0" t="s">
        <v>49</v>
      </c>
      <c r="B19" s="0" t="s">
        <v>234</v>
      </c>
      <c r="C19" s="15" t="n">
        <v>0.0134494903646368</v>
      </c>
    </row>
    <row r="20" customFormat="false" ht="15" hidden="false" customHeight="false" outlineLevel="0" collapsed="false">
      <c r="A20" s="0" t="s">
        <v>49</v>
      </c>
      <c r="B20" s="0" t="s">
        <v>235</v>
      </c>
      <c r="C20" s="15" t="n">
        <v>0.00353933956964125</v>
      </c>
    </row>
    <row r="21" customFormat="false" ht="15" hidden="false" customHeight="false" outlineLevel="0" collapsed="false">
      <c r="A21" s="0" t="s">
        <v>49</v>
      </c>
      <c r="B21" s="0" t="s">
        <v>236</v>
      </c>
      <c r="C21" s="15" t="n">
        <v>0.00247753769874887</v>
      </c>
    </row>
    <row r="22" customFormat="false" ht="15" hidden="false" customHeight="false" outlineLevel="0" collapsed="false">
      <c r="A22" s="0" t="s">
        <v>50</v>
      </c>
      <c r="B22" s="0" t="s">
        <v>232</v>
      </c>
      <c r="C22" s="15" t="n">
        <v>0.0435338767065874</v>
      </c>
    </row>
    <row r="23" customFormat="false" ht="15" hidden="false" customHeight="false" outlineLevel="0" collapsed="false">
      <c r="A23" s="0" t="s">
        <v>50</v>
      </c>
      <c r="B23" s="0" t="s">
        <v>233</v>
      </c>
      <c r="C23" s="15" t="n">
        <v>0.0378709333951614</v>
      </c>
    </row>
    <row r="24" customFormat="false" ht="15" hidden="false" customHeight="false" outlineLevel="0" collapsed="false">
      <c r="A24" s="0" t="s">
        <v>50</v>
      </c>
      <c r="B24" s="0" t="s">
        <v>234</v>
      </c>
      <c r="C24" s="15" t="n">
        <v>0.0134494903646368</v>
      </c>
    </row>
    <row r="25" customFormat="false" ht="15" hidden="false" customHeight="false" outlineLevel="0" collapsed="false">
      <c r="A25" s="0" t="s">
        <v>50</v>
      </c>
      <c r="B25" s="0" t="s">
        <v>235</v>
      </c>
      <c r="C25" s="15" t="n">
        <v>0.00353933956964125</v>
      </c>
    </row>
    <row r="26" customFormat="false" ht="15" hidden="false" customHeight="false" outlineLevel="0" collapsed="false">
      <c r="A26" s="0" t="s">
        <v>50</v>
      </c>
      <c r="B26" s="0" t="s">
        <v>236</v>
      </c>
      <c r="C26" s="15" t="n">
        <v>0.00247753769874887</v>
      </c>
    </row>
    <row r="27" customFormat="false" ht="15" hidden="false" customHeight="false" outlineLevel="0" collapsed="false">
      <c r="A27" s="0" t="s">
        <v>51</v>
      </c>
      <c r="B27" s="0" t="s">
        <v>232</v>
      </c>
      <c r="C27" s="15" t="n">
        <v>0.0435338767065874</v>
      </c>
    </row>
    <row r="28" customFormat="false" ht="15" hidden="false" customHeight="false" outlineLevel="0" collapsed="false">
      <c r="A28" s="0" t="s">
        <v>51</v>
      </c>
      <c r="B28" s="0" t="s">
        <v>233</v>
      </c>
      <c r="C28" s="15" t="n">
        <v>0.0378709333951614</v>
      </c>
    </row>
    <row r="29" customFormat="false" ht="15" hidden="false" customHeight="false" outlineLevel="0" collapsed="false">
      <c r="A29" s="0" t="s">
        <v>51</v>
      </c>
      <c r="B29" s="0" t="s">
        <v>234</v>
      </c>
      <c r="C29" s="15" t="n">
        <v>0.0134494903646368</v>
      </c>
    </row>
    <row r="30" customFormat="false" ht="15" hidden="false" customHeight="false" outlineLevel="0" collapsed="false">
      <c r="A30" s="0" t="s">
        <v>51</v>
      </c>
      <c r="B30" s="0" t="s">
        <v>235</v>
      </c>
      <c r="C30" s="15" t="n">
        <v>0.00353933956964125</v>
      </c>
    </row>
    <row r="31" customFormat="false" ht="15" hidden="false" customHeight="false" outlineLevel="0" collapsed="false">
      <c r="A31" s="0" t="s">
        <v>51</v>
      </c>
      <c r="B31" s="0" t="s">
        <v>236</v>
      </c>
      <c r="C31" s="15" t="n">
        <v>0.00247753769874887</v>
      </c>
    </row>
    <row r="32" customFormat="false" ht="15" hidden="false" customHeight="false" outlineLevel="0" collapsed="false">
      <c r="A32" s="0" t="s">
        <v>52</v>
      </c>
      <c r="B32" s="0" t="s">
        <v>232</v>
      </c>
      <c r="C32" s="15" t="n">
        <v>0.0435338767065874</v>
      </c>
    </row>
    <row r="33" customFormat="false" ht="15" hidden="false" customHeight="false" outlineLevel="0" collapsed="false">
      <c r="A33" s="0" t="s">
        <v>52</v>
      </c>
      <c r="B33" s="0" t="s">
        <v>233</v>
      </c>
      <c r="C33" s="15" t="n">
        <v>0.0378709333951614</v>
      </c>
    </row>
    <row r="34" customFormat="false" ht="15" hidden="false" customHeight="false" outlineLevel="0" collapsed="false">
      <c r="A34" s="0" t="s">
        <v>52</v>
      </c>
      <c r="B34" s="0" t="s">
        <v>234</v>
      </c>
      <c r="C34" s="15" t="n">
        <v>0.0134494903646368</v>
      </c>
    </row>
    <row r="35" customFormat="false" ht="15" hidden="false" customHeight="false" outlineLevel="0" collapsed="false">
      <c r="A35" s="0" t="s">
        <v>52</v>
      </c>
      <c r="B35" s="0" t="s">
        <v>235</v>
      </c>
      <c r="C35" s="15" t="n">
        <v>0.00353933956964125</v>
      </c>
    </row>
    <row r="36" customFormat="false" ht="15" hidden="false" customHeight="false" outlineLevel="0" collapsed="false">
      <c r="A36" s="0" t="s">
        <v>52</v>
      </c>
      <c r="B36" s="0" t="s">
        <v>236</v>
      </c>
      <c r="C36" s="15" t="n">
        <v>0.00247753769874887</v>
      </c>
    </row>
    <row r="37" customFormat="false" ht="15" hidden="false" customHeight="false" outlineLevel="0" collapsed="false">
      <c r="A37" s="0" t="s">
        <v>54</v>
      </c>
      <c r="B37" s="0" t="s">
        <v>232</v>
      </c>
      <c r="C37" s="15" t="n">
        <v>0.0435338767065874</v>
      </c>
    </row>
    <row r="38" customFormat="false" ht="15" hidden="false" customHeight="false" outlineLevel="0" collapsed="false">
      <c r="A38" s="0" t="s">
        <v>54</v>
      </c>
      <c r="B38" s="0" t="s">
        <v>233</v>
      </c>
      <c r="C38" s="15" t="n">
        <v>0.0378709333951614</v>
      </c>
    </row>
    <row r="39" customFormat="false" ht="15" hidden="false" customHeight="false" outlineLevel="0" collapsed="false">
      <c r="A39" s="0" t="s">
        <v>54</v>
      </c>
      <c r="B39" s="0" t="s">
        <v>234</v>
      </c>
      <c r="C39" s="15" t="n">
        <v>0.0134494903646368</v>
      </c>
    </row>
    <row r="40" customFormat="false" ht="15" hidden="false" customHeight="false" outlineLevel="0" collapsed="false">
      <c r="A40" s="0" t="s">
        <v>54</v>
      </c>
      <c r="B40" s="0" t="s">
        <v>235</v>
      </c>
      <c r="C40" s="15" t="n">
        <v>0.00353933956964125</v>
      </c>
    </row>
    <row r="41" customFormat="false" ht="15" hidden="false" customHeight="false" outlineLevel="0" collapsed="false">
      <c r="A41" s="0" t="s">
        <v>54</v>
      </c>
      <c r="B41" s="0" t="s">
        <v>236</v>
      </c>
      <c r="C41" s="15" t="n">
        <v>0.00247753769874887</v>
      </c>
    </row>
    <row r="42" customFormat="false" ht="15" hidden="false" customHeight="false" outlineLevel="0" collapsed="false">
      <c r="A42" s="0" t="s">
        <v>55</v>
      </c>
      <c r="B42" s="0" t="s">
        <v>232</v>
      </c>
      <c r="C42" s="15" t="n">
        <v>0.0435338767065874</v>
      </c>
    </row>
    <row r="43" customFormat="false" ht="15" hidden="false" customHeight="false" outlineLevel="0" collapsed="false">
      <c r="A43" s="0" t="s">
        <v>55</v>
      </c>
      <c r="B43" s="0" t="s">
        <v>233</v>
      </c>
      <c r="C43" s="15" t="n">
        <v>0.0378709333951614</v>
      </c>
    </row>
    <row r="44" customFormat="false" ht="15" hidden="false" customHeight="false" outlineLevel="0" collapsed="false">
      <c r="A44" s="0" t="s">
        <v>55</v>
      </c>
      <c r="B44" s="0" t="s">
        <v>234</v>
      </c>
      <c r="C44" s="15" t="n">
        <v>0.0134494903646368</v>
      </c>
    </row>
    <row r="45" customFormat="false" ht="15" hidden="false" customHeight="false" outlineLevel="0" collapsed="false">
      <c r="A45" s="0" t="s">
        <v>55</v>
      </c>
      <c r="B45" s="0" t="s">
        <v>235</v>
      </c>
      <c r="C45" s="15" t="n">
        <v>0.00353933956964125</v>
      </c>
    </row>
    <row r="46" customFormat="false" ht="15" hidden="false" customHeight="false" outlineLevel="0" collapsed="false">
      <c r="A46" s="0" t="s">
        <v>55</v>
      </c>
      <c r="B46" s="0" t="s">
        <v>236</v>
      </c>
      <c r="C46" s="15" t="n">
        <v>0.00247753769874887</v>
      </c>
    </row>
    <row r="47" customFormat="false" ht="15" hidden="false" customHeight="false" outlineLevel="0" collapsed="false">
      <c r="A47" s="0" t="s">
        <v>56</v>
      </c>
      <c r="B47" s="0" t="s">
        <v>232</v>
      </c>
      <c r="C47" s="15" t="n">
        <v>0.0435338767065874</v>
      </c>
    </row>
    <row r="48" customFormat="false" ht="15" hidden="false" customHeight="false" outlineLevel="0" collapsed="false">
      <c r="A48" s="0" t="s">
        <v>56</v>
      </c>
      <c r="B48" s="0" t="s">
        <v>233</v>
      </c>
      <c r="C48" s="15" t="n">
        <v>0.0378709333951614</v>
      </c>
    </row>
    <row r="49" customFormat="false" ht="15" hidden="false" customHeight="false" outlineLevel="0" collapsed="false">
      <c r="A49" s="0" t="s">
        <v>56</v>
      </c>
      <c r="B49" s="0" t="s">
        <v>234</v>
      </c>
      <c r="C49" s="15" t="n">
        <v>0.0134494903646368</v>
      </c>
    </row>
    <row r="50" customFormat="false" ht="15" hidden="false" customHeight="false" outlineLevel="0" collapsed="false">
      <c r="A50" s="0" t="s">
        <v>56</v>
      </c>
      <c r="B50" s="0" t="s">
        <v>235</v>
      </c>
      <c r="C50" s="15" t="n">
        <v>0.00353933956964125</v>
      </c>
    </row>
    <row r="51" customFormat="false" ht="15" hidden="false" customHeight="false" outlineLevel="0" collapsed="false">
      <c r="A51" s="0" t="s">
        <v>56</v>
      </c>
      <c r="B51" s="0" t="s">
        <v>236</v>
      </c>
      <c r="C51" s="15" t="n">
        <v>0.00247753769874887</v>
      </c>
    </row>
    <row r="52" customFormat="false" ht="15" hidden="false" customHeight="false" outlineLevel="0" collapsed="false">
      <c r="A52" s="0" t="s">
        <v>57</v>
      </c>
      <c r="B52" s="0" t="s">
        <v>232</v>
      </c>
      <c r="C52" s="15" t="n">
        <v>0.0435338767065874</v>
      </c>
    </row>
    <row r="53" customFormat="false" ht="15" hidden="false" customHeight="false" outlineLevel="0" collapsed="false">
      <c r="A53" s="0" t="s">
        <v>57</v>
      </c>
      <c r="B53" s="0" t="s">
        <v>233</v>
      </c>
      <c r="C53" s="15" t="n">
        <v>0.0378709333951614</v>
      </c>
    </row>
    <row r="54" customFormat="false" ht="15" hidden="false" customHeight="false" outlineLevel="0" collapsed="false">
      <c r="A54" s="0" t="s">
        <v>57</v>
      </c>
      <c r="B54" s="0" t="s">
        <v>234</v>
      </c>
      <c r="C54" s="15" t="n">
        <v>0.0134494903646368</v>
      </c>
    </row>
    <row r="55" customFormat="false" ht="15" hidden="false" customHeight="false" outlineLevel="0" collapsed="false">
      <c r="A55" s="0" t="s">
        <v>57</v>
      </c>
      <c r="B55" s="0" t="s">
        <v>235</v>
      </c>
      <c r="C55" s="15" t="n">
        <v>0.00353933956964125</v>
      </c>
    </row>
    <row r="56" customFormat="false" ht="15" hidden="false" customHeight="false" outlineLevel="0" collapsed="false">
      <c r="A56" s="0" t="s">
        <v>57</v>
      </c>
      <c r="B56" s="0" t="s">
        <v>236</v>
      </c>
      <c r="C56" s="15" t="n">
        <v>0.00247753769874887</v>
      </c>
    </row>
    <row r="57" customFormat="false" ht="15" hidden="false" customHeight="false" outlineLevel="0" collapsed="false">
      <c r="A57" s="0" t="s">
        <v>58</v>
      </c>
      <c r="B57" s="0" t="s">
        <v>232</v>
      </c>
      <c r="C57" s="15" t="n">
        <v>0.0435338767065874</v>
      </c>
    </row>
    <row r="58" customFormat="false" ht="15" hidden="false" customHeight="false" outlineLevel="0" collapsed="false">
      <c r="A58" s="0" t="s">
        <v>58</v>
      </c>
      <c r="B58" s="0" t="s">
        <v>233</v>
      </c>
      <c r="C58" s="15" t="n">
        <v>0.0378709333951614</v>
      </c>
    </row>
    <row r="59" customFormat="false" ht="15" hidden="false" customHeight="false" outlineLevel="0" collapsed="false">
      <c r="A59" s="0" t="s">
        <v>58</v>
      </c>
      <c r="B59" s="0" t="s">
        <v>234</v>
      </c>
      <c r="C59" s="15" t="n">
        <v>0.0134494903646368</v>
      </c>
    </row>
    <row r="60" customFormat="false" ht="15" hidden="false" customHeight="false" outlineLevel="0" collapsed="false">
      <c r="A60" s="0" t="s">
        <v>58</v>
      </c>
      <c r="B60" s="0" t="s">
        <v>235</v>
      </c>
      <c r="C60" s="15" t="n">
        <v>0.00353933956964125</v>
      </c>
    </row>
    <row r="61" customFormat="false" ht="15" hidden="false" customHeight="false" outlineLevel="0" collapsed="false">
      <c r="A61" s="0" t="s">
        <v>58</v>
      </c>
      <c r="B61" s="0" t="s">
        <v>236</v>
      </c>
      <c r="C61" s="15" t="n">
        <v>0.00247753769874887</v>
      </c>
    </row>
    <row r="62" customFormat="false" ht="15" hidden="false" customHeight="false" outlineLevel="0" collapsed="false">
      <c r="A62" s="0" t="s">
        <v>59</v>
      </c>
      <c r="B62" s="0" t="s">
        <v>232</v>
      </c>
      <c r="C62" s="15" t="n">
        <v>0.0435338767065874</v>
      </c>
    </row>
    <row r="63" customFormat="false" ht="15" hidden="false" customHeight="false" outlineLevel="0" collapsed="false">
      <c r="A63" s="0" t="s">
        <v>59</v>
      </c>
      <c r="B63" s="0" t="s">
        <v>233</v>
      </c>
      <c r="C63" s="15" t="n">
        <v>0.0378709333951614</v>
      </c>
    </row>
    <row r="64" customFormat="false" ht="15" hidden="false" customHeight="false" outlineLevel="0" collapsed="false">
      <c r="A64" s="0" t="s">
        <v>59</v>
      </c>
      <c r="B64" s="0" t="s">
        <v>234</v>
      </c>
      <c r="C64" s="15" t="n">
        <v>0.0134494903646368</v>
      </c>
    </row>
    <row r="65" customFormat="false" ht="15" hidden="false" customHeight="false" outlineLevel="0" collapsed="false">
      <c r="A65" s="0" t="s">
        <v>59</v>
      </c>
      <c r="B65" s="0" t="s">
        <v>235</v>
      </c>
      <c r="C65" s="15" t="n">
        <v>0.00353933956964125</v>
      </c>
    </row>
    <row r="66" customFormat="false" ht="15" hidden="false" customHeight="false" outlineLevel="0" collapsed="false">
      <c r="A66" s="0" t="s">
        <v>59</v>
      </c>
      <c r="B66" s="0" t="s">
        <v>236</v>
      </c>
      <c r="C66" s="15" t="n">
        <v>0.00247753769874887</v>
      </c>
    </row>
    <row r="67" customFormat="false" ht="15" hidden="false" customHeight="false" outlineLevel="0" collapsed="false">
      <c r="A67" s="0" t="s">
        <v>60</v>
      </c>
      <c r="B67" s="0" t="s">
        <v>232</v>
      </c>
      <c r="C67" s="15" t="n">
        <v>0.0435338767065874</v>
      </c>
    </row>
    <row r="68" customFormat="false" ht="15" hidden="false" customHeight="false" outlineLevel="0" collapsed="false">
      <c r="A68" s="0" t="s">
        <v>60</v>
      </c>
      <c r="B68" s="0" t="s">
        <v>233</v>
      </c>
      <c r="C68" s="15" t="n">
        <v>0.0378709333951614</v>
      </c>
    </row>
    <row r="69" customFormat="false" ht="15" hidden="false" customHeight="false" outlineLevel="0" collapsed="false">
      <c r="A69" s="0" t="s">
        <v>60</v>
      </c>
      <c r="B69" s="0" t="s">
        <v>234</v>
      </c>
      <c r="C69" s="15" t="n">
        <v>0.0134494903646368</v>
      </c>
    </row>
    <row r="70" customFormat="false" ht="15" hidden="false" customHeight="false" outlineLevel="0" collapsed="false">
      <c r="A70" s="0" t="s">
        <v>60</v>
      </c>
      <c r="B70" s="0" t="s">
        <v>235</v>
      </c>
      <c r="C70" s="15" t="n">
        <v>0.00353933956964125</v>
      </c>
    </row>
    <row r="71" customFormat="false" ht="15" hidden="false" customHeight="false" outlineLevel="0" collapsed="false">
      <c r="A71" s="0" t="s">
        <v>60</v>
      </c>
      <c r="B71" s="0" t="s">
        <v>236</v>
      </c>
      <c r="C71" s="15" t="n">
        <v>0.00247753769874887</v>
      </c>
    </row>
    <row r="72" customFormat="false" ht="15" hidden="false" customHeight="false" outlineLevel="0" collapsed="false">
      <c r="A72" s="0" t="s">
        <v>61</v>
      </c>
      <c r="B72" s="0" t="s">
        <v>232</v>
      </c>
      <c r="C72" s="15" t="n">
        <v>0.0435338767065874</v>
      </c>
    </row>
    <row r="73" customFormat="false" ht="15" hidden="false" customHeight="false" outlineLevel="0" collapsed="false">
      <c r="A73" s="0" t="s">
        <v>61</v>
      </c>
      <c r="B73" s="0" t="s">
        <v>233</v>
      </c>
      <c r="C73" s="15" t="n">
        <v>0.0378709333951614</v>
      </c>
    </row>
    <row r="74" customFormat="false" ht="15" hidden="false" customHeight="false" outlineLevel="0" collapsed="false">
      <c r="A74" s="0" t="s">
        <v>61</v>
      </c>
      <c r="B74" s="0" t="s">
        <v>234</v>
      </c>
      <c r="C74" s="15" t="n">
        <v>0.0134494903646368</v>
      </c>
    </row>
    <row r="75" customFormat="false" ht="15" hidden="false" customHeight="false" outlineLevel="0" collapsed="false">
      <c r="A75" s="0" t="s">
        <v>61</v>
      </c>
      <c r="B75" s="0" t="s">
        <v>235</v>
      </c>
      <c r="C75" s="15" t="n">
        <v>0.00353933956964125</v>
      </c>
    </row>
    <row r="76" customFormat="false" ht="15" hidden="false" customHeight="false" outlineLevel="0" collapsed="false">
      <c r="A76" s="0" t="s">
        <v>61</v>
      </c>
      <c r="B76" s="0" t="s">
        <v>236</v>
      </c>
      <c r="C76" s="15" t="n">
        <v>0.00247753769874887</v>
      </c>
    </row>
    <row r="77" customFormat="false" ht="15" hidden="false" customHeight="false" outlineLevel="0" collapsed="false">
      <c r="A77" s="0" t="s">
        <v>62</v>
      </c>
      <c r="B77" s="0" t="s">
        <v>232</v>
      </c>
      <c r="C77" s="15" t="n">
        <v>0.0435338767065874</v>
      </c>
    </row>
    <row r="78" customFormat="false" ht="15" hidden="false" customHeight="false" outlineLevel="0" collapsed="false">
      <c r="A78" s="0" t="s">
        <v>62</v>
      </c>
      <c r="B78" s="0" t="s">
        <v>233</v>
      </c>
      <c r="C78" s="15" t="n">
        <v>0.0378709333951614</v>
      </c>
    </row>
    <row r="79" customFormat="false" ht="15" hidden="false" customHeight="false" outlineLevel="0" collapsed="false">
      <c r="A79" s="0" t="s">
        <v>62</v>
      </c>
      <c r="B79" s="0" t="s">
        <v>234</v>
      </c>
      <c r="C79" s="15" t="n">
        <v>0.0134494903646368</v>
      </c>
    </row>
    <row r="80" customFormat="false" ht="15" hidden="false" customHeight="false" outlineLevel="0" collapsed="false">
      <c r="A80" s="0" t="s">
        <v>62</v>
      </c>
      <c r="B80" s="0" t="s">
        <v>235</v>
      </c>
      <c r="C80" s="15" t="n">
        <v>0.00353933956964125</v>
      </c>
    </row>
    <row r="81" customFormat="false" ht="15" hidden="false" customHeight="false" outlineLevel="0" collapsed="false">
      <c r="A81" s="0" t="s">
        <v>62</v>
      </c>
      <c r="B81" s="0" t="s">
        <v>236</v>
      </c>
      <c r="C81" s="15" t="n">
        <v>0.00247753769874887</v>
      </c>
    </row>
    <row r="82" customFormat="false" ht="15" hidden="false" customHeight="false" outlineLevel="0" collapsed="false">
      <c r="A82" s="0" t="s">
        <v>63</v>
      </c>
      <c r="B82" s="0" t="s">
        <v>232</v>
      </c>
      <c r="C82" s="15" t="n">
        <v>0.0435338767065874</v>
      </c>
    </row>
    <row r="83" customFormat="false" ht="15" hidden="false" customHeight="false" outlineLevel="0" collapsed="false">
      <c r="A83" s="0" t="s">
        <v>63</v>
      </c>
      <c r="B83" s="0" t="s">
        <v>233</v>
      </c>
      <c r="C83" s="15" t="n">
        <v>0.0378709333951614</v>
      </c>
    </row>
    <row r="84" customFormat="false" ht="15" hidden="false" customHeight="false" outlineLevel="0" collapsed="false">
      <c r="A84" s="0" t="s">
        <v>63</v>
      </c>
      <c r="B84" s="0" t="s">
        <v>234</v>
      </c>
      <c r="C84" s="15" t="n">
        <v>0.0134494903646368</v>
      </c>
    </row>
    <row r="85" customFormat="false" ht="15" hidden="false" customHeight="false" outlineLevel="0" collapsed="false">
      <c r="A85" s="0" t="s">
        <v>63</v>
      </c>
      <c r="B85" s="0" t="s">
        <v>235</v>
      </c>
      <c r="C85" s="15" t="n">
        <v>0.00353933956964125</v>
      </c>
    </row>
    <row r="86" customFormat="false" ht="15" hidden="false" customHeight="false" outlineLevel="0" collapsed="false">
      <c r="A86" s="0" t="s">
        <v>63</v>
      </c>
      <c r="B86" s="0" t="s">
        <v>236</v>
      </c>
      <c r="C86" s="15" t="n">
        <v>0.00247753769874887</v>
      </c>
    </row>
    <row r="87" customFormat="false" ht="15" hidden="false" customHeight="false" outlineLevel="0" collapsed="false">
      <c r="A87" s="0" t="s">
        <v>64</v>
      </c>
      <c r="B87" s="0" t="s">
        <v>232</v>
      </c>
      <c r="C87" s="15" t="n">
        <v>0.0435338767065874</v>
      </c>
    </row>
    <row r="88" customFormat="false" ht="15" hidden="false" customHeight="false" outlineLevel="0" collapsed="false">
      <c r="A88" s="0" t="s">
        <v>64</v>
      </c>
      <c r="B88" s="0" t="s">
        <v>233</v>
      </c>
      <c r="C88" s="15" t="n">
        <v>0.0378709333951614</v>
      </c>
    </row>
    <row r="89" customFormat="false" ht="15" hidden="false" customHeight="false" outlineLevel="0" collapsed="false">
      <c r="A89" s="0" t="s">
        <v>64</v>
      </c>
      <c r="B89" s="0" t="s">
        <v>234</v>
      </c>
      <c r="C89" s="15" t="n">
        <v>0.0134494903646368</v>
      </c>
    </row>
    <row r="90" customFormat="false" ht="15" hidden="false" customHeight="false" outlineLevel="0" collapsed="false">
      <c r="A90" s="0" t="s">
        <v>64</v>
      </c>
      <c r="B90" s="0" t="s">
        <v>235</v>
      </c>
      <c r="C90" s="15" t="n">
        <v>0.00353933956964125</v>
      </c>
    </row>
    <row r="91" customFormat="false" ht="15" hidden="false" customHeight="false" outlineLevel="0" collapsed="false">
      <c r="A91" s="0" t="s">
        <v>64</v>
      </c>
      <c r="B91" s="0" t="s">
        <v>236</v>
      </c>
      <c r="C91" s="15" t="n">
        <v>0.00247753769874887</v>
      </c>
    </row>
    <row r="92" customFormat="false" ht="15" hidden="false" customHeight="false" outlineLevel="0" collapsed="false">
      <c r="A92" s="0" t="s">
        <v>65</v>
      </c>
      <c r="B92" s="0" t="s">
        <v>232</v>
      </c>
      <c r="C92" s="15" t="n">
        <v>0.0435338767065874</v>
      </c>
    </row>
    <row r="93" customFormat="false" ht="15" hidden="false" customHeight="false" outlineLevel="0" collapsed="false">
      <c r="A93" s="0" t="s">
        <v>65</v>
      </c>
      <c r="B93" s="0" t="s">
        <v>233</v>
      </c>
      <c r="C93" s="15" t="n">
        <v>0.0378709333951614</v>
      </c>
    </row>
    <row r="94" customFormat="false" ht="15" hidden="false" customHeight="false" outlineLevel="0" collapsed="false">
      <c r="A94" s="0" t="s">
        <v>65</v>
      </c>
      <c r="B94" s="0" t="s">
        <v>234</v>
      </c>
      <c r="C94" s="15" t="n">
        <v>0.0134494903646368</v>
      </c>
    </row>
    <row r="95" customFormat="false" ht="15" hidden="false" customHeight="false" outlineLevel="0" collapsed="false">
      <c r="A95" s="0" t="s">
        <v>65</v>
      </c>
      <c r="B95" s="0" t="s">
        <v>235</v>
      </c>
      <c r="C95" s="15" t="n">
        <v>0.00353933956964125</v>
      </c>
    </row>
    <row r="96" customFormat="false" ht="15" hidden="false" customHeight="false" outlineLevel="0" collapsed="false">
      <c r="A96" s="0" t="s">
        <v>65</v>
      </c>
      <c r="B96" s="0" t="s">
        <v>236</v>
      </c>
      <c r="C96" s="15" t="n">
        <v>0.00247753769874887</v>
      </c>
    </row>
    <row r="97" customFormat="false" ht="15" hidden="false" customHeight="false" outlineLevel="0" collapsed="false">
      <c r="A97" s="0" t="s">
        <v>66</v>
      </c>
      <c r="B97" s="0" t="s">
        <v>232</v>
      </c>
      <c r="C97" s="15" t="n">
        <v>0.0435338767065874</v>
      </c>
    </row>
    <row r="98" customFormat="false" ht="15" hidden="false" customHeight="false" outlineLevel="0" collapsed="false">
      <c r="A98" s="0" t="s">
        <v>66</v>
      </c>
      <c r="B98" s="0" t="s">
        <v>233</v>
      </c>
      <c r="C98" s="15" t="n">
        <v>0.0378709333951614</v>
      </c>
    </row>
    <row r="99" customFormat="false" ht="15" hidden="false" customHeight="false" outlineLevel="0" collapsed="false">
      <c r="A99" s="0" t="s">
        <v>66</v>
      </c>
      <c r="B99" s="0" t="s">
        <v>234</v>
      </c>
      <c r="C99" s="15" t="n">
        <v>0.0134494903646368</v>
      </c>
    </row>
    <row r="100" customFormat="false" ht="15" hidden="false" customHeight="false" outlineLevel="0" collapsed="false">
      <c r="A100" s="0" t="s">
        <v>66</v>
      </c>
      <c r="B100" s="0" t="s">
        <v>235</v>
      </c>
      <c r="C100" s="15" t="n">
        <v>0.00353933956964125</v>
      </c>
    </row>
    <row r="101" customFormat="false" ht="15" hidden="false" customHeight="false" outlineLevel="0" collapsed="false">
      <c r="A101" s="0" t="s">
        <v>66</v>
      </c>
      <c r="B101" s="0" t="s">
        <v>236</v>
      </c>
      <c r="C101" s="15" t="n">
        <v>0.00247753769874887</v>
      </c>
    </row>
    <row r="102" customFormat="false" ht="15" hidden="false" customHeight="false" outlineLevel="0" collapsed="false">
      <c r="A102" s="0" t="s">
        <v>67</v>
      </c>
      <c r="B102" s="0" t="s">
        <v>232</v>
      </c>
      <c r="C102" s="15" t="n">
        <v>0.0435338767065874</v>
      </c>
    </row>
    <row r="103" customFormat="false" ht="15" hidden="false" customHeight="false" outlineLevel="0" collapsed="false">
      <c r="A103" s="0" t="s">
        <v>67</v>
      </c>
      <c r="B103" s="0" t="s">
        <v>233</v>
      </c>
      <c r="C103" s="15" t="n">
        <v>0.0378709333951614</v>
      </c>
    </row>
    <row r="104" customFormat="false" ht="15" hidden="false" customHeight="false" outlineLevel="0" collapsed="false">
      <c r="A104" s="0" t="s">
        <v>67</v>
      </c>
      <c r="B104" s="0" t="s">
        <v>234</v>
      </c>
      <c r="C104" s="15" t="n">
        <v>0.0134494903646368</v>
      </c>
    </row>
    <row r="105" customFormat="false" ht="15" hidden="false" customHeight="false" outlineLevel="0" collapsed="false">
      <c r="A105" s="0" t="s">
        <v>67</v>
      </c>
      <c r="B105" s="0" t="s">
        <v>235</v>
      </c>
      <c r="C105" s="15" t="n">
        <v>0.00353933956964125</v>
      </c>
    </row>
    <row r="106" customFormat="false" ht="15" hidden="false" customHeight="false" outlineLevel="0" collapsed="false">
      <c r="A106" s="0" t="s">
        <v>67</v>
      </c>
      <c r="B106" s="0" t="s">
        <v>236</v>
      </c>
      <c r="C106" s="15" t="n">
        <v>0.00247753769874887</v>
      </c>
    </row>
    <row r="107" customFormat="false" ht="15" hidden="false" customHeight="false" outlineLevel="0" collapsed="false">
      <c r="A107" s="0" t="s">
        <v>68</v>
      </c>
      <c r="B107" s="0" t="s">
        <v>232</v>
      </c>
      <c r="C107" s="15" t="n">
        <v>0.0435338767065874</v>
      </c>
    </row>
    <row r="108" customFormat="false" ht="15" hidden="false" customHeight="false" outlineLevel="0" collapsed="false">
      <c r="A108" s="0" t="s">
        <v>68</v>
      </c>
      <c r="B108" s="0" t="s">
        <v>233</v>
      </c>
      <c r="C108" s="15" t="n">
        <v>0.0378709333951614</v>
      </c>
    </row>
    <row r="109" customFormat="false" ht="15" hidden="false" customHeight="false" outlineLevel="0" collapsed="false">
      <c r="A109" s="0" t="s">
        <v>68</v>
      </c>
      <c r="B109" s="0" t="s">
        <v>234</v>
      </c>
      <c r="C109" s="15" t="n">
        <v>0.0134494903646368</v>
      </c>
    </row>
    <row r="110" customFormat="false" ht="15" hidden="false" customHeight="false" outlineLevel="0" collapsed="false">
      <c r="A110" s="0" t="s">
        <v>68</v>
      </c>
      <c r="B110" s="0" t="s">
        <v>235</v>
      </c>
      <c r="C110" s="15" t="n">
        <v>0.00353933956964125</v>
      </c>
    </row>
    <row r="111" customFormat="false" ht="15" hidden="false" customHeight="false" outlineLevel="0" collapsed="false">
      <c r="A111" s="0" t="s">
        <v>68</v>
      </c>
      <c r="B111" s="0" t="s">
        <v>236</v>
      </c>
      <c r="C111" s="15" t="n">
        <v>0.00247753769874887</v>
      </c>
    </row>
    <row r="112" customFormat="false" ht="15" hidden="false" customHeight="false" outlineLevel="0" collapsed="false">
      <c r="A112" s="0" t="s">
        <v>69</v>
      </c>
      <c r="B112" s="0" t="s">
        <v>232</v>
      </c>
      <c r="C112" s="15" t="n">
        <v>0.0435338767065874</v>
      </c>
    </row>
    <row r="113" customFormat="false" ht="15" hidden="false" customHeight="false" outlineLevel="0" collapsed="false">
      <c r="A113" s="0" t="s">
        <v>69</v>
      </c>
      <c r="B113" s="0" t="s">
        <v>233</v>
      </c>
      <c r="C113" s="15" t="n">
        <v>0.0378709333951614</v>
      </c>
    </row>
    <row r="114" customFormat="false" ht="15" hidden="false" customHeight="false" outlineLevel="0" collapsed="false">
      <c r="A114" s="0" t="s">
        <v>69</v>
      </c>
      <c r="B114" s="0" t="s">
        <v>234</v>
      </c>
      <c r="C114" s="15" t="n">
        <v>0.0134494903646368</v>
      </c>
    </row>
    <row r="115" customFormat="false" ht="15" hidden="false" customHeight="false" outlineLevel="0" collapsed="false">
      <c r="A115" s="0" t="s">
        <v>69</v>
      </c>
      <c r="B115" s="0" t="s">
        <v>235</v>
      </c>
      <c r="C115" s="15" t="n">
        <v>0.00353933956964125</v>
      </c>
    </row>
    <row r="116" customFormat="false" ht="15" hidden="false" customHeight="false" outlineLevel="0" collapsed="false">
      <c r="A116" s="0" t="s">
        <v>69</v>
      </c>
      <c r="B116" s="0" t="s">
        <v>236</v>
      </c>
      <c r="C116" s="15" t="n">
        <v>0.00247753769874887</v>
      </c>
    </row>
    <row r="117" customFormat="false" ht="15" hidden="false" customHeight="false" outlineLevel="0" collapsed="false">
      <c r="A117" s="0" t="s">
        <v>70</v>
      </c>
      <c r="B117" s="0" t="s">
        <v>232</v>
      </c>
      <c r="C117" s="15" t="n">
        <v>0.0435338767065874</v>
      </c>
    </row>
    <row r="118" customFormat="false" ht="15" hidden="false" customHeight="false" outlineLevel="0" collapsed="false">
      <c r="A118" s="0" t="s">
        <v>70</v>
      </c>
      <c r="B118" s="0" t="s">
        <v>233</v>
      </c>
      <c r="C118" s="15" t="n">
        <v>0.0378709333951614</v>
      </c>
    </row>
    <row r="119" customFormat="false" ht="15" hidden="false" customHeight="false" outlineLevel="0" collapsed="false">
      <c r="A119" s="0" t="s">
        <v>70</v>
      </c>
      <c r="B119" s="0" t="s">
        <v>234</v>
      </c>
      <c r="C119" s="15" t="n">
        <v>0.0134494903646368</v>
      </c>
    </row>
    <row r="120" customFormat="false" ht="15" hidden="false" customHeight="false" outlineLevel="0" collapsed="false">
      <c r="A120" s="0" t="s">
        <v>70</v>
      </c>
      <c r="B120" s="0" t="s">
        <v>235</v>
      </c>
      <c r="C120" s="15" t="n">
        <v>0.00353933956964125</v>
      </c>
    </row>
    <row r="121" customFormat="false" ht="15" hidden="false" customHeight="false" outlineLevel="0" collapsed="false">
      <c r="A121" s="0" t="s">
        <v>70</v>
      </c>
      <c r="B121" s="0" t="s">
        <v>236</v>
      </c>
      <c r="C121" s="15" t="n">
        <v>0.00247753769874887</v>
      </c>
    </row>
    <row r="122" customFormat="false" ht="15" hidden="false" customHeight="false" outlineLevel="0" collapsed="false">
      <c r="A122" s="0" t="s">
        <v>71</v>
      </c>
      <c r="B122" s="0" t="s">
        <v>232</v>
      </c>
      <c r="C122" s="15" t="n">
        <v>0.0435338767065874</v>
      </c>
    </row>
    <row r="123" customFormat="false" ht="15" hidden="false" customHeight="false" outlineLevel="0" collapsed="false">
      <c r="A123" s="0" t="s">
        <v>71</v>
      </c>
      <c r="B123" s="0" t="s">
        <v>233</v>
      </c>
      <c r="C123" s="15" t="n">
        <v>0.0378709333951614</v>
      </c>
    </row>
    <row r="124" customFormat="false" ht="15" hidden="false" customHeight="false" outlineLevel="0" collapsed="false">
      <c r="A124" s="0" t="s">
        <v>71</v>
      </c>
      <c r="B124" s="0" t="s">
        <v>234</v>
      </c>
      <c r="C124" s="15" t="n">
        <v>0.0134494903646368</v>
      </c>
    </row>
    <row r="125" customFormat="false" ht="15" hidden="false" customHeight="false" outlineLevel="0" collapsed="false">
      <c r="A125" s="0" t="s">
        <v>71</v>
      </c>
      <c r="B125" s="0" t="s">
        <v>235</v>
      </c>
      <c r="C125" s="15" t="n">
        <v>0.00353933956964125</v>
      </c>
    </row>
    <row r="126" customFormat="false" ht="15" hidden="false" customHeight="false" outlineLevel="0" collapsed="false">
      <c r="A126" s="0" t="s">
        <v>71</v>
      </c>
      <c r="B126" s="0" t="s">
        <v>236</v>
      </c>
      <c r="C126" s="15" t="n">
        <v>0.00247753769874887</v>
      </c>
    </row>
    <row r="127" customFormat="false" ht="15" hidden="false" customHeight="false" outlineLevel="0" collapsed="false">
      <c r="A127" s="0" t="s">
        <v>72</v>
      </c>
      <c r="B127" s="0" t="s">
        <v>232</v>
      </c>
      <c r="C127" s="15" t="n">
        <v>0.0435338767065874</v>
      </c>
    </row>
    <row r="128" customFormat="false" ht="15" hidden="false" customHeight="false" outlineLevel="0" collapsed="false">
      <c r="A128" s="0" t="s">
        <v>72</v>
      </c>
      <c r="B128" s="0" t="s">
        <v>233</v>
      </c>
      <c r="C128" s="15" t="n">
        <v>0.0378709333951614</v>
      </c>
    </row>
    <row r="129" customFormat="false" ht="15" hidden="false" customHeight="false" outlineLevel="0" collapsed="false">
      <c r="A129" s="0" t="s">
        <v>72</v>
      </c>
      <c r="B129" s="0" t="s">
        <v>234</v>
      </c>
      <c r="C129" s="15" t="n">
        <v>0.0134494903646368</v>
      </c>
    </row>
    <row r="130" customFormat="false" ht="15" hidden="false" customHeight="false" outlineLevel="0" collapsed="false">
      <c r="A130" s="0" t="s">
        <v>72</v>
      </c>
      <c r="B130" s="0" t="s">
        <v>235</v>
      </c>
      <c r="C130" s="15" t="n">
        <v>0.00353933956964125</v>
      </c>
    </row>
    <row r="131" customFormat="false" ht="15" hidden="false" customHeight="false" outlineLevel="0" collapsed="false">
      <c r="A131" s="0" t="s">
        <v>72</v>
      </c>
      <c r="B131" s="0" t="s">
        <v>236</v>
      </c>
      <c r="C131" s="15" t="n">
        <v>0.00247753769874887</v>
      </c>
    </row>
    <row r="132" customFormat="false" ht="15" hidden="false" customHeight="false" outlineLevel="0" collapsed="false">
      <c r="A132" s="0" t="s">
        <v>73</v>
      </c>
      <c r="B132" s="0" t="s">
        <v>232</v>
      </c>
      <c r="C132" s="15" t="n">
        <v>0.0435338767065874</v>
      </c>
    </row>
    <row r="133" customFormat="false" ht="15" hidden="false" customHeight="false" outlineLevel="0" collapsed="false">
      <c r="A133" s="0" t="s">
        <v>73</v>
      </c>
      <c r="B133" s="0" t="s">
        <v>233</v>
      </c>
      <c r="C133" s="15" t="n">
        <v>0.0378709333951614</v>
      </c>
    </row>
    <row r="134" customFormat="false" ht="15" hidden="false" customHeight="false" outlineLevel="0" collapsed="false">
      <c r="A134" s="0" t="s">
        <v>73</v>
      </c>
      <c r="B134" s="0" t="s">
        <v>234</v>
      </c>
      <c r="C134" s="15" t="n">
        <v>0.0134494903646368</v>
      </c>
    </row>
    <row r="135" customFormat="false" ht="15" hidden="false" customHeight="false" outlineLevel="0" collapsed="false">
      <c r="A135" s="0" t="s">
        <v>73</v>
      </c>
      <c r="B135" s="0" t="s">
        <v>235</v>
      </c>
      <c r="C135" s="15" t="n">
        <v>0.00353933956964125</v>
      </c>
    </row>
    <row r="136" customFormat="false" ht="15" hidden="false" customHeight="false" outlineLevel="0" collapsed="false">
      <c r="A136" s="0" t="s">
        <v>73</v>
      </c>
      <c r="B136" s="0" t="s">
        <v>236</v>
      </c>
      <c r="C136" s="15" t="n">
        <v>0.00247753769874887</v>
      </c>
    </row>
    <row r="137" customFormat="false" ht="15" hidden="false" customHeight="false" outlineLevel="0" collapsed="false">
      <c r="A137" s="0" t="s">
        <v>74</v>
      </c>
      <c r="B137" s="0" t="s">
        <v>232</v>
      </c>
      <c r="C137" s="15" t="n">
        <v>0.0435338767065874</v>
      </c>
    </row>
    <row r="138" customFormat="false" ht="15" hidden="false" customHeight="false" outlineLevel="0" collapsed="false">
      <c r="A138" s="0" t="s">
        <v>74</v>
      </c>
      <c r="B138" s="0" t="s">
        <v>233</v>
      </c>
      <c r="C138" s="15" t="n">
        <v>0.0378709333951614</v>
      </c>
    </row>
    <row r="139" customFormat="false" ht="15" hidden="false" customHeight="false" outlineLevel="0" collapsed="false">
      <c r="A139" s="0" t="s">
        <v>74</v>
      </c>
      <c r="B139" s="0" t="s">
        <v>234</v>
      </c>
      <c r="C139" s="15" t="n">
        <v>0.0134494903646368</v>
      </c>
    </row>
    <row r="140" customFormat="false" ht="15" hidden="false" customHeight="false" outlineLevel="0" collapsed="false">
      <c r="A140" s="0" t="s">
        <v>74</v>
      </c>
      <c r="B140" s="0" t="s">
        <v>235</v>
      </c>
      <c r="C140" s="15" t="n">
        <v>0.00353933956964125</v>
      </c>
    </row>
    <row r="141" customFormat="false" ht="15" hidden="false" customHeight="false" outlineLevel="0" collapsed="false">
      <c r="A141" s="0" t="s">
        <v>74</v>
      </c>
      <c r="B141" s="0" t="s">
        <v>236</v>
      </c>
      <c r="C141" s="15" t="n">
        <v>0.00247753769874887</v>
      </c>
    </row>
    <row r="142" customFormat="false" ht="15" hidden="false" customHeight="false" outlineLevel="0" collapsed="false">
      <c r="A142" s="0" t="s">
        <v>75</v>
      </c>
      <c r="B142" s="0" t="s">
        <v>232</v>
      </c>
      <c r="C142" s="15" t="n">
        <v>0.0435338767065874</v>
      </c>
    </row>
    <row r="143" customFormat="false" ht="15" hidden="false" customHeight="false" outlineLevel="0" collapsed="false">
      <c r="A143" s="0" t="s">
        <v>75</v>
      </c>
      <c r="B143" s="0" t="s">
        <v>233</v>
      </c>
      <c r="C143" s="15" t="n">
        <v>0.0378709333951614</v>
      </c>
    </row>
    <row r="144" customFormat="false" ht="15" hidden="false" customHeight="false" outlineLevel="0" collapsed="false">
      <c r="A144" s="0" t="s">
        <v>75</v>
      </c>
      <c r="B144" s="0" t="s">
        <v>234</v>
      </c>
      <c r="C144" s="15" t="n">
        <v>0.0134494903646368</v>
      </c>
    </row>
    <row r="145" customFormat="false" ht="15" hidden="false" customHeight="false" outlineLevel="0" collapsed="false">
      <c r="A145" s="0" t="s">
        <v>75</v>
      </c>
      <c r="B145" s="0" t="s">
        <v>235</v>
      </c>
      <c r="C145" s="15" t="n">
        <v>0.00353933956964125</v>
      </c>
    </row>
    <row r="146" customFormat="false" ht="15" hidden="false" customHeight="false" outlineLevel="0" collapsed="false">
      <c r="A146" s="0" t="s">
        <v>75</v>
      </c>
      <c r="B146" s="0" t="s">
        <v>236</v>
      </c>
      <c r="C146" s="15" t="n">
        <v>0.00247753769874887</v>
      </c>
    </row>
    <row r="147" customFormat="false" ht="15" hidden="false" customHeight="false" outlineLevel="0" collapsed="false">
      <c r="A147" s="0" t="s">
        <v>76</v>
      </c>
      <c r="B147" s="0" t="s">
        <v>232</v>
      </c>
      <c r="C147" s="15" t="n">
        <v>0.0435338767065874</v>
      </c>
    </row>
    <row r="148" customFormat="false" ht="15" hidden="false" customHeight="false" outlineLevel="0" collapsed="false">
      <c r="A148" s="0" t="s">
        <v>76</v>
      </c>
      <c r="B148" s="0" t="s">
        <v>233</v>
      </c>
      <c r="C148" s="15" t="n">
        <v>0.0378709333951614</v>
      </c>
    </row>
    <row r="149" customFormat="false" ht="15" hidden="false" customHeight="false" outlineLevel="0" collapsed="false">
      <c r="A149" s="0" t="s">
        <v>76</v>
      </c>
      <c r="B149" s="0" t="s">
        <v>234</v>
      </c>
      <c r="C149" s="15" t="n">
        <v>0.0134494903646368</v>
      </c>
    </row>
    <row r="150" customFormat="false" ht="15" hidden="false" customHeight="false" outlineLevel="0" collapsed="false">
      <c r="A150" s="0" t="s">
        <v>76</v>
      </c>
      <c r="B150" s="0" t="s">
        <v>235</v>
      </c>
      <c r="C150" s="15" t="n">
        <v>0.00353933956964125</v>
      </c>
    </row>
    <row r="151" customFormat="false" ht="15" hidden="false" customHeight="false" outlineLevel="0" collapsed="false">
      <c r="A151" s="0" t="s">
        <v>76</v>
      </c>
      <c r="B151" s="0" t="s">
        <v>236</v>
      </c>
      <c r="C151" s="15" t="n">
        <v>0.00247753769874887</v>
      </c>
    </row>
    <row r="152" customFormat="false" ht="15" hidden="false" customHeight="false" outlineLevel="0" collapsed="false">
      <c r="A152" s="0" t="s">
        <v>77</v>
      </c>
      <c r="B152" s="0" t="s">
        <v>232</v>
      </c>
      <c r="C152" s="15" t="n">
        <v>0.0435338767065874</v>
      </c>
    </row>
    <row r="153" customFormat="false" ht="15" hidden="false" customHeight="false" outlineLevel="0" collapsed="false">
      <c r="A153" s="0" t="s">
        <v>77</v>
      </c>
      <c r="B153" s="0" t="s">
        <v>233</v>
      </c>
      <c r="C153" s="15" t="n">
        <v>0.0378709333951614</v>
      </c>
    </row>
    <row r="154" customFormat="false" ht="15" hidden="false" customHeight="false" outlineLevel="0" collapsed="false">
      <c r="A154" s="0" t="s">
        <v>77</v>
      </c>
      <c r="B154" s="0" t="s">
        <v>234</v>
      </c>
      <c r="C154" s="15" t="n">
        <v>0.0134494903646368</v>
      </c>
    </row>
    <row r="155" customFormat="false" ht="15" hidden="false" customHeight="false" outlineLevel="0" collapsed="false">
      <c r="A155" s="0" t="s">
        <v>77</v>
      </c>
      <c r="B155" s="0" t="s">
        <v>235</v>
      </c>
      <c r="C155" s="15" t="n">
        <v>0.00353933956964125</v>
      </c>
    </row>
    <row r="156" customFormat="false" ht="15" hidden="false" customHeight="false" outlineLevel="0" collapsed="false">
      <c r="A156" s="0" t="s">
        <v>77</v>
      </c>
      <c r="B156" s="0" t="s">
        <v>236</v>
      </c>
      <c r="C156" s="15" t="n">
        <v>0.00247753769874887</v>
      </c>
    </row>
    <row r="157" customFormat="false" ht="15" hidden="false" customHeight="false" outlineLevel="0" collapsed="false">
      <c r="A157" s="0" t="s">
        <v>78</v>
      </c>
      <c r="B157" s="0" t="s">
        <v>232</v>
      </c>
      <c r="C157" s="15" t="n">
        <v>0.0435338767065874</v>
      </c>
    </row>
    <row r="158" customFormat="false" ht="15" hidden="false" customHeight="false" outlineLevel="0" collapsed="false">
      <c r="A158" s="0" t="s">
        <v>78</v>
      </c>
      <c r="B158" s="0" t="s">
        <v>233</v>
      </c>
      <c r="C158" s="15" t="n">
        <v>0.0378709333951614</v>
      </c>
    </row>
    <row r="159" customFormat="false" ht="15" hidden="false" customHeight="false" outlineLevel="0" collapsed="false">
      <c r="A159" s="0" t="s">
        <v>78</v>
      </c>
      <c r="B159" s="0" t="s">
        <v>234</v>
      </c>
      <c r="C159" s="15" t="n">
        <v>0.0134494903646368</v>
      </c>
    </row>
    <row r="160" customFormat="false" ht="15" hidden="false" customHeight="false" outlineLevel="0" collapsed="false">
      <c r="A160" s="0" t="s">
        <v>78</v>
      </c>
      <c r="B160" s="0" t="s">
        <v>235</v>
      </c>
      <c r="C160" s="15" t="n">
        <v>0.00353933956964125</v>
      </c>
    </row>
    <row r="161" customFormat="false" ht="15" hidden="false" customHeight="false" outlineLevel="0" collapsed="false">
      <c r="A161" s="0" t="s">
        <v>78</v>
      </c>
      <c r="B161" s="0" t="s">
        <v>236</v>
      </c>
      <c r="C161" s="15" t="n">
        <v>0.00247753769874887</v>
      </c>
    </row>
    <row r="162" customFormat="false" ht="15" hidden="false" customHeight="false" outlineLevel="0" collapsed="false">
      <c r="A162" s="0" t="s">
        <v>79</v>
      </c>
      <c r="B162" s="0" t="s">
        <v>232</v>
      </c>
      <c r="C162" s="15" t="n">
        <v>0.0435338767065874</v>
      </c>
    </row>
    <row r="163" customFormat="false" ht="15" hidden="false" customHeight="false" outlineLevel="0" collapsed="false">
      <c r="A163" s="0" t="s">
        <v>79</v>
      </c>
      <c r="B163" s="0" t="s">
        <v>233</v>
      </c>
      <c r="C163" s="15" t="n">
        <v>0.0378709333951614</v>
      </c>
    </row>
    <row r="164" customFormat="false" ht="15" hidden="false" customHeight="false" outlineLevel="0" collapsed="false">
      <c r="A164" s="0" t="s">
        <v>79</v>
      </c>
      <c r="B164" s="0" t="s">
        <v>234</v>
      </c>
      <c r="C164" s="15" t="n">
        <v>0.0134494903646368</v>
      </c>
    </row>
    <row r="165" customFormat="false" ht="15" hidden="false" customHeight="false" outlineLevel="0" collapsed="false">
      <c r="A165" s="0" t="s">
        <v>79</v>
      </c>
      <c r="B165" s="0" t="s">
        <v>235</v>
      </c>
      <c r="C165" s="15" t="n">
        <v>0.00353933956964125</v>
      </c>
    </row>
    <row r="166" customFormat="false" ht="15" hidden="false" customHeight="false" outlineLevel="0" collapsed="false">
      <c r="A166" s="0" t="s">
        <v>79</v>
      </c>
      <c r="B166" s="0" t="s">
        <v>236</v>
      </c>
      <c r="C166" s="15" t="n">
        <v>0.00247753769874887</v>
      </c>
    </row>
    <row r="167" customFormat="false" ht="15" hidden="false" customHeight="false" outlineLevel="0" collapsed="false">
      <c r="A167" s="0" t="s">
        <v>81</v>
      </c>
      <c r="B167" s="0" t="s">
        <v>232</v>
      </c>
      <c r="C167" s="15" t="n">
        <v>0.0435338767065874</v>
      </c>
    </row>
    <row r="168" customFormat="false" ht="15" hidden="false" customHeight="false" outlineLevel="0" collapsed="false">
      <c r="A168" s="0" t="s">
        <v>81</v>
      </c>
      <c r="B168" s="0" t="s">
        <v>233</v>
      </c>
      <c r="C168" s="15" t="n">
        <v>0.0378709333951614</v>
      </c>
    </row>
    <row r="169" customFormat="false" ht="15" hidden="false" customHeight="false" outlineLevel="0" collapsed="false">
      <c r="A169" s="0" t="s">
        <v>81</v>
      </c>
      <c r="B169" s="0" t="s">
        <v>234</v>
      </c>
      <c r="C169" s="15" t="n">
        <v>0.0134494903646368</v>
      </c>
    </row>
    <row r="170" customFormat="false" ht="15" hidden="false" customHeight="false" outlineLevel="0" collapsed="false">
      <c r="A170" s="0" t="s">
        <v>81</v>
      </c>
      <c r="B170" s="0" t="s">
        <v>235</v>
      </c>
      <c r="C170" s="15" t="n">
        <v>0.00353933956964125</v>
      </c>
    </row>
    <row r="171" customFormat="false" ht="15" hidden="false" customHeight="false" outlineLevel="0" collapsed="false">
      <c r="A171" s="0" t="s">
        <v>81</v>
      </c>
      <c r="B171" s="0" t="s">
        <v>236</v>
      </c>
      <c r="C171" s="15" t="n">
        <v>0.00247753769874887</v>
      </c>
    </row>
    <row r="172" customFormat="false" ht="15" hidden="false" customHeight="false" outlineLevel="0" collapsed="false">
      <c r="A172" s="0" t="s">
        <v>82</v>
      </c>
      <c r="B172" s="0" t="s">
        <v>232</v>
      </c>
      <c r="C172" s="15" t="n">
        <v>0.0435338767065874</v>
      </c>
    </row>
    <row r="173" customFormat="false" ht="15" hidden="false" customHeight="false" outlineLevel="0" collapsed="false">
      <c r="A173" s="0" t="s">
        <v>82</v>
      </c>
      <c r="B173" s="0" t="s">
        <v>233</v>
      </c>
      <c r="C173" s="15" t="n">
        <v>0.0378709333951614</v>
      </c>
    </row>
    <row r="174" customFormat="false" ht="15" hidden="false" customHeight="false" outlineLevel="0" collapsed="false">
      <c r="A174" s="0" t="s">
        <v>82</v>
      </c>
      <c r="B174" s="0" t="s">
        <v>234</v>
      </c>
      <c r="C174" s="15" t="n">
        <v>0.0134494903646368</v>
      </c>
    </row>
    <row r="175" customFormat="false" ht="15" hidden="false" customHeight="false" outlineLevel="0" collapsed="false">
      <c r="A175" s="0" t="s">
        <v>82</v>
      </c>
      <c r="B175" s="0" t="s">
        <v>235</v>
      </c>
      <c r="C175" s="15" t="n">
        <v>0.00353933956964125</v>
      </c>
    </row>
    <row r="176" customFormat="false" ht="15" hidden="false" customHeight="false" outlineLevel="0" collapsed="false">
      <c r="A176" s="0" t="s">
        <v>82</v>
      </c>
      <c r="B176" s="0" t="s">
        <v>236</v>
      </c>
      <c r="C176" s="15" t="n">
        <v>0.00247753769874887</v>
      </c>
    </row>
    <row r="177" customFormat="false" ht="15" hidden="false" customHeight="false" outlineLevel="0" collapsed="false">
      <c r="A177" s="0" t="s">
        <v>83</v>
      </c>
      <c r="B177" s="0" t="s">
        <v>232</v>
      </c>
      <c r="C177" s="15" t="n">
        <v>0.0435338767065874</v>
      </c>
    </row>
    <row r="178" customFormat="false" ht="15" hidden="false" customHeight="false" outlineLevel="0" collapsed="false">
      <c r="A178" s="0" t="s">
        <v>83</v>
      </c>
      <c r="B178" s="0" t="s">
        <v>233</v>
      </c>
      <c r="C178" s="15" t="n">
        <v>0.0378709333951614</v>
      </c>
    </row>
    <row r="179" customFormat="false" ht="15" hidden="false" customHeight="false" outlineLevel="0" collapsed="false">
      <c r="A179" s="0" t="s">
        <v>83</v>
      </c>
      <c r="B179" s="0" t="s">
        <v>234</v>
      </c>
      <c r="C179" s="15" t="n">
        <v>0.0134494903646368</v>
      </c>
    </row>
    <row r="180" customFormat="false" ht="15" hidden="false" customHeight="false" outlineLevel="0" collapsed="false">
      <c r="A180" s="0" t="s">
        <v>83</v>
      </c>
      <c r="B180" s="0" t="s">
        <v>235</v>
      </c>
      <c r="C180" s="15" t="n">
        <v>0.00353933956964125</v>
      </c>
    </row>
    <row r="181" customFormat="false" ht="15" hidden="false" customHeight="false" outlineLevel="0" collapsed="false">
      <c r="A181" s="0" t="s">
        <v>83</v>
      </c>
      <c r="B181" s="0" t="s">
        <v>236</v>
      </c>
      <c r="C181" s="15" t="n">
        <v>0.00247753769874887</v>
      </c>
    </row>
    <row r="182" customFormat="false" ht="15" hidden="false" customHeight="false" outlineLevel="0" collapsed="false">
      <c r="A182" s="0" t="s">
        <v>84</v>
      </c>
      <c r="B182" s="0" t="s">
        <v>232</v>
      </c>
      <c r="C182" s="15" t="n">
        <v>0.0435338767065874</v>
      </c>
    </row>
    <row r="183" customFormat="false" ht="15" hidden="false" customHeight="false" outlineLevel="0" collapsed="false">
      <c r="A183" s="0" t="s">
        <v>84</v>
      </c>
      <c r="B183" s="0" t="s">
        <v>233</v>
      </c>
      <c r="C183" s="15" t="n">
        <v>0.0378709333951614</v>
      </c>
    </row>
    <row r="184" customFormat="false" ht="15" hidden="false" customHeight="false" outlineLevel="0" collapsed="false">
      <c r="A184" s="0" t="s">
        <v>84</v>
      </c>
      <c r="B184" s="0" t="s">
        <v>234</v>
      </c>
      <c r="C184" s="15" t="n">
        <v>0.0134494903646368</v>
      </c>
    </row>
    <row r="185" customFormat="false" ht="15" hidden="false" customHeight="false" outlineLevel="0" collapsed="false">
      <c r="A185" s="0" t="s">
        <v>84</v>
      </c>
      <c r="B185" s="0" t="s">
        <v>235</v>
      </c>
      <c r="C185" s="15" t="n">
        <v>0.00353933956964125</v>
      </c>
    </row>
    <row r="186" customFormat="false" ht="15" hidden="false" customHeight="false" outlineLevel="0" collapsed="false">
      <c r="A186" s="0" t="s">
        <v>84</v>
      </c>
      <c r="B186" s="0" t="s">
        <v>236</v>
      </c>
      <c r="C186" s="15" t="n">
        <v>0.00247753769874887</v>
      </c>
    </row>
    <row r="187" customFormat="false" ht="15" hidden="false" customHeight="false" outlineLevel="0" collapsed="false">
      <c r="A187" s="0" t="s">
        <v>85</v>
      </c>
      <c r="B187" s="0" t="s">
        <v>232</v>
      </c>
      <c r="C187" s="15" t="n">
        <v>0.0435338767065874</v>
      </c>
    </row>
    <row r="188" customFormat="false" ht="15" hidden="false" customHeight="false" outlineLevel="0" collapsed="false">
      <c r="A188" s="0" t="s">
        <v>85</v>
      </c>
      <c r="B188" s="0" t="s">
        <v>233</v>
      </c>
      <c r="C188" s="15" t="n">
        <v>0.0378709333951614</v>
      </c>
    </row>
    <row r="189" customFormat="false" ht="15" hidden="false" customHeight="false" outlineLevel="0" collapsed="false">
      <c r="A189" s="0" t="s">
        <v>85</v>
      </c>
      <c r="B189" s="0" t="s">
        <v>234</v>
      </c>
      <c r="C189" s="15" t="n">
        <v>0.0134494903646368</v>
      </c>
    </row>
    <row r="190" customFormat="false" ht="15" hidden="false" customHeight="false" outlineLevel="0" collapsed="false">
      <c r="A190" s="0" t="s">
        <v>85</v>
      </c>
      <c r="B190" s="0" t="s">
        <v>235</v>
      </c>
      <c r="C190" s="15" t="n">
        <v>0.00353933956964125</v>
      </c>
    </row>
    <row r="191" customFormat="false" ht="15" hidden="false" customHeight="false" outlineLevel="0" collapsed="false">
      <c r="A191" s="0" t="s">
        <v>85</v>
      </c>
      <c r="B191" s="0" t="s">
        <v>236</v>
      </c>
      <c r="C191" s="15" t="n">
        <v>0.00247753769874887</v>
      </c>
    </row>
    <row r="192" customFormat="false" ht="15" hidden="false" customHeight="false" outlineLevel="0" collapsed="false">
      <c r="A192" s="0" t="s">
        <v>86</v>
      </c>
      <c r="B192" s="0" t="s">
        <v>232</v>
      </c>
      <c r="C192" s="15" t="n">
        <v>0.0435338767065874</v>
      </c>
    </row>
    <row r="193" customFormat="false" ht="15" hidden="false" customHeight="false" outlineLevel="0" collapsed="false">
      <c r="A193" s="0" t="s">
        <v>86</v>
      </c>
      <c r="B193" s="0" t="s">
        <v>233</v>
      </c>
      <c r="C193" s="15" t="n">
        <v>0.0378709333951614</v>
      </c>
    </row>
    <row r="194" customFormat="false" ht="15" hidden="false" customHeight="false" outlineLevel="0" collapsed="false">
      <c r="A194" s="0" t="s">
        <v>86</v>
      </c>
      <c r="B194" s="0" t="s">
        <v>234</v>
      </c>
      <c r="C194" s="15" t="n">
        <v>0.0134494903646368</v>
      </c>
    </row>
    <row r="195" customFormat="false" ht="15" hidden="false" customHeight="false" outlineLevel="0" collapsed="false">
      <c r="A195" s="0" t="s">
        <v>86</v>
      </c>
      <c r="B195" s="0" t="s">
        <v>235</v>
      </c>
      <c r="C195" s="15" t="n">
        <v>0.00353933956964125</v>
      </c>
    </row>
    <row r="196" customFormat="false" ht="15" hidden="false" customHeight="false" outlineLevel="0" collapsed="false">
      <c r="A196" s="0" t="s">
        <v>86</v>
      </c>
      <c r="B196" s="0" t="s">
        <v>236</v>
      </c>
      <c r="C196" s="15" t="n">
        <v>0.00247753769874887</v>
      </c>
    </row>
    <row r="197" customFormat="false" ht="15" hidden="false" customHeight="false" outlineLevel="0" collapsed="false">
      <c r="A197" s="0" t="s">
        <v>87</v>
      </c>
      <c r="B197" s="0" t="s">
        <v>232</v>
      </c>
      <c r="C197" s="15" t="n">
        <v>0.0435338767065874</v>
      </c>
    </row>
    <row r="198" customFormat="false" ht="15" hidden="false" customHeight="false" outlineLevel="0" collapsed="false">
      <c r="A198" s="0" t="s">
        <v>87</v>
      </c>
      <c r="B198" s="0" t="s">
        <v>233</v>
      </c>
      <c r="C198" s="15" t="n">
        <v>0.0378709333951614</v>
      </c>
    </row>
    <row r="199" customFormat="false" ht="15" hidden="false" customHeight="false" outlineLevel="0" collapsed="false">
      <c r="A199" s="0" t="s">
        <v>87</v>
      </c>
      <c r="B199" s="0" t="s">
        <v>234</v>
      </c>
      <c r="C199" s="15" t="n">
        <v>0.0134494903646368</v>
      </c>
    </row>
    <row r="200" customFormat="false" ht="15" hidden="false" customHeight="false" outlineLevel="0" collapsed="false">
      <c r="A200" s="0" t="s">
        <v>87</v>
      </c>
      <c r="B200" s="0" t="s">
        <v>235</v>
      </c>
      <c r="C200" s="15" t="n">
        <v>0.00353933956964125</v>
      </c>
    </row>
    <row r="201" customFormat="false" ht="15" hidden="false" customHeight="false" outlineLevel="0" collapsed="false">
      <c r="A201" s="0" t="s">
        <v>87</v>
      </c>
      <c r="B201" s="0" t="s">
        <v>236</v>
      </c>
      <c r="C201" s="15" t="n">
        <v>0.00247753769874887</v>
      </c>
    </row>
    <row r="202" customFormat="false" ht="15" hidden="false" customHeight="false" outlineLevel="0" collapsed="false">
      <c r="A202" s="0" t="s">
        <v>88</v>
      </c>
      <c r="B202" s="0" t="s">
        <v>232</v>
      </c>
      <c r="C202" s="15" t="n">
        <v>0.0435338767065874</v>
      </c>
    </row>
    <row r="203" customFormat="false" ht="15" hidden="false" customHeight="false" outlineLevel="0" collapsed="false">
      <c r="A203" s="0" t="s">
        <v>88</v>
      </c>
      <c r="B203" s="0" t="s">
        <v>233</v>
      </c>
      <c r="C203" s="15" t="n">
        <v>0.0378709333951614</v>
      </c>
    </row>
    <row r="204" customFormat="false" ht="15" hidden="false" customHeight="false" outlineLevel="0" collapsed="false">
      <c r="A204" s="0" t="s">
        <v>88</v>
      </c>
      <c r="B204" s="0" t="s">
        <v>234</v>
      </c>
      <c r="C204" s="15" t="n">
        <v>0.0134494903646368</v>
      </c>
    </row>
    <row r="205" customFormat="false" ht="15" hidden="false" customHeight="false" outlineLevel="0" collapsed="false">
      <c r="A205" s="0" t="s">
        <v>88</v>
      </c>
      <c r="B205" s="0" t="s">
        <v>235</v>
      </c>
      <c r="C205" s="15" t="n">
        <v>0.00353933956964125</v>
      </c>
    </row>
    <row r="206" customFormat="false" ht="15" hidden="false" customHeight="false" outlineLevel="0" collapsed="false">
      <c r="A206" s="0" t="s">
        <v>88</v>
      </c>
      <c r="B206" s="0" t="s">
        <v>236</v>
      </c>
      <c r="C206" s="15" t="n">
        <v>0.00247753769874887</v>
      </c>
    </row>
    <row r="207" customFormat="false" ht="15" hidden="false" customHeight="false" outlineLevel="0" collapsed="false">
      <c r="A207" s="0" t="s">
        <v>89</v>
      </c>
      <c r="B207" s="0" t="s">
        <v>232</v>
      </c>
      <c r="C207" s="15" t="n">
        <v>0.0435338767065874</v>
      </c>
    </row>
    <row r="208" customFormat="false" ht="15" hidden="false" customHeight="false" outlineLevel="0" collapsed="false">
      <c r="A208" s="0" t="s">
        <v>89</v>
      </c>
      <c r="B208" s="0" t="s">
        <v>233</v>
      </c>
      <c r="C208" s="15" t="n">
        <v>0.0378709333951614</v>
      </c>
    </row>
    <row r="209" customFormat="false" ht="15" hidden="false" customHeight="false" outlineLevel="0" collapsed="false">
      <c r="A209" s="0" t="s">
        <v>89</v>
      </c>
      <c r="B209" s="0" t="s">
        <v>234</v>
      </c>
      <c r="C209" s="15" t="n">
        <v>0.0134494903646368</v>
      </c>
    </row>
    <row r="210" customFormat="false" ht="15" hidden="false" customHeight="false" outlineLevel="0" collapsed="false">
      <c r="A210" s="0" t="s">
        <v>89</v>
      </c>
      <c r="B210" s="0" t="s">
        <v>235</v>
      </c>
      <c r="C210" s="15" t="n">
        <v>0.00353933956964125</v>
      </c>
    </row>
    <row r="211" customFormat="false" ht="15" hidden="false" customHeight="false" outlineLevel="0" collapsed="false">
      <c r="A211" s="0" t="s">
        <v>89</v>
      </c>
      <c r="B211" s="0" t="s">
        <v>236</v>
      </c>
      <c r="C211" s="15" t="n">
        <v>0.00247753769874887</v>
      </c>
    </row>
    <row r="212" customFormat="false" ht="15" hidden="false" customHeight="false" outlineLevel="0" collapsed="false">
      <c r="A212" s="0" t="s">
        <v>90</v>
      </c>
      <c r="B212" s="0" t="s">
        <v>232</v>
      </c>
      <c r="C212" s="15" t="n">
        <v>0.0435338767065874</v>
      </c>
    </row>
    <row r="213" customFormat="false" ht="15" hidden="false" customHeight="false" outlineLevel="0" collapsed="false">
      <c r="A213" s="0" t="s">
        <v>90</v>
      </c>
      <c r="B213" s="0" t="s">
        <v>233</v>
      </c>
      <c r="C213" s="15" t="n">
        <v>0.0378709333951614</v>
      </c>
    </row>
    <row r="214" customFormat="false" ht="15" hidden="false" customHeight="false" outlineLevel="0" collapsed="false">
      <c r="A214" s="0" t="s">
        <v>90</v>
      </c>
      <c r="B214" s="0" t="s">
        <v>234</v>
      </c>
      <c r="C214" s="15" t="n">
        <v>0.0134494903646368</v>
      </c>
    </row>
    <row r="215" customFormat="false" ht="15" hidden="false" customHeight="false" outlineLevel="0" collapsed="false">
      <c r="A215" s="0" t="s">
        <v>90</v>
      </c>
      <c r="B215" s="0" t="s">
        <v>235</v>
      </c>
      <c r="C215" s="15" t="n">
        <v>0.00353933956964125</v>
      </c>
    </row>
    <row r="216" customFormat="false" ht="15" hidden="false" customHeight="false" outlineLevel="0" collapsed="false">
      <c r="A216" s="0" t="s">
        <v>90</v>
      </c>
      <c r="B216" s="0" t="s">
        <v>236</v>
      </c>
      <c r="C216" s="15" t="n">
        <v>0.00247753769874887</v>
      </c>
    </row>
    <row r="217" customFormat="false" ht="15" hidden="false" customHeight="false" outlineLevel="0" collapsed="false">
      <c r="A217" s="0" t="s">
        <v>91</v>
      </c>
      <c r="B217" s="0" t="s">
        <v>232</v>
      </c>
      <c r="C217" s="15" t="n">
        <v>0.0435338767065874</v>
      </c>
    </row>
    <row r="218" customFormat="false" ht="15" hidden="false" customHeight="false" outlineLevel="0" collapsed="false">
      <c r="A218" s="0" t="s">
        <v>91</v>
      </c>
      <c r="B218" s="0" t="s">
        <v>233</v>
      </c>
      <c r="C218" s="15" t="n">
        <v>0.0378709333951614</v>
      </c>
    </row>
    <row r="219" customFormat="false" ht="15" hidden="false" customHeight="false" outlineLevel="0" collapsed="false">
      <c r="A219" s="0" t="s">
        <v>91</v>
      </c>
      <c r="B219" s="0" t="s">
        <v>234</v>
      </c>
      <c r="C219" s="15" t="n">
        <v>0.0134494903646368</v>
      </c>
    </row>
    <row r="220" customFormat="false" ht="15" hidden="false" customHeight="false" outlineLevel="0" collapsed="false">
      <c r="A220" s="0" t="s">
        <v>91</v>
      </c>
      <c r="B220" s="0" t="s">
        <v>235</v>
      </c>
      <c r="C220" s="15" t="n">
        <v>0.00353933956964125</v>
      </c>
    </row>
    <row r="221" customFormat="false" ht="15" hidden="false" customHeight="false" outlineLevel="0" collapsed="false">
      <c r="A221" s="0" t="s">
        <v>91</v>
      </c>
      <c r="B221" s="0" t="s">
        <v>236</v>
      </c>
      <c r="C221" s="15" t="n">
        <v>0.00247753769874887</v>
      </c>
    </row>
    <row r="222" customFormat="false" ht="15" hidden="false" customHeight="false" outlineLevel="0" collapsed="false">
      <c r="A222" s="0" t="s">
        <v>92</v>
      </c>
      <c r="B222" s="0" t="s">
        <v>232</v>
      </c>
      <c r="C222" s="15" t="n">
        <v>0.0435338767065874</v>
      </c>
    </row>
    <row r="223" customFormat="false" ht="15" hidden="false" customHeight="false" outlineLevel="0" collapsed="false">
      <c r="A223" s="0" t="s">
        <v>92</v>
      </c>
      <c r="B223" s="0" t="s">
        <v>233</v>
      </c>
      <c r="C223" s="15" t="n">
        <v>0.0378709333951614</v>
      </c>
    </row>
    <row r="224" customFormat="false" ht="15" hidden="false" customHeight="false" outlineLevel="0" collapsed="false">
      <c r="A224" s="0" t="s">
        <v>92</v>
      </c>
      <c r="B224" s="0" t="s">
        <v>234</v>
      </c>
      <c r="C224" s="15" t="n">
        <v>0.0134494903646368</v>
      </c>
    </row>
    <row r="225" customFormat="false" ht="15" hidden="false" customHeight="false" outlineLevel="0" collapsed="false">
      <c r="A225" s="0" t="s">
        <v>92</v>
      </c>
      <c r="B225" s="0" t="s">
        <v>235</v>
      </c>
      <c r="C225" s="15" t="n">
        <v>0.00353933956964125</v>
      </c>
    </row>
    <row r="226" customFormat="false" ht="15" hidden="false" customHeight="false" outlineLevel="0" collapsed="false">
      <c r="A226" s="0" t="s">
        <v>92</v>
      </c>
      <c r="B226" s="0" t="s">
        <v>236</v>
      </c>
      <c r="C226" s="15" t="n">
        <v>0.00247753769874887</v>
      </c>
    </row>
    <row r="227" customFormat="false" ht="15" hidden="false" customHeight="false" outlineLevel="0" collapsed="false">
      <c r="A227" s="0" t="s">
        <v>93</v>
      </c>
      <c r="B227" s="0" t="s">
        <v>232</v>
      </c>
      <c r="C227" s="15" t="n">
        <v>0.0435338767065874</v>
      </c>
    </row>
    <row r="228" customFormat="false" ht="15" hidden="false" customHeight="false" outlineLevel="0" collapsed="false">
      <c r="A228" s="0" t="s">
        <v>93</v>
      </c>
      <c r="B228" s="0" t="s">
        <v>233</v>
      </c>
      <c r="C228" s="15" t="n">
        <v>0.0378709333951614</v>
      </c>
    </row>
    <row r="229" customFormat="false" ht="15" hidden="false" customHeight="false" outlineLevel="0" collapsed="false">
      <c r="A229" s="0" t="s">
        <v>93</v>
      </c>
      <c r="B229" s="0" t="s">
        <v>234</v>
      </c>
      <c r="C229" s="15" t="n">
        <v>0.0134494903646368</v>
      </c>
    </row>
    <row r="230" customFormat="false" ht="15" hidden="false" customHeight="false" outlineLevel="0" collapsed="false">
      <c r="A230" s="0" t="s">
        <v>93</v>
      </c>
      <c r="B230" s="0" t="s">
        <v>235</v>
      </c>
      <c r="C230" s="15" t="n">
        <v>0.00353933956964125</v>
      </c>
    </row>
    <row r="231" customFormat="false" ht="15" hidden="false" customHeight="false" outlineLevel="0" collapsed="false">
      <c r="A231" s="0" t="s">
        <v>93</v>
      </c>
      <c r="B231" s="0" t="s">
        <v>236</v>
      </c>
      <c r="C231" s="15" t="n">
        <v>0.00247753769874887</v>
      </c>
    </row>
    <row r="232" customFormat="false" ht="15" hidden="false" customHeight="false" outlineLevel="0" collapsed="false">
      <c r="A232" s="0" t="s">
        <v>94</v>
      </c>
      <c r="B232" s="0" t="s">
        <v>232</v>
      </c>
      <c r="C232" s="15" t="n">
        <v>0.0435338767065874</v>
      </c>
    </row>
    <row r="233" customFormat="false" ht="15" hidden="false" customHeight="false" outlineLevel="0" collapsed="false">
      <c r="A233" s="0" t="s">
        <v>94</v>
      </c>
      <c r="B233" s="0" t="s">
        <v>233</v>
      </c>
      <c r="C233" s="15" t="n">
        <v>0.0378709333951614</v>
      </c>
    </row>
    <row r="234" customFormat="false" ht="15" hidden="false" customHeight="false" outlineLevel="0" collapsed="false">
      <c r="A234" s="0" t="s">
        <v>94</v>
      </c>
      <c r="B234" s="0" t="s">
        <v>234</v>
      </c>
      <c r="C234" s="15" t="n">
        <v>0.0134494903646368</v>
      </c>
    </row>
    <row r="235" customFormat="false" ht="15" hidden="false" customHeight="false" outlineLevel="0" collapsed="false">
      <c r="A235" s="0" t="s">
        <v>94</v>
      </c>
      <c r="B235" s="0" t="s">
        <v>235</v>
      </c>
      <c r="C235" s="15" t="n">
        <v>0.00353933956964125</v>
      </c>
    </row>
    <row r="236" customFormat="false" ht="15" hidden="false" customHeight="false" outlineLevel="0" collapsed="false">
      <c r="A236" s="0" t="s">
        <v>94</v>
      </c>
      <c r="B236" s="0" t="s">
        <v>236</v>
      </c>
      <c r="C236" s="15" t="n">
        <v>0.00247753769874887</v>
      </c>
    </row>
    <row r="237" customFormat="false" ht="15" hidden="false" customHeight="false" outlineLevel="0" collapsed="false">
      <c r="A237" s="0" t="s">
        <v>95</v>
      </c>
      <c r="B237" s="0" t="s">
        <v>232</v>
      </c>
      <c r="C237" s="15" t="n">
        <v>0.0435338767065874</v>
      </c>
    </row>
    <row r="238" customFormat="false" ht="15" hidden="false" customHeight="false" outlineLevel="0" collapsed="false">
      <c r="A238" s="0" t="s">
        <v>95</v>
      </c>
      <c r="B238" s="0" t="s">
        <v>233</v>
      </c>
      <c r="C238" s="15" t="n">
        <v>0.0378709333951614</v>
      </c>
    </row>
    <row r="239" customFormat="false" ht="15" hidden="false" customHeight="false" outlineLevel="0" collapsed="false">
      <c r="A239" s="0" t="s">
        <v>95</v>
      </c>
      <c r="B239" s="0" t="s">
        <v>234</v>
      </c>
      <c r="C239" s="15" t="n">
        <v>0.0134494903646368</v>
      </c>
    </row>
    <row r="240" customFormat="false" ht="15" hidden="false" customHeight="false" outlineLevel="0" collapsed="false">
      <c r="A240" s="0" t="s">
        <v>95</v>
      </c>
      <c r="B240" s="0" t="s">
        <v>235</v>
      </c>
      <c r="C240" s="15" t="n">
        <v>0.00353933956964125</v>
      </c>
    </row>
    <row r="241" customFormat="false" ht="15" hidden="false" customHeight="false" outlineLevel="0" collapsed="false">
      <c r="A241" s="0" t="s">
        <v>95</v>
      </c>
      <c r="B241" s="0" t="s">
        <v>236</v>
      </c>
      <c r="C241" s="15" t="n">
        <v>0.00247753769874887</v>
      </c>
    </row>
    <row r="242" customFormat="false" ht="15" hidden="false" customHeight="false" outlineLevel="0" collapsed="false">
      <c r="A242" s="0" t="s">
        <v>96</v>
      </c>
      <c r="B242" s="0" t="s">
        <v>232</v>
      </c>
      <c r="C242" s="15" t="n">
        <v>0.0435338767065874</v>
      </c>
    </row>
    <row r="243" customFormat="false" ht="15" hidden="false" customHeight="false" outlineLevel="0" collapsed="false">
      <c r="A243" s="0" t="s">
        <v>96</v>
      </c>
      <c r="B243" s="0" t="s">
        <v>233</v>
      </c>
      <c r="C243" s="15" t="n">
        <v>0.0378709333951614</v>
      </c>
    </row>
    <row r="244" customFormat="false" ht="15" hidden="false" customHeight="false" outlineLevel="0" collapsed="false">
      <c r="A244" s="0" t="s">
        <v>96</v>
      </c>
      <c r="B244" s="0" t="s">
        <v>234</v>
      </c>
      <c r="C244" s="15" t="n">
        <v>0.0134494903646368</v>
      </c>
    </row>
    <row r="245" customFormat="false" ht="15" hidden="false" customHeight="false" outlineLevel="0" collapsed="false">
      <c r="A245" s="0" t="s">
        <v>96</v>
      </c>
      <c r="B245" s="0" t="s">
        <v>235</v>
      </c>
      <c r="C245" s="15" t="n">
        <v>0.00353933956964125</v>
      </c>
    </row>
    <row r="246" customFormat="false" ht="15" hidden="false" customHeight="false" outlineLevel="0" collapsed="false">
      <c r="A246" s="0" t="s">
        <v>96</v>
      </c>
      <c r="B246" s="0" t="s">
        <v>236</v>
      </c>
      <c r="C246" s="15" t="n">
        <v>0.00247753769874887</v>
      </c>
    </row>
    <row r="247" customFormat="false" ht="15" hidden="false" customHeight="false" outlineLevel="0" collapsed="false">
      <c r="A247" s="0" t="s">
        <v>97</v>
      </c>
      <c r="B247" s="0" t="s">
        <v>232</v>
      </c>
      <c r="C247" s="15" t="n">
        <v>0.0435338767065874</v>
      </c>
    </row>
    <row r="248" customFormat="false" ht="15" hidden="false" customHeight="false" outlineLevel="0" collapsed="false">
      <c r="A248" s="0" t="s">
        <v>97</v>
      </c>
      <c r="B248" s="0" t="s">
        <v>233</v>
      </c>
      <c r="C248" s="15" t="n">
        <v>0.0378709333951614</v>
      </c>
    </row>
    <row r="249" customFormat="false" ht="15" hidden="false" customHeight="false" outlineLevel="0" collapsed="false">
      <c r="A249" s="0" t="s">
        <v>97</v>
      </c>
      <c r="B249" s="0" t="s">
        <v>234</v>
      </c>
      <c r="C249" s="15" t="n">
        <v>0.0134494903646368</v>
      </c>
    </row>
    <row r="250" customFormat="false" ht="15" hidden="false" customHeight="false" outlineLevel="0" collapsed="false">
      <c r="A250" s="0" t="s">
        <v>97</v>
      </c>
      <c r="B250" s="0" t="s">
        <v>235</v>
      </c>
      <c r="C250" s="15" t="n">
        <v>0.00353933956964125</v>
      </c>
    </row>
    <row r="251" customFormat="false" ht="15" hidden="false" customHeight="false" outlineLevel="0" collapsed="false">
      <c r="A251" s="0" t="s">
        <v>97</v>
      </c>
      <c r="B251" s="0" t="s">
        <v>236</v>
      </c>
      <c r="C251" s="15" t="n">
        <v>0.00247753769874887</v>
      </c>
    </row>
    <row r="252" customFormat="false" ht="15" hidden="false" customHeight="false" outlineLevel="0" collapsed="false">
      <c r="A252" s="0" t="s">
        <v>98</v>
      </c>
      <c r="B252" s="0" t="s">
        <v>232</v>
      </c>
      <c r="C252" s="15" t="n">
        <v>0.0435338767065874</v>
      </c>
    </row>
    <row r="253" customFormat="false" ht="15" hidden="false" customHeight="false" outlineLevel="0" collapsed="false">
      <c r="A253" s="0" t="s">
        <v>98</v>
      </c>
      <c r="B253" s="0" t="s">
        <v>233</v>
      </c>
      <c r="C253" s="15" t="n">
        <v>0.0378709333951614</v>
      </c>
    </row>
    <row r="254" customFormat="false" ht="15" hidden="false" customHeight="false" outlineLevel="0" collapsed="false">
      <c r="A254" s="0" t="s">
        <v>98</v>
      </c>
      <c r="B254" s="0" t="s">
        <v>234</v>
      </c>
      <c r="C254" s="15" t="n">
        <v>0.0134494903646368</v>
      </c>
    </row>
    <row r="255" customFormat="false" ht="15" hidden="false" customHeight="false" outlineLevel="0" collapsed="false">
      <c r="A255" s="0" t="s">
        <v>98</v>
      </c>
      <c r="B255" s="0" t="s">
        <v>235</v>
      </c>
      <c r="C255" s="15" t="n">
        <v>0.00353933956964125</v>
      </c>
    </row>
    <row r="256" customFormat="false" ht="15" hidden="false" customHeight="false" outlineLevel="0" collapsed="false">
      <c r="A256" s="0" t="s">
        <v>98</v>
      </c>
      <c r="B256" s="0" t="s">
        <v>236</v>
      </c>
      <c r="C256" s="15" t="n">
        <v>0.00247753769874887</v>
      </c>
    </row>
    <row r="257" customFormat="false" ht="15" hidden="false" customHeight="false" outlineLevel="0" collapsed="false">
      <c r="A257" s="0" t="s">
        <v>100</v>
      </c>
      <c r="B257" s="0" t="s">
        <v>232</v>
      </c>
      <c r="C257" s="15" t="n">
        <v>0.0435338767065874</v>
      </c>
    </row>
    <row r="258" customFormat="false" ht="15" hidden="false" customHeight="false" outlineLevel="0" collapsed="false">
      <c r="A258" s="0" t="s">
        <v>100</v>
      </c>
      <c r="B258" s="0" t="s">
        <v>233</v>
      </c>
      <c r="C258" s="15" t="n">
        <v>0.0378709333951614</v>
      </c>
    </row>
    <row r="259" customFormat="false" ht="15" hidden="false" customHeight="false" outlineLevel="0" collapsed="false">
      <c r="A259" s="0" t="s">
        <v>100</v>
      </c>
      <c r="B259" s="0" t="s">
        <v>234</v>
      </c>
      <c r="C259" s="15" t="n">
        <v>0.0134494903646368</v>
      </c>
    </row>
    <row r="260" customFormat="false" ht="15" hidden="false" customHeight="false" outlineLevel="0" collapsed="false">
      <c r="A260" s="0" t="s">
        <v>100</v>
      </c>
      <c r="B260" s="0" t="s">
        <v>235</v>
      </c>
      <c r="C260" s="15" t="n">
        <v>0.00353933956964125</v>
      </c>
    </row>
    <row r="261" customFormat="false" ht="15" hidden="false" customHeight="false" outlineLevel="0" collapsed="false">
      <c r="A261" s="0" t="s">
        <v>100</v>
      </c>
      <c r="B261" s="0" t="s">
        <v>236</v>
      </c>
      <c r="C261" s="15" t="n">
        <v>0.00247753769874887</v>
      </c>
    </row>
    <row r="262" customFormat="false" ht="15" hidden="false" customHeight="false" outlineLevel="0" collapsed="false">
      <c r="A262" s="0" t="s">
        <v>101</v>
      </c>
      <c r="B262" s="0" t="s">
        <v>232</v>
      </c>
      <c r="C262" s="15" t="n">
        <v>0.0435338767065874</v>
      </c>
    </row>
    <row r="263" customFormat="false" ht="15" hidden="false" customHeight="false" outlineLevel="0" collapsed="false">
      <c r="A263" s="0" t="s">
        <v>101</v>
      </c>
      <c r="B263" s="0" t="s">
        <v>233</v>
      </c>
      <c r="C263" s="15" t="n">
        <v>0.0378709333951614</v>
      </c>
    </row>
    <row r="264" customFormat="false" ht="15" hidden="false" customHeight="false" outlineLevel="0" collapsed="false">
      <c r="A264" s="0" t="s">
        <v>101</v>
      </c>
      <c r="B264" s="0" t="s">
        <v>234</v>
      </c>
      <c r="C264" s="15" t="n">
        <v>0.0134494903646368</v>
      </c>
    </row>
    <row r="265" customFormat="false" ht="15" hidden="false" customHeight="false" outlineLevel="0" collapsed="false">
      <c r="A265" s="0" t="s">
        <v>101</v>
      </c>
      <c r="B265" s="0" t="s">
        <v>235</v>
      </c>
      <c r="C265" s="15" t="n">
        <v>0.00353933956964125</v>
      </c>
    </row>
    <row r="266" customFormat="false" ht="15" hidden="false" customHeight="false" outlineLevel="0" collapsed="false">
      <c r="A266" s="0" t="s">
        <v>101</v>
      </c>
      <c r="B266" s="0" t="s">
        <v>236</v>
      </c>
      <c r="C266" s="15" t="n">
        <v>0.00247753769874887</v>
      </c>
    </row>
    <row r="267" customFormat="false" ht="15" hidden="false" customHeight="false" outlineLevel="0" collapsed="false">
      <c r="A267" s="0" t="s">
        <v>102</v>
      </c>
      <c r="B267" s="0" t="s">
        <v>232</v>
      </c>
      <c r="C267" s="15" t="n">
        <v>0.0435338767065874</v>
      </c>
    </row>
    <row r="268" customFormat="false" ht="15" hidden="false" customHeight="false" outlineLevel="0" collapsed="false">
      <c r="A268" s="0" t="s">
        <v>102</v>
      </c>
      <c r="B268" s="0" t="s">
        <v>233</v>
      </c>
      <c r="C268" s="15" t="n">
        <v>0.0378709333951614</v>
      </c>
    </row>
    <row r="269" customFormat="false" ht="15" hidden="false" customHeight="false" outlineLevel="0" collapsed="false">
      <c r="A269" s="0" t="s">
        <v>102</v>
      </c>
      <c r="B269" s="0" t="s">
        <v>234</v>
      </c>
      <c r="C269" s="15" t="n">
        <v>0.0134494903646368</v>
      </c>
    </row>
    <row r="270" customFormat="false" ht="15" hidden="false" customHeight="false" outlineLevel="0" collapsed="false">
      <c r="A270" s="0" t="s">
        <v>102</v>
      </c>
      <c r="B270" s="0" t="s">
        <v>235</v>
      </c>
      <c r="C270" s="15" t="n">
        <v>0.00353933956964125</v>
      </c>
    </row>
    <row r="271" customFormat="false" ht="15" hidden="false" customHeight="false" outlineLevel="0" collapsed="false">
      <c r="A271" s="0" t="s">
        <v>102</v>
      </c>
      <c r="B271" s="0" t="s">
        <v>236</v>
      </c>
      <c r="C271" s="15" t="n">
        <v>0.00247753769874887</v>
      </c>
    </row>
    <row r="272" customFormat="false" ht="15" hidden="false" customHeight="false" outlineLevel="0" collapsed="false">
      <c r="A272" s="0" t="s">
        <v>103</v>
      </c>
      <c r="B272" s="0" t="s">
        <v>232</v>
      </c>
      <c r="C272" s="15" t="n">
        <v>0.0435338767065874</v>
      </c>
    </row>
    <row r="273" customFormat="false" ht="15" hidden="false" customHeight="false" outlineLevel="0" collapsed="false">
      <c r="A273" s="0" t="s">
        <v>103</v>
      </c>
      <c r="B273" s="0" t="s">
        <v>233</v>
      </c>
      <c r="C273" s="15" t="n">
        <v>0.0378709333951614</v>
      </c>
    </row>
    <row r="274" customFormat="false" ht="15" hidden="false" customHeight="false" outlineLevel="0" collapsed="false">
      <c r="A274" s="0" t="s">
        <v>103</v>
      </c>
      <c r="B274" s="0" t="s">
        <v>234</v>
      </c>
      <c r="C274" s="15" t="n">
        <v>0.0134494903646368</v>
      </c>
    </row>
    <row r="275" customFormat="false" ht="15" hidden="false" customHeight="false" outlineLevel="0" collapsed="false">
      <c r="A275" s="0" t="s">
        <v>103</v>
      </c>
      <c r="B275" s="0" t="s">
        <v>235</v>
      </c>
      <c r="C275" s="15" t="n">
        <v>0.00353933956964125</v>
      </c>
    </row>
    <row r="276" customFormat="false" ht="15" hidden="false" customHeight="false" outlineLevel="0" collapsed="false">
      <c r="A276" s="0" t="s">
        <v>103</v>
      </c>
      <c r="B276" s="0" t="s">
        <v>236</v>
      </c>
      <c r="C276" s="15" t="n">
        <v>0.00247753769874887</v>
      </c>
    </row>
    <row r="277" customFormat="false" ht="15" hidden="false" customHeight="false" outlineLevel="0" collapsed="false">
      <c r="A277" s="0" t="s">
        <v>104</v>
      </c>
      <c r="B277" s="0" t="s">
        <v>232</v>
      </c>
      <c r="C277" s="15" t="n">
        <v>0.0435338767065874</v>
      </c>
    </row>
    <row r="278" customFormat="false" ht="15" hidden="false" customHeight="false" outlineLevel="0" collapsed="false">
      <c r="A278" s="0" t="s">
        <v>104</v>
      </c>
      <c r="B278" s="0" t="s">
        <v>233</v>
      </c>
      <c r="C278" s="15" t="n">
        <v>0.0378709333951614</v>
      </c>
    </row>
    <row r="279" customFormat="false" ht="15" hidden="false" customHeight="false" outlineLevel="0" collapsed="false">
      <c r="A279" s="0" t="s">
        <v>104</v>
      </c>
      <c r="B279" s="0" t="s">
        <v>234</v>
      </c>
      <c r="C279" s="15" t="n">
        <v>0.0134494903646368</v>
      </c>
    </row>
    <row r="280" customFormat="false" ht="15" hidden="false" customHeight="false" outlineLevel="0" collapsed="false">
      <c r="A280" s="0" t="s">
        <v>104</v>
      </c>
      <c r="B280" s="0" t="s">
        <v>235</v>
      </c>
      <c r="C280" s="15" t="n">
        <v>0.00353933956964125</v>
      </c>
    </row>
    <row r="281" customFormat="false" ht="15" hidden="false" customHeight="false" outlineLevel="0" collapsed="false">
      <c r="A281" s="0" t="s">
        <v>104</v>
      </c>
      <c r="B281" s="0" t="s">
        <v>236</v>
      </c>
      <c r="C281" s="15" t="n">
        <v>0.00247753769874887</v>
      </c>
    </row>
    <row r="282" customFormat="false" ht="15" hidden="false" customHeight="false" outlineLevel="0" collapsed="false">
      <c r="A282" s="0" t="s">
        <v>105</v>
      </c>
      <c r="B282" s="0" t="s">
        <v>232</v>
      </c>
      <c r="C282" s="15" t="n">
        <v>0.0435338767065874</v>
      </c>
    </row>
    <row r="283" customFormat="false" ht="15" hidden="false" customHeight="false" outlineLevel="0" collapsed="false">
      <c r="A283" s="0" t="s">
        <v>105</v>
      </c>
      <c r="B283" s="0" t="s">
        <v>233</v>
      </c>
      <c r="C283" s="15" t="n">
        <v>0.0378709333951614</v>
      </c>
    </row>
    <row r="284" customFormat="false" ht="15" hidden="false" customHeight="false" outlineLevel="0" collapsed="false">
      <c r="A284" s="0" t="s">
        <v>105</v>
      </c>
      <c r="B284" s="0" t="s">
        <v>234</v>
      </c>
      <c r="C284" s="15" t="n">
        <v>0.0134494903646368</v>
      </c>
    </row>
    <row r="285" customFormat="false" ht="15" hidden="false" customHeight="false" outlineLevel="0" collapsed="false">
      <c r="A285" s="0" t="s">
        <v>105</v>
      </c>
      <c r="B285" s="0" t="s">
        <v>235</v>
      </c>
      <c r="C285" s="15" t="n">
        <v>0.00353933956964125</v>
      </c>
    </row>
    <row r="286" customFormat="false" ht="15" hidden="false" customHeight="false" outlineLevel="0" collapsed="false">
      <c r="A286" s="0" t="s">
        <v>105</v>
      </c>
      <c r="B286" s="0" t="s">
        <v>236</v>
      </c>
      <c r="C286" s="15" t="n">
        <v>0.00247753769874887</v>
      </c>
    </row>
    <row r="287" customFormat="false" ht="15" hidden="false" customHeight="false" outlineLevel="0" collapsed="false">
      <c r="A287" s="0" t="s">
        <v>106</v>
      </c>
      <c r="B287" s="0" t="s">
        <v>232</v>
      </c>
      <c r="C287" s="15" t="n">
        <v>0.0435338767065874</v>
      </c>
    </row>
    <row r="288" customFormat="false" ht="15" hidden="false" customHeight="false" outlineLevel="0" collapsed="false">
      <c r="A288" s="0" t="s">
        <v>106</v>
      </c>
      <c r="B288" s="0" t="s">
        <v>233</v>
      </c>
      <c r="C288" s="15" t="n">
        <v>0.0378709333951614</v>
      </c>
    </row>
    <row r="289" customFormat="false" ht="15" hidden="false" customHeight="false" outlineLevel="0" collapsed="false">
      <c r="A289" s="0" t="s">
        <v>106</v>
      </c>
      <c r="B289" s="0" t="s">
        <v>234</v>
      </c>
      <c r="C289" s="15" t="n">
        <v>0.0134494903646368</v>
      </c>
    </row>
    <row r="290" customFormat="false" ht="15" hidden="false" customHeight="false" outlineLevel="0" collapsed="false">
      <c r="A290" s="0" t="s">
        <v>106</v>
      </c>
      <c r="B290" s="0" t="s">
        <v>235</v>
      </c>
      <c r="C290" s="15" t="n">
        <v>0.00353933956964125</v>
      </c>
    </row>
    <row r="291" customFormat="false" ht="15" hidden="false" customHeight="false" outlineLevel="0" collapsed="false">
      <c r="A291" s="0" t="s">
        <v>106</v>
      </c>
      <c r="B291" s="0" t="s">
        <v>236</v>
      </c>
      <c r="C291" s="15" t="n">
        <v>0.00247753769874887</v>
      </c>
    </row>
    <row r="292" customFormat="false" ht="15" hidden="false" customHeight="false" outlineLevel="0" collapsed="false">
      <c r="A292" s="0" t="s">
        <v>107</v>
      </c>
      <c r="B292" s="0" t="s">
        <v>232</v>
      </c>
      <c r="C292" s="15" t="n">
        <v>0.0435338767065874</v>
      </c>
    </row>
    <row r="293" customFormat="false" ht="15" hidden="false" customHeight="false" outlineLevel="0" collapsed="false">
      <c r="A293" s="0" t="s">
        <v>107</v>
      </c>
      <c r="B293" s="0" t="s">
        <v>233</v>
      </c>
      <c r="C293" s="15" t="n">
        <v>0.0378709333951614</v>
      </c>
    </row>
    <row r="294" customFormat="false" ht="15" hidden="false" customHeight="false" outlineLevel="0" collapsed="false">
      <c r="A294" s="0" t="s">
        <v>107</v>
      </c>
      <c r="B294" s="0" t="s">
        <v>234</v>
      </c>
      <c r="C294" s="15" t="n">
        <v>0.0134494903646368</v>
      </c>
    </row>
    <row r="295" customFormat="false" ht="15" hidden="false" customHeight="false" outlineLevel="0" collapsed="false">
      <c r="A295" s="0" t="s">
        <v>107</v>
      </c>
      <c r="B295" s="0" t="s">
        <v>235</v>
      </c>
      <c r="C295" s="15" t="n">
        <v>0.00353933956964125</v>
      </c>
    </row>
    <row r="296" customFormat="false" ht="15" hidden="false" customHeight="false" outlineLevel="0" collapsed="false">
      <c r="A296" s="0" t="s">
        <v>107</v>
      </c>
      <c r="B296" s="0" t="s">
        <v>236</v>
      </c>
      <c r="C296" s="15" t="n">
        <v>0.00247753769874887</v>
      </c>
    </row>
    <row r="297" customFormat="false" ht="15" hidden="false" customHeight="false" outlineLevel="0" collapsed="false">
      <c r="A297" s="0" t="s">
        <v>108</v>
      </c>
      <c r="B297" s="0" t="s">
        <v>232</v>
      </c>
      <c r="C297" s="15" t="n">
        <v>0.0435338767065874</v>
      </c>
    </row>
    <row r="298" customFormat="false" ht="15" hidden="false" customHeight="false" outlineLevel="0" collapsed="false">
      <c r="A298" s="0" t="s">
        <v>108</v>
      </c>
      <c r="B298" s="0" t="s">
        <v>233</v>
      </c>
      <c r="C298" s="15" t="n">
        <v>0.0378709333951614</v>
      </c>
    </row>
    <row r="299" customFormat="false" ht="15" hidden="false" customHeight="false" outlineLevel="0" collapsed="false">
      <c r="A299" s="0" t="s">
        <v>108</v>
      </c>
      <c r="B299" s="0" t="s">
        <v>234</v>
      </c>
      <c r="C299" s="15" t="n">
        <v>0.0134494903646368</v>
      </c>
    </row>
    <row r="300" customFormat="false" ht="15" hidden="false" customHeight="false" outlineLevel="0" collapsed="false">
      <c r="A300" s="0" t="s">
        <v>108</v>
      </c>
      <c r="B300" s="0" t="s">
        <v>235</v>
      </c>
      <c r="C300" s="15" t="n">
        <v>0.00353933956964125</v>
      </c>
    </row>
    <row r="301" customFormat="false" ht="15" hidden="false" customHeight="false" outlineLevel="0" collapsed="false">
      <c r="A301" s="0" t="s">
        <v>108</v>
      </c>
      <c r="B301" s="0" t="s">
        <v>236</v>
      </c>
      <c r="C301" s="15" t="n">
        <v>0.00247753769874887</v>
      </c>
    </row>
    <row r="302" customFormat="false" ht="15" hidden="false" customHeight="false" outlineLevel="0" collapsed="false">
      <c r="A302" s="0" t="s">
        <v>109</v>
      </c>
      <c r="B302" s="0" t="s">
        <v>232</v>
      </c>
      <c r="C302" s="15" t="n">
        <v>0.0435338767065874</v>
      </c>
    </row>
    <row r="303" customFormat="false" ht="15" hidden="false" customHeight="false" outlineLevel="0" collapsed="false">
      <c r="A303" s="0" t="s">
        <v>109</v>
      </c>
      <c r="B303" s="0" t="s">
        <v>233</v>
      </c>
      <c r="C303" s="15" t="n">
        <v>0.0378709333951614</v>
      </c>
    </row>
    <row r="304" customFormat="false" ht="15" hidden="false" customHeight="false" outlineLevel="0" collapsed="false">
      <c r="A304" s="0" t="s">
        <v>109</v>
      </c>
      <c r="B304" s="0" t="s">
        <v>234</v>
      </c>
      <c r="C304" s="15" t="n">
        <v>0.0134494903646368</v>
      </c>
    </row>
    <row r="305" customFormat="false" ht="15" hidden="false" customHeight="false" outlineLevel="0" collapsed="false">
      <c r="A305" s="0" t="s">
        <v>109</v>
      </c>
      <c r="B305" s="0" t="s">
        <v>235</v>
      </c>
      <c r="C305" s="15" t="n">
        <v>0.00353933956964125</v>
      </c>
    </row>
    <row r="306" customFormat="false" ht="15" hidden="false" customHeight="false" outlineLevel="0" collapsed="false">
      <c r="A306" s="0" t="s">
        <v>109</v>
      </c>
      <c r="B306" s="0" t="s">
        <v>236</v>
      </c>
      <c r="C306" s="15" t="n">
        <v>0.00247753769874887</v>
      </c>
    </row>
    <row r="307" customFormat="false" ht="15" hidden="false" customHeight="false" outlineLevel="0" collapsed="false">
      <c r="A307" s="0" t="s">
        <v>110</v>
      </c>
      <c r="B307" s="0" t="s">
        <v>232</v>
      </c>
      <c r="C307" s="15" t="n">
        <v>0.0435338767065874</v>
      </c>
    </row>
    <row r="308" customFormat="false" ht="15" hidden="false" customHeight="false" outlineLevel="0" collapsed="false">
      <c r="A308" s="0" t="s">
        <v>110</v>
      </c>
      <c r="B308" s="0" t="s">
        <v>233</v>
      </c>
      <c r="C308" s="15" t="n">
        <v>0.0378709333951614</v>
      </c>
    </row>
    <row r="309" customFormat="false" ht="15" hidden="false" customHeight="false" outlineLevel="0" collapsed="false">
      <c r="A309" s="0" t="s">
        <v>110</v>
      </c>
      <c r="B309" s="0" t="s">
        <v>234</v>
      </c>
      <c r="C309" s="15" t="n">
        <v>0.0134494903646368</v>
      </c>
    </row>
    <row r="310" customFormat="false" ht="15" hidden="false" customHeight="false" outlineLevel="0" collapsed="false">
      <c r="A310" s="0" t="s">
        <v>110</v>
      </c>
      <c r="B310" s="0" t="s">
        <v>235</v>
      </c>
      <c r="C310" s="15" t="n">
        <v>0.00353933956964125</v>
      </c>
    </row>
    <row r="311" customFormat="false" ht="15" hidden="false" customHeight="false" outlineLevel="0" collapsed="false">
      <c r="A311" s="0" t="s">
        <v>110</v>
      </c>
      <c r="B311" s="0" t="s">
        <v>236</v>
      </c>
      <c r="C311" s="15" t="n">
        <v>0.00247753769874887</v>
      </c>
    </row>
    <row r="312" customFormat="false" ht="15" hidden="false" customHeight="false" outlineLevel="0" collapsed="false">
      <c r="A312" s="0" t="s">
        <v>111</v>
      </c>
      <c r="B312" s="0" t="s">
        <v>232</v>
      </c>
      <c r="C312" s="15" t="n">
        <v>0.0435338767065874</v>
      </c>
    </row>
    <row r="313" customFormat="false" ht="15" hidden="false" customHeight="false" outlineLevel="0" collapsed="false">
      <c r="A313" s="0" t="s">
        <v>111</v>
      </c>
      <c r="B313" s="0" t="s">
        <v>233</v>
      </c>
      <c r="C313" s="15" t="n">
        <v>0.0378709333951614</v>
      </c>
    </row>
    <row r="314" customFormat="false" ht="15" hidden="false" customHeight="false" outlineLevel="0" collapsed="false">
      <c r="A314" s="0" t="s">
        <v>111</v>
      </c>
      <c r="B314" s="0" t="s">
        <v>234</v>
      </c>
      <c r="C314" s="15" t="n">
        <v>0.0134494903646368</v>
      </c>
    </row>
    <row r="315" customFormat="false" ht="15" hidden="false" customHeight="false" outlineLevel="0" collapsed="false">
      <c r="A315" s="0" t="s">
        <v>111</v>
      </c>
      <c r="B315" s="0" t="s">
        <v>235</v>
      </c>
      <c r="C315" s="15" t="n">
        <v>0.00353933956964125</v>
      </c>
    </row>
    <row r="316" customFormat="false" ht="15" hidden="false" customHeight="false" outlineLevel="0" collapsed="false">
      <c r="A316" s="0" t="s">
        <v>111</v>
      </c>
      <c r="B316" s="0" t="s">
        <v>236</v>
      </c>
      <c r="C316" s="15" t="n">
        <v>0.00247753769874887</v>
      </c>
    </row>
    <row r="317" customFormat="false" ht="15" hidden="false" customHeight="false" outlineLevel="0" collapsed="false">
      <c r="A317" s="0" t="s">
        <v>112</v>
      </c>
      <c r="B317" s="0" t="s">
        <v>232</v>
      </c>
      <c r="C317" s="15" t="n">
        <v>0.0435338767065874</v>
      </c>
    </row>
    <row r="318" customFormat="false" ht="15" hidden="false" customHeight="false" outlineLevel="0" collapsed="false">
      <c r="A318" s="0" t="s">
        <v>112</v>
      </c>
      <c r="B318" s="0" t="s">
        <v>233</v>
      </c>
      <c r="C318" s="15" t="n">
        <v>0.0378709333951614</v>
      </c>
    </row>
    <row r="319" customFormat="false" ht="15" hidden="false" customHeight="false" outlineLevel="0" collapsed="false">
      <c r="A319" s="0" t="s">
        <v>112</v>
      </c>
      <c r="B319" s="0" t="s">
        <v>234</v>
      </c>
      <c r="C319" s="15" t="n">
        <v>0.0134494903646368</v>
      </c>
    </row>
    <row r="320" customFormat="false" ht="15" hidden="false" customHeight="false" outlineLevel="0" collapsed="false">
      <c r="A320" s="0" t="s">
        <v>112</v>
      </c>
      <c r="B320" s="0" t="s">
        <v>235</v>
      </c>
      <c r="C320" s="15" t="n">
        <v>0.00353933956964125</v>
      </c>
    </row>
    <row r="321" customFormat="false" ht="15" hidden="false" customHeight="false" outlineLevel="0" collapsed="false">
      <c r="A321" s="0" t="s">
        <v>112</v>
      </c>
      <c r="B321" s="0" t="s">
        <v>236</v>
      </c>
      <c r="C321" s="15" t="n">
        <v>0.00247753769874887</v>
      </c>
    </row>
    <row r="322" customFormat="false" ht="15" hidden="false" customHeight="false" outlineLevel="0" collapsed="false">
      <c r="A322" s="0" t="s">
        <v>113</v>
      </c>
      <c r="B322" s="0" t="s">
        <v>232</v>
      </c>
      <c r="C322" s="15" t="n">
        <v>0.0435338767065874</v>
      </c>
    </row>
    <row r="323" customFormat="false" ht="15" hidden="false" customHeight="false" outlineLevel="0" collapsed="false">
      <c r="A323" s="0" t="s">
        <v>113</v>
      </c>
      <c r="B323" s="0" t="s">
        <v>233</v>
      </c>
      <c r="C323" s="15" t="n">
        <v>0.0378709333951614</v>
      </c>
    </row>
    <row r="324" customFormat="false" ht="15" hidden="false" customHeight="false" outlineLevel="0" collapsed="false">
      <c r="A324" s="0" t="s">
        <v>113</v>
      </c>
      <c r="B324" s="0" t="s">
        <v>234</v>
      </c>
      <c r="C324" s="15" t="n">
        <v>0.0134494903646368</v>
      </c>
    </row>
    <row r="325" customFormat="false" ht="15" hidden="false" customHeight="false" outlineLevel="0" collapsed="false">
      <c r="A325" s="0" t="s">
        <v>113</v>
      </c>
      <c r="B325" s="0" t="s">
        <v>235</v>
      </c>
      <c r="C325" s="15" t="n">
        <v>0.00353933956964125</v>
      </c>
    </row>
    <row r="326" customFormat="false" ht="15" hidden="false" customHeight="false" outlineLevel="0" collapsed="false">
      <c r="A326" s="0" t="s">
        <v>113</v>
      </c>
      <c r="B326" s="0" t="s">
        <v>236</v>
      </c>
      <c r="C326" s="15" t="n">
        <v>0.00247753769874887</v>
      </c>
    </row>
    <row r="327" customFormat="false" ht="15" hidden="false" customHeight="false" outlineLevel="0" collapsed="false">
      <c r="A327" s="0" t="s">
        <v>114</v>
      </c>
      <c r="B327" s="0" t="s">
        <v>232</v>
      </c>
      <c r="C327" s="15" t="n">
        <v>0.0435338767065874</v>
      </c>
    </row>
    <row r="328" customFormat="false" ht="15" hidden="false" customHeight="false" outlineLevel="0" collapsed="false">
      <c r="A328" s="0" t="s">
        <v>114</v>
      </c>
      <c r="B328" s="0" t="s">
        <v>233</v>
      </c>
      <c r="C328" s="15" t="n">
        <v>0.0378709333951614</v>
      </c>
    </row>
    <row r="329" customFormat="false" ht="15" hidden="false" customHeight="false" outlineLevel="0" collapsed="false">
      <c r="A329" s="0" t="s">
        <v>114</v>
      </c>
      <c r="B329" s="0" t="s">
        <v>234</v>
      </c>
      <c r="C329" s="15" t="n">
        <v>0.0134494903646368</v>
      </c>
    </row>
    <row r="330" customFormat="false" ht="15" hidden="false" customHeight="false" outlineLevel="0" collapsed="false">
      <c r="A330" s="0" t="s">
        <v>114</v>
      </c>
      <c r="B330" s="0" t="s">
        <v>235</v>
      </c>
      <c r="C330" s="15" t="n">
        <v>0.00353933956964125</v>
      </c>
    </row>
    <row r="331" customFormat="false" ht="15" hidden="false" customHeight="false" outlineLevel="0" collapsed="false">
      <c r="A331" s="0" t="s">
        <v>114</v>
      </c>
      <c r="B331" s="0" t="s">
        <v>236</v>
      </c>
      <c r="C331" s="15" t="n">
        <v>0.00247753769874887</v>
      </c>
    </row>
    <row r="332" customFormat="false" ht="15" hidden="false" customHeight="false" outlineLevel="0" collapsed="false">
      <c r="A332" s="0" t="s">
        <v>115</v>
      </c>
      <c r="B332" s="0" t="s">
        <v>232</v>
      </c>
      <c r="C332" s="15" t="n">
        <v>0.0435338767065874</v>
      </c>
    </row>
    <row r="333" customFormat="false" ht="15" hidden="false" customHeight="false" outlineLevel="0" collapsed="false">
      <c r="A333" s="0" t="s">
        <v>115</v>
      </c>
      <c r="B333" s="0" t="s">
        <v>233</v>
      </c>
      <c r="C333" s="15" t="n">
        <v>0.0378709333951614</v>
      </c>
    </row>
    <row r="334" customFormat="false" ht="15" hidden="false" customHeight="false" outlineLevel="0" collapsed="false">
      <c r="A334" s="0" t="s">
        <v>115</v>
      </c>
      <c r="B334" s="0" t="s">
        <v>234</v>
      </c>
      <c r="C334" s="15" t="n">
        <v>0.0134494903646368</v>
      </c>
    </row>
    <row r="335" customFormat="false" ht="15" hidden="false" customHeight="false" outlineLevel="0" collapsed="false">
      <c r="A335" s="0" t="s">
        <v>115</v>
      </c>
      <c r="B335" s="0" t="s">
        <v>235</v>
      </c>
      <c r="C335" s="15" t="n">
        <v>0.00353933956964125</v>
      </c>
    </row>
    <row r="336" customFormat="false" ht="15" hidden="false" customHeight="false" outlineLevel="0" collapsed="false">
      <c r="A336" s="0" t="s">
        <v>115</v>
      </c>
      <c r="B336" s="0" t="s">
        <v>236</v>
      </c>
      <c r="C336" s="15" t="n">
        <v>0.00247753769874887</v>
      </c>
    </row>
    <row r="337" customFormat="false" ht="15" hidden="false" customHeight="false" outlineLevel="0" collapsed="false">
      <c r="A337" s="0" t="s">
        <v>116</v>
      </c>
      <c r="B337" s="0" t="s">
        <v>232</v>
      </c>
      <c r="C337" s="15" t="n">
        <v>0.0435338767065874</v>
      </c>
    </row>
    <row r="338" customFormat="false" ht="15" hidden="false" customHeight="false" outlineLevel="0" collapsed="false">
      <c r="A338" s="0" t="s">
        <v>116</v>
      </c>
      <c r="B338" s="0" t="s">
        <v>233</v>
      </c>
      <c r="C338" s="15" t="n">
        <v>0.0378709333951614</v>
      </c>
    </row>
    <row r="339" customFormat="false" ht="15" hidden="false" customHeight="false" outlineLevel="0" collapsed="false">
      <c r="A339" s="0" t="s">
        <v>116</v>
      </c>
      <c r="B339" s="0" t="s">
        <v>234</v>
      </c>
      <c r="C339" s="15" t="n">
        <v>0.0134494903646368</v>
      </c>
    </row>
    <row r="340" customFormat="false" ht="15" hidden="false" customHeight="false" outlineLevel="0" collapsed="false">
      <c r="A340" s="0" t="s">
        <v>116</v>
      </c>
      <c r="B340" s="0" t="s">
        <v>235</v>
      </c>
      <c r="C340" s="15" t="n">
        <v>0.00353933956964125</v>
      </c>
    </row>
    <row r="341" customFormat="false" ht="15" hidden="false" customHeight="false" outlineLevel="0" collapsed="false">
      <c r="A341" s="0" t="s">
        <v>116</v>
      </c>
      <c r="B341" s="0" t="s">
        <v>236</v>
      </c>
      <c r="C341" s="15" t="n">
        <v>0.00247753769874887</v>
      </c>
    </row>
    <row r="342" customFormat="false" ht="15" hidden="false" customHeight="false" outlineLevel="0" collapsed="false">
      <c r="A342" s="0" t="s">
        <v>117</v>
      </c>
      <c r="B342" s="0" t="s">
        <v>232</v>
      </c>
      <c r="C342" s="15" t="n">
        <v>0.0435338767065874</v>
      </c>
    </row>
    <row r="343" customFormat="false" ht="15" hidden="false" customHeight="false" outlineLevel="0" collapsed="false">
      <c r="A343" s="0" t="s">
        <v>117</v>
      </c>
      <c r="B343" s="0" t="s">
        <v>233</v>
      </c>
      <c r="C343" s="15" t="n">
        <v>0.0378709333951614</v>
      </c>
    </row>
    <row r="344" customFormat="false" ht="15" hidden="false" customHeight="false" outlineLevel="0" collapsed="false">
      <c r="A344" s="0" t="s">
        <v>117</v>
      </c>
      <c r="B344" s="0" t="s">
        <v>234</v>
      </c>
      <c r="C344" s="15" t="n">
        <v>0.0134494903646368</v>
      </c>
    </row>
    <row r="345" customFormat="false" ht="15" hidden="false" customHeight="false" outlineLevel="0" collapsed="false">
      <c r="A345" s="0" t="s">
        <v>117</v>
      </c>
      <c r="B345" s="0" t="s">
        <v>235</v>
      </c>
      <c r="C345" s="15" t="n">
        <v>0.00353933956964125</v>
      </c>
    </row>
    <row r="346" customFormat="false" ht="15" hidden="false" customHeight="false" outlineLevel="0" collapsed="false">
      <c r="A346" s="0" t="s">
        <v>117</v>
      </c>
      <c r="B346" s="0" t="s">
        <v>236</v>
      </c>
      <c r="C346" s="15" t="n">
        <v>0.00247753769874887</v>
      </c>
    </row>
    <row r="347" customFormat="false" ht="15" hidden="false" customHeight="false" outlineLevel="0" collapsed="false">
      <c r="A347" s="0" t="s">
        <v>118</v>
      </c>
      <c r="B347" s="0" t="s">
        <v>232</v>
      </c>
      <c r="C347" s="15" t="n">
        <v>0.0435338767065874</v>
      </c>
    </row>
    <row r="348" customFormat="false" ht="15" hidden="false" customHeight="false" outlineLevel="0" collapsed="false">
      <c r="A348" s="0" t="s">
        <v>118</v>
      </c>
      <c r="B348" s="0" t="s">
        <v>233</v>
      </c>
      <c r="C348" s="15" t="n">
        <v>0.0378709333951614</v>
      </c>
    </row>
    <row r="349" customFormat="false" ht="15" hidden="false" customHeight="false" outlineLevel="0" collapsed="false">
      <c r="A349" s="0" t="s">
        <v>118</v>
      </c>
      <c r="B349" s="0" t="s">
        <v>234</v>
      </c>
      <c r="C349" s="15" t="n">
        <v>0.0134494903646368</v>
      </c>
    </row>
    <row r="350" customFormat="false" ht="15" hidden="false" customHeight="false" outlineLevel="0" collapsed="false">
      <c r="A350" s="0" t="s">
        <v>118</v>
      </c>
      <c r="B350" s="0" t="s">
        <v>235</v>
      </c>
      <c r="C350" s="15" t="n">
        <v>0.00353933956964125</v>
      </c>
    </row>
    <row r="351" customFormat="false" ht="15" hidden="false" customHeight="false" outlineLevel="0" collapsed="false">
      <c r="A351" s="0" t="s">
        <v>118</v>
      </c>
      <c r="B351" s="0" t="s">
        <v>236</v>
      </c>
      <c r="C351" s="15" t="n">
        <v>0.00247753769874887</v>
      </c>
    </row>
    <row r="352" customFormat="false" ht="15" hidden="false" customHeight="false" outlineLevel="0" collapsed="false">
      <c r="A352" s="0" t="s">
        <v>119</v>
      </c>
      <c r="B352" s="0" t="s">
        <v>232</v>
      </c>
      <c r="C352" s="15" t="n">
        <v>0.0435338767065874</v>
      </c>
    </row>
    <row r="353" customFormat="false" ht="15" hidden="false" customHeight="false" outlineLevel="0" collapsed="false">
      <c r="A353" s="0" t="s">
        <v>119</v>
      </c>
      <c r="B353" s="0" t="s">
        <v>233</v>
      </c>
      <c r="C353" s="15" t="n">
        <v>0.0378709333951614</v>
      </c>
    </row>
    <row r="354" customFormat="false" ht="15" hidden="false" customHeight="false" outlineLevel="0" collapsed="false">
      <c r="A354" s="0" t="s">
        <v>119</v>
      </c>
      <c r="B354" s="0" t="s">
        <v>234</v>
      </c>
      <c r="C354" s="15" t="n">
        <v>0.0134494903646368</v>
      </c>
    </row>
    <row r="355" customFormat="false" ht="15" hidden="false" customHeight="false" outlineLevel="0" collapsed="false">
      <c r="A355" s="0" t="s">
        <v>119</v>
      </c>
      <c r="B355" s="0" t="s">
        <v>235</v>
      </c>
      <c r="C355" s="15" t="n">
        <v>0.00353933956964125</v>
      </c>
    </row>
    <row r="356" customFormat="false" ht="15" hidden="false" customHeight="false" outlineLevel="0" collapsed="false">
      <c r="A356" s="0" t="s">
        <v>119</v>
      </c>
      <c r="B356" s="0" t="s">
        <v>236</v>
      </c>
      <c r="C356" s="15" t="n">
        <v>0.00247753769874887</v>
      </c>
    </row>
    <row r="357" customFormat="false" ht="15" hidden="false" customHeight="false" outlineLevel="0" collapsed="false">
      <c r="A357" s="0" t="s">
        <v>120</v>
      </c>
      <c r="B357" s="0" t="s">
        <v>232</v>
      </c>
      <c r="C357" s="15" t="n">
        <v>0.0435338767065874</v>
      </c>
    </row>
    <row r="358" customFormat="false" ht="15" hidden="false" customHeight="false" outlineLevel="0" collapsed="false">
      <c r="A358" s="0" t="s">
        <v>120</v>
      </c>
      <c r="B358" s="0" t="s">
        <v>233</v>
      </c>
      <c r="C358" s="15" t="n">
        <v>0.0378709333951614</v>
      </c>
    </row>
    <row r="359" customFormat="false" ht="15" hidden="false" customHeight="false" outlineLevel="0" collapsed="false">
      <c r="A359" s="0" t="s">
        <v>120</v>
      </c>
      <c r="B359" s="0" t="s">
        <v>234</v>
      </c>
      <c r="C359" s="15" t="n">
        <v>0.0134494903646368</v>
      </c>
    </row>
    <row r="360" customFormat="false" ht="15" hidden="false" customHeight="false" outlineLevel="0" collapsed="false">
      <c r="A360" s="0" t="s">
        <v>120</v>
      </c>
      <c r="B360" s="0" t="s">
        <v>235</v>
      </c>
      <c r="C360" s="15" t="n">
        <v>0.00353933956964125</v>
      </c>
    </row>
    <row r="361" customFormat="false" ht="15" hidden="false" customHeight="false" outlineLevel="0" collapsed="false">
      <c r="A361" s="0" t="s">
        <v>120</v>
      </c>
      <c r="B361" s="0" t="s">
        <v>236</v>
      </c>
      <c r="C361" s="15" t="n">
        <v>0.00247753769874887</v>
      </c>
    </row>
    <row r="362" customFormat="false" ht="15" hidden="false" customHeight="false" outlineLevel="0" collapsed="false">
      <c r="A362" s="0" t="s">
        <v>121</v>
      </c>
      <c r="B362" s="0" t="s">
        <v>232</v>
      </c>
      <c r="C362" s="15" t="n">
        <v>0.0435338767065874</v>
      </c>
    </row>
    <row r="363" customFormat="false" ht="15" hidden="false" customHeight="false" outlineLevel="0" collapsed="false">
      <c r="A363" s="0" t="s">
        <v>121</v>
      </c>
      <c r="B363" s="0" t="s">
        <v>233</v>
      </c>
      <c r="C363" s="15" t="n">
        <v>0.0378709333951614</v>
      </c>
    </row>
    <row r="364" customFormat="false" ht="15" hidden="false" customHeight="false" outlineLevel="0" collapsed="false">
      <c r="A364" s="0" t="s">
        <v>121</v>
      </c>
      <c r="B364" s="0" t="s">
        <v>234</v>
      </c>
      <c r="C364" s="15" t="n">
        <v>0.0134494903646368</v>
      </c>
    </row>
    <row r="365" customFormat="false" ht="15" hidden="false" customHeight="false" outlineLevel="0" collapsed="false">
      <c r="A365" s="0" t="s">
        <v>121</v>
      </c>
      <c r="B365" s="0" t="s">
        <v>235</v>
      </c>
      <c r="C365" s="15" t="n">
        <v>0.00353933956964125</v>
      </c>
    </row>
    <row r="366" customFormat="false" ht="15" hidden="false" customHeight="false" outlineLevel="0" collapsed="false">
      <c r="A366" s="0" t="s">
        <v>121</v>
      </c>
      <c r="B366" s="0" t="s">
        <v>236</v>
      </c>
      <c r="C366" s="15" t="n">
        <v>0.00247753769874887</v>
      </c>
    </row>
    <row r="367" customFormat="false" ht="15" hidden="false" customHeight="false" outlineLevel="0" collapsed="false">
      <c r="A367" s="0" t="s">
        <v>122</v>
      </c>
      <c r="B367" s="0" t="s">
        <v>232</v>
      </c>
      <c r="C367" s="15" t="n">
        <v>0.0435338767065874</v>
      </c>
    </row>
    <row r="368" customFormat="false" ht="15" hidden="false" customHeight="false" outlineLevel="0" collapsed="false">
      <c r="A368" s="0" t="s">
        <v>122</v>
      </c>
      <c r="B368" s="0" t="s">
        <v>233</v>
      </c>
      <c r="C368" s="15" t="n">
        <v>0.0378709333951614</v>
      </c>
    </row>
    <row r="369" customFormat="false" ht="15" hidden="false" customHeight="false" outlineLevel="0" collapsed="false">
      <c r="A369" s="0" t="s">
        <v>122</v>
      </c>
      <c r="B369" s="0" t="s">
        <v>234</v>
      </c>
      <c r="C369" s="15" t="n">
        <v>0.0134494903646368</v>
      </c>
    </row>
    <row r="370" customFormat="false" ht="15" hidden="false" customHeight="false" outlineLevel="0" collapsed="false">
      <c r="A370" s="0" t="s">
        <v>122</v>
      </c>
      <c r="B370" s="0" t="s">
        <v>235</v>
      </c>
      <c r="C370" s="15" t="n">
        <v>0.00353933956964125</v>
      </c>
    </row>
    <row r="371" customFormat="false" ht="15" hidden="false" customHeight="false" outlineLevel="0" collapsed="false">
      <c r="A371" s="0" t="s">
        <v>122</v>
      </c>
      <c r="B371" s="0" t="s">
        <v>236</v>
      </c>
      <c r="C371" s="15" t="n">
        <v>0.00247753769874887</v>
      </c>
    </row>
    <row r="372" customFormat="false" ht="15" hidden="false" customHeight="false" outlineLevel="0" collapsed="false">
      <c r="A372" s="0" t="s">
        <v>123</v>
      </c>
      <c r="B372" s="0" t="s">
        <v>232</v>
      </c>
      <c r="C372" s="15" t="n">
        <v>0.0435338767065874</v>
      </c>
    </row>
    <row r="373" customFormat="false" ht="15" hidden="false" customHeight="false" outlineLevel="0" collapsed="false">
      <c r="A373" s="0" t="s">
        <v>123</v>
      </c>
      <c r="B373" s="0" t="s">
        <v>233</v>
      </c>
      <c r="C373" s="15" t="n">
        <v>0.0378709333951614</v>
      </c>
    </row>
    <row r="374" customFormat="false" ht="15" hidden="false" customHeight="false" outlineLevel="0" collapsed="false">
      <c r="A374" s="0" t="s">
        <v>123</v>
      </c>
      <c r="B374" s="0" t="s">
        <v>234</v>
      </c>
      <c r="C374" s="15" t="n">
        <v>0.0134494903646368</v>
      </c>
    </row>
    <row r="375" customFormat="false" ht="15" hidden="false" customHeight="false" outlineLevel="0" collapsed="false">
      <c r="A375" s="0" t="s">
        <v>123</v>
      </c>
      <c r="B375" s="0" t="s">
        <v>235</v>
      </c>
      <c r="C375" s="15" t="n">
        <v>0.00353933956964125</v>
      </c>
    </row>
    <row r="376" customFormat="false" ht="15" hidden="false" customHeight="false" outlineLevel="0" collapsed="false">
      <c r="A376" s="0" t="s">
        <v>123</v>
      </c>
      <c r="B376" s="0" t="s">
        <v>236</v>
      </c>
      <c r="C376" s="15" t="n">
        <v>0.00247753769874887</v>
      </c>
    </row>
    <row r="377" customFormat="false" ht="15" hidden="false" customHeight="false" outlineLevel="0" collapsed="false">
      <c r="A377" s="0" t="s">
        <v>124</v>
      </c>
      <c r="B377" s="0" t="s">
        <v>232</v>
      </c>
      <c r="C377" s="15" t="n">
        <v>0.0435338767065874</v>
      </c>
    </row>
    <row r="378" customFormat="false" ht="15" hidden="false" customHeight="false" outlineLevel="0" collapsed="false">
      <c r="A378" s="0" t="s">
        <v>124</v>
      </c>
      <c r="B378" s="0" t="s">
        <v>233</v>
      </c>
      <c r="C378" s="15" t="n">
        <v>0.0378709333951614</v>
      </c>
    </row>
    <row r="379" customFormat="false" ht="15" hidden="false" customHeight="false" outlineLevel="0" collapsed="false">
      <c r="A379" s="0" t="s">
        <v>124</v>
      </c>
      <c r="B379" s="0" t="s">
        <v>234</v>
      </c>
      <c r="C379" s="15" t="n">
        <v>0.0134494903646368</v>
      </c>
    </row>
    <row r="380" customFormat="false" ht="15" hidden="false" customHeight="false" outlineLevel="0" collapsed="false">
      <c r="A380" s="0" t="s">
        <v>124</v>
      </c>
      <c r="B380" s="0" t="s">
        <v>235</v>
      </c>
      <c r="C380" s="15" t="n">
        <v>0.00353933956964125</v>
      </c>
    </row>
    <row r="381" customFormat="false" ht="15" hidden="false" customHeight="false" outlineLevel="0" collapsed="false">
      <c r="A381" s="0" t="s">
        <v>124</v>
      </c>
      <c r="B381" s="0" t="s">
        <v>236</v>
      </c>
      <c r="C381" s="15" t="n">
        <v>0.00247753769874887</v>
      </c>
    </row>
    <row r="382" customFormat="false" ht="15" hidden="false" customHeight="false" outlineLevel="0" collapsed="false">
      <c r="A382" s="0" t="s">
        <v>125</v>
      </c>
      <c r="B382" s="0" t="s">
        <v>232</v>
      </c>
      <c r="C382" s="15" t="n">
        <v>0.0435338767065874</v>
      </c>
    </row>
    <row r="383" customFormat="false" ht="15" hidden="false" customHeight="false" outlineLevel="0" collapsed="false">
      <c r="A383" s="0" t="s">
        <v>125</v>
      </c>
      <c r="B383" s="0" t="s">
        <v>233</v>
      </c>
      <c r="C383" s="15" t="n">
        <v>0.0378709333951614</v>
      </c>
    </row>
    <row r="384" customFormat="false" ht="15" hidden="false" customHeight="false" outlineLevel="0" collapsed="false">
      <c r="A384" s="0" t="s">
        <v>125</v>
      </c>
      <c r="B384" s="0" t="s">
        <v>234</v>
      </c>
      <c r="C384" s="15" t="n">
        <v>0.0134494903646368</v>
      </c>
    </row>
    <row r="385" customFormat="false" ht="15" hidden="false" customHeight="false" outlineLevel="0" collapsed="false">
      <c r="A385" s="0" t="s">
        <v>125</v>
      </c>
      <c r="B385" s="0" t="s">
        <v>235</v>
      </c>
      <c r="C385" s="15" t="n">
        <v>0.00353933956964125</v>
      </c>
    </row>
    <row r="386" customFormat="false" ht="15" hidden="false" customHeight="false" outlineLevel="0" collapsed="false">
      <c r="A386" s="0" t="s">
        <v>125</v>
      </c>
      <c r="B386" s="0" t="s">
        <v>236</v>
      </c>
      <c r="C386" s="15" t="n">
        <v>0.00247753769874887</v>
      </c>
    </row>
    <row r="387" customFormat="false" ht="15" hidden="false" customHeight="false" outlineLevel="0" collapsed="false">
      <c r="A387" s="0" t="s">
        <v>126</v>
      </c>
      <c r="B387" s="0" t="s">
        <v>232</v>
      </c>
      <c r="C387" s="15" t="n">
        <v>0.0435338767065874</v>
      </c>
    </row>
    <row r="388" customFormat="false" ht="15" hidden="false" customHeight="false" outlineLevel="0" collapsed="false">
      <c r="A388" s="0" t="s">
        <v>126</v>
      </c>
      <c r="B388" s="0" t="s">
        <v>233</v>
      </c>
      <c r="C388" s="15" t="n">
        <v>0.0378709333951614</v>
      </c>
    </row>
    <row r="389" customFormat="false" ht="15" hidden="false" customHeight="false" outlineLevel="0" collapsed="false">
      <c r="A389" s="0" t="s">
        <v>126</v>
      </c>
      <c r="B389" s="0" t="s">
        <v>234</v>
      </c>
      <c r="C389" s="15" t="n">
        <v>0.0134494903646368</v>
      </c>
    </row>
    <row r="390" customFormat="false" ht="15" hidden="false" customHeight="false" outlineLevel="0" collapsed="false">
      <c r="A390" s="0" t="s">
        <v>126</v>
      </c>
      <c r="B390" s="0" t="s">
        <v>235</v>
      </c>
      <c r="C390" s="15" t="n">
        <v>0.00353933956964125</v>
      </c>
    </row>
    <row r="391" customFormat="false" ht="15" hidden="false" customHeight="false" outlineLevel="0" collapsed="false">
      <c r="A391" s="0" t="s">
        <v>126</v>
      </c>
      <c r="B391" s="0" t="s">
        <v>236</v>
      </c>
      <c r="C391" s="15" t="n">
        <v>0.00247753769874887</v>
      </c>
    </row>
    <row r="392" customFormat="false" ht="15" hidden="false" customHeight="false" outlineLevel="0" collapsed="false">
      <c r="A392" s="0" t="s">
        <v>127</v>
      </c>
      <c r="B392" s="0" t="s">
        <v>232</v>
      </c>
      <c r="C392" s="15" t="n">
        <v>0.0435338767065874</v>
      </c>
    </row>
    <row r="393" customFormat="false" ht="15" hidden="false" customHeight="false" outlineLevel="0" collapsed="false">
      <c r="A393" s="0" t="s">
        <v>127</v>
      </c>
      <c r="B393" s="0" t="s">
        <v>233</v>
      </c>
      <c r="C393" s="15" t="n">
        <v>0.0378709333951614</v>
      </c>
    </row>
    <row r="394" customFormat="false" ht="15" hidden="false" customHeight="false" outlineLevel="0" collapsed="false">
      <c r="A394" s="0" t="s">
        <v>127</v>
      </c>
      <c r="B394" s="0" t="s">
        <v>234</v>
      </c>
      <c r="C394" s="15" t="n">
        <v>0.0134494903646368</v>
      </c>
    </row>
    <row r="395" customFormat="false" ht="15" hidden="false" customHeight="false" outlineLevel="0" collapsed="false">
      <c r="A395" s="0" t="s">
        <v>127</v>
      </c>
      <c r="B395" s="0" t="s">
        <v>235</v>
      </c>
      <c r="C395" s="15" t="n">
        <v>0.00353933956964125</v>
      </c>
    </row>
    <row r="396" customFormat="false" ht="15" hidden="false" customHeight="false" outlineLevel="0" collapsed="false">
      <c r="A396" s="0" t="s">
        <v>127</v>
      </c>
      <c r="B396" s="0" t="s">
        <v>236</v>
      </c>
      <c r="C396" s="15" t="n">
        <v>0.00247753769874887</v>
      </c>
    </row>
    <row r="397" customFormat="false" ht="15" hidden="false" customHeight="false" outlineLevel="0" collapsed="false">
      <c r="A397" s="0" t="s">
        <v>128</v>
      </c>
      <c r="B397" s="0" t="s">
        <v>232</v>
      </c>
      <c r="C397" s="15" t="n">
        <v>0.0435338767065874</v>
      </c>
    </row>
    <row r="398" customFormat="false" ht="15" hidden="false" customHeight="false" outlineLevel="0" collapsed="false">
      <c r="A398" s="0" t="s">
        <v>128</v>
      </c>
      <c r="B398" s="0" t="s">
        <v>233</v>
      </c>
      <c r="C398" s="15" t="n">
        <v>0.0378709333951614</v>
      </c>
    </row>
    <row r="399" customFormat="false" ht="15" hidden="false" customHeight="false" outlineLevel="0" collapsed="false">
      <c r="A399" s="0" t="s">
        <v>128</v>
      </c>
      <c r="B399" s="0" t="s">
        <v>234</v>
      </c>
      <c r="C399" s="15" t="n">
        <v>0.0134494903646368</v>
      </c>
    </row>
    <row r="400" customFormat="false" ht="15" hidden="false" customHeight="false" outlineLevel="0" collapsed="false">
      <c r="A400" s="0" t="s">
        <v>128</v>
      </c>
      <c r="B400" s="0" t="s">
        <v>235</v>
      </c>
      <c r="C400" s="15" t="n">
        <v>0.00353933956964125</v>
      </c>
    </row>
    <row r="401" customFormat="false" ht="15" hidden="false" customHeight="false" outlineLevel="0" collapsed="false">
      <c r="A401" s="0" t="s">
        <v>128</v>
      </c>
      <c r="B401" s="0" t="s">
        <v>236</v>
      </c>
      <c r="C401" s="15" t="n">
        <v>0.00247753769874887</v>
      </c>
    </row>
    <row r="402" customFormat="false" ht="15" hidden="false" customHeight="false" outlineLevel="0" collapsed="false">
      <c r="A402" s="0" t="s">
        <v>129</v>
      </c>
      <c r="B402" s="0" t="s">
        <v>232</v>
      </c>
      <c r="C402" s="15" t="n">
        <v>0.0435338767065874</v>
      </c>
    </row>
    <row r="403" customFormat="false" ht="15" hidden="false" customHeight="false" outlineLevel="0" collapsed="false">
      <c r="A403" s="0" t="s">
        <v>129</v>
      </c>
      <c r="B403" s="0" t="s">
        <v>233</v>
      </c>
      <c r="C403" s="15" t="n">
        <v>0.0378709333951614</v>
      </c>
    </row>
    <row r="404" customFormat="false" ht="15" hidden="false" customHeight="false" outlineLevel="0" collapsed="false">
      <c r="A404" s="0" t="s">
        <v>129</v>
      </c>
      <c r="B404" s="0" t="s">
        <v>234</v>
      </c>
      <c r="C404" s="15" t="n">
        <v>0.0134494903646368</v>
      </c>
    </row>
    <row r="405" customFormat="false" ht="15" hidden="false" customHeight="false" outlineLevel="0" collapsed="false">
      <c r="A405" s="0" t="s">
        <v>129</v>
      </c>
      <c r="B405" s="0" t="s">
        <v>235</v>
      </c>
      <c r="C405" s="15" t="n">
        <v>0.00353933956964125</v>
      </c>
    </row>
    <row r="406" customFormat="false" ht="15" hidden="false" customHeight="false" outlineLevel="0" collapsed="false">
      <c r="A406" s="0" t="s">
        <v>129</v>
      </c>
      <c r="B406" s="0" t="s">
        <v>236</v>
      </c>
      <c r="C406" s="15" t="n">
        <v>0.00247753769874887</v>
      </c>
    </row>
    <row r="407" customFormat="false" ht="15" hidden="false" customHeight="false" outlineLevel="0" collapsed="false">
      <c r="A407" s="0" t="s">
        <v>130</v>
      </c>
      <c r="B407" s="0" t="s">
        <v>232</v>
      </c>
      <c r="C407" s="15" t="n">
        <v>0.0435338767065874</v>
      </c>
    </row>
    <row r="408" customFormat="false" ht="15" hidden="false" customHeight="false" outlineLevel="0" collapsed="false">
      <c r="A408" s="0" t="s">
        <v>130</v>
      </c>
      <c r="B408" s="0" t="s">
        <v>233</v>
      </c>
      <c r="C408" s="15" t="n">
        <v>0.0378709333951614</v>
      </c>
    </row>
    <row r="409" customFormat="false" ht="15" hidden="false" customHeight="false" outlineLevel="0" collapsed="false">
      <c r="A409" s="0" t="s">
        <v>130</v>
      </c>
      <c r="B409" s="0" t="s">
        <v>234</v>
      </c>
      <c r="C409" s="15" t="n">
        <v>0.0134494903646368</v>
      </c>
    </row>
    <row r="410" customFormat="false" ht="15" hidden="false" customHeight="false" outlineLevel="0" collapsed="false">
      <c r="A410" s="0" t="s">
        <v>130</v>
      </c>
      <c r="B410" s="0" t="s">
        <v>235</v>
      </c>
      <c r="C410" s="15" t="n">
        <v>0.00353933956964125</v>
      </c>
    </row>
    <row r="411" customFormat="false" ht="15" hidden="false" customHeight="false" outlineLevel="0" collapsed="false">
      <c r="A411" s="0" t="s">
        <v>130</v>
      </c>
      <c r="B411" s="0" t="s">
        <v>236</v>
      </c>
      <c r="C411" s="15" t="n">
        <v>0.00247753769874887</v>
      </c>
    </row>
    <row r="412" customFormat="false" ht="15" hidden="false" customHeight="false" outlineLevel="0" collapsed="false">
      <c r="A412" s="0" t="s">
        <v>131</v>
      </c>
      <c r="B412" s="0" t="s">
        <v>232</v>
      </c>
      <c r="C412" s="15" t="n">
        <v>0.0435338767065874</v>
      </c>
    </row>
    <row r="413" customFormat="false" ht="15" hidden="false" customHeight="false" outlineLevel="0" collapsed="false">
      <c r="A413" s="0" t="s">
        <v>131</v>
      </c>
      <c r="B413" s="0" t="s">
        <v>233</v>
      </c>
      <c r="C413" s="15" t="n">
        <v>0.0378709333951614</v>
      </c>
    </row>
    <row r="414" customFormat="false" ht="15" hidden="false" customHeight="false" outlineLevel="0" collapsed="false">
      <c r="A414" s="0" t="s">
        <v>131</v>
      </c>
      <c r="B414" s="0" t="s">
        <v>234</v>
      </c>
      <c r="C414" s="15" t="n">
        <v>0.0134494903646368</v>
      </c>
    </row>
    <row r="415" customFormat="false" ht="15" hidden="false" customHeight="false" outlineLevel="0" collapsed="false">
      <c r="A415" s="0" t="s">
        <v>131</v>
      </c>
      <c r="B415" s="0" t="s">
        <v>235</v>
      </c>
      <c r="C415" s="15" t="n">
        <v>0.00353933956964125</v>
      </c>
    </row>
    <row r="416" customFormat="false" ht="15" hidden="false" customHeight="false" outlineLevel="0" collapsed="false">
      <c r="A416" s="0" t="s">
        <v>131</v>
      </c>
      <c r="B416" s="0" t="s">
        <v>236</v>
      </c>
      <c r="C416" s="15" t="n">
        <v>0.00247753769874887</v>
      </c>
    </row>
    <row r="417" customFormat="false" ht="15" hidden="false" customHeight="false" outlineLevel="0" collapsed="false">
      <c r="A417" s="0" t="s">
        <v>132</v>
      </c>
      <c r="B417" s="0" t="s">
        <v>232</v>
      </c>
      <c r="C417" s="15" t="n">
        <v>0.0435338767065874</v>
      </c>
    </row>
    <row r="418" customFormat="false" ht="15" hidden="false" customHeight="false" outlineLevel="0" collapsed="false">
      <c r="A418" s="0" t="s">
        <v>132</v>
      </c>
      <c r="B418" s="0" t="s">
        <v>233</v>
      </c>
      <c r="C418" s="15" t="n">
        <v>0.0378709333951614</v>
      </c>
    </row>
    <row r="419" customFormat="false" ht="15" hidden="false" customHeight="false" outlineLevel="0" collapsed="false">
      <c r="A419" s="0" t="s">
        <v>132</v>
      </c>
      <c r="B419" s="0" t="s">
        <v>234</v>
      </c>
      <c r="C419" s="15" t="n">
        <v>0.0134494903646368</v>
      </c>
    </row>
    <row r="420" customFormat="false" ht="15" hidden="false" customHeight="false" outlineLevel="0" collapsed="false">
      <c r="A420" s="0" t="s">
        <v>132</v>
      </c>
      <c r="B420" s="0" t="s">
        <v>235</v>
      </c>
      <c r="C420" s="15" t="n">
        <v>0.00353933956964125</v>
      </c>
    </row>
    <row r="421" customFormat="false" ht="15" hidden="false" customHeight="false" outlineLevel="0" collapsed="false">
      <c r="A421" s="0" t="s">
        <v>132</v>
      </c>
      <c r="B421" s="0" t="s">
        <v>236</v>
      </c>
      <c r="C421" s="15" t="n">
        <v>0.00247753769874887</v>
      </c>
    </row>
    <row r="422" customFormat="false" ht="15" hidden="false" customHeight="false" outlineLevel="0" collapsed="false">
      <c r="A422" s="0" t="s">
        <v>133</v>
      </c>
      <c r="B422" s="0" t="s">
        <v>232</v>
      </c>
      <c r="C422" s="15" t="n">
        <v>0.0435338767065874</v>
      </c>
    </row>
    <row r="423" customFormat="false" ht="15" hidden="false" customHeight="false" outlineLevel="0" collapsed="false">
      <c r="A423" s="0" t="s">
        <v>133</v>
      </c>
      <c r="B423" s="0" t="s">
        <v>233</v>
      </c>
      <c r="C423" s="15" t="n">
        <v>0.0378709333951614</v>
      </c>
    </row>
    <row r="424" customFormat="false" ht="15" hidden="false" customHeight="false" outlineLevel="0" collapsed="false">
      <c r="A424" s="0" t="s">
        <v>133</v>
      </c>
      <c r="B424" s="0" t="s">
        <v>234</v>
      </c>
      <c r="C424" s="15" t="n">
        <v>0.0134494903646368</v>
      </c>
    </row>
    <row r="425" customFormat="false" ht="15" hidden="false" customHeight="false" outlineLevel="0" collapsed="false">
      <c r="A425" s="0" t="s">
        <v>133</v>
      </c>
      <c r="B425" s="0" t="s">
        <v>235</v>
      </c>
      <c r="C425" s="15" t="n">
        <v>0.00353933956964125</v>
      </c>
    </row>
    <row r="426" customFormat="false" ht="15" hidden="false" customHeight="false" outlineLevel="0" collapsed="false">
      <c r="A426" s="0" t="s">
        <v>133</v>
      </c>
      <c r="B426" s="0" t="s">
        <v>236</v>
      </c>
      <c r="C426" s="15" t="n">
        <v>0.00247753769874887</v>
      </c>
    </row>
    <row r="427" customFormat="false" ht="15" hidden="false" customHeight="false" outlineLevel="0" collapsed="false">
      <c r="A427" s="0" t="s">
        <v>134</v>
      </c>
      <c r="B427" s="0" t="s">
        <v>232</v>
      </c>
      <c r="C427" s="15" t="n">
        <v>0.0435338767065874</v>
      </c>
    </row>
    <row r="428" customFormat="false" ht="15" hidden="false" customHeight="false" outlineLevel="0" collapsed="false">
      <c r="A428" s="0" t="s">
        <v>134</v>
      </c>
      <c r="B428" s="0" t="s">
        <v>233</v>
      </c>
      <c r="C428" s="15" t="n">
        <v>0.0378709333951614</v>
      </c>
    </row>
    <row r="429" customFormat="false" ht="15" hidden="false" customHeight="false" outlineLevel="0" collapsed="false">
      <c r="A429" s="0" t="s">
        <v>134</v>
      </c>
      <c r="B429" s="0" t="s">
        <v>234</v>
      </c>
      <c r="C429" s="15" t="n">
        <v>0.0134494903646368</v>
      </c>
    </row>
    <row r="430" customFormat="false" ht="15" hidden="false" customHeight="false" outlineLevel="0" collapsed="false">
      <c r="A430" s="0" t="s">
        <v>134</v>
      </c>
      <c r="B430" s="0" t="s">
        <v>235</v>
      </c>
      <c r="C430" s="15" t="n">
        <v>0.00353933956964125</v>
      </c>
    </row>
    <row r="431" customFormat="false" ht="15" hidden="false" customHeight="false" outlineLevel="0" collapsed="false">
      <c r="A431" s="0" t="s">
        <v>134</v>
      </c>
      <c r="B431" s="0" t="s">
        <v>236</v>
      </c>
      <c r="C431" s="15" t="n">
        <v>0.00247753769874887</v>
      </c>
    </row>
    <row r="432" customFormat="false" ht="15" hidden="false" customHeight="false" outlineLevel="0" collapsed="false">
      <c r="A432" s="0" t="s">
        <v>135</v>
      </c>
      <c r="B432" s="0" t="s">
        <v>232</v>
      </c>
      <c r="C432" s="15" t="n">
        <v>0.0435338767065874</v>
      </c>
    </row>
    <row r="433" customFormat="false" ht="15" hidden="false" customHeight="false" outlineLevel="0" collapsed="false">
      <c r="A433" s="0" t="s">
        <v>135</v>
      </c>
      <c r="B433" s="0" t="s">
        <v>233</v>
      </c>
      <c r="C433" s="15" t="n">
        <v>0.0378709333951614</v>
      </c>
    </row>
    <row r="434" customFormat="false" ht="15" hidden="false" customHeight="false" outlineLevel="0" collapsed="false">
      <c r="A434" s="0" t="s">
        <v>135</v>
      </c>
      <c r="B434" s="0" t="s">
        <v>234</v>
      </c>
      <c r="C434" s="15" t="n">
        <v>0.0134494903646368</v>
      </c>
    </row>
    <row r="435" customFormat="false" ht="15" hidden="false" customHeight="false" outlineLevel="0" collapsed="false">
      <c r="A435" s="0" t="s">
        <v>135</v>
      </c>
      <c r="B435" s="0" t="s">
        <v>235</v>
      </c>
      <c r="C435" s="15" t="n">
        <v>0.00353933956964125</v>
      </c>
    </row>
    <row r="436" customFormat="false" ht="15" hidden="false" customHeight="false" outlineLevel="0" collapsed="false">
      <c r="A436" s="0" t="s">
        <v>135</v>
      </c>
      <c r="B436" s="0" t="s">
        <v>236</v>
      </c>
      <c r="C436" s="15" t="n">
        <v>0.00247753769874887</v>
      </c>
    </row>
    <row r="437" customFormat="false" ht="15" hidden="false" customHeight="false" outlineLevel="0" collapsed="false">
      <c r="A437" s="0" t="s">
        <v>136</v>
      </c>
      <c r="B437" s="0" t="s">
        <v>232</v>
      </c>
      <c r="C437" s="15" t="n">
        <v>0.0435338767065874</v>
      </c>
    </row>
    <row r="438" customFormat="false" ht="15" hidden="false" customHeight="false" outlineLevel="0" collapsed="false">
      <c r="A438" s="0" t="s">
        <v>136</v>
      </c>
      <c r="B438" s="0" t="s">
        <v>233</v>
      </c>
      <c r="C438" s="15" t="n">
        <v>0.0378709333951614</v>
      </c>
    </row>
    <row r="439" customFormat="false" ht="15" hidden="false" customHeight="false" outlineLevel="0" collapsed="false">
      <c r="A439" s="0" t="s">
        <v>136</v>
      </c>
      <c r="B439" s="0" t="s">
        <v>234</v>
      </c>
      <c r="C439" s="15" t="n">
        <v>0.0134494903646368</v>
      </c>
    </row>
    <row r="440" customFormat="false" ht="15" hidden="false" customHeight="false" outlineLevel="0" collapsed="false">
      <c r="A440" s="0" t="s">
        <v>136</v>
      </c>
      <c r="B440" s="0" t="s">
        <v>235</v>
      </c>
      <c r="C440" s="15" t="n">
        <v>0.00353933956964125</v>
      </c>
    </row>
    <row r="441" customFormat="false" ht="15" hidden="false" customHeight="false" outlineLevel="0" collapsed="false">
      <c r="A441" s="0" t="s">
        <v>136</v>
      </c>
      <c r="B441" s="0" t="s">
        <v>236</v>
      </c>
      <c r="C441" s="15" t="n">
        <v>0.00247753769874887</v>
      </c>
    </row>
    <row r="442" customFormat="false" ht="15" hidden="false" customHeight="false" outlineLevel="0" collapsed="false">
      <c r="A442" s="0" t="s">
        <v>137</v>
      </c>
      <c r="B442" s="0" t="s">
        <v>232</v>
      </c>
      <c r="C442" s="15" t="n">
        <v>0.0435338767065874</v>
      </c>
    </row>
    <row r="443" customFormat="false" ht="15" hidden="false" customHeight="false" outlineLevel="0" collapsed="false">
      <c r="A443" s="0" t="s">
        <v>137</v>
      </c>
      <c r="B443" s="0" t="s">
        <v>233</v>
      </c>
      <c r="C443" s="15" t="n">
        <v>0.0378709333951614</v>
      </c>
    </row>
    <row r="444" customFormat="false" ht="15" hidden="false" customHeight="false" outlineLevel="0" collapsed="false">
      <c r="A444" s="0" t="s">
        <v>137</v>
      </c>
      <c r="B444" s="0" t="s">
        <v>234</v>
      </c>
      <c r="C444" s="15" t="n">
        <v>0.0134494903646368</v>
      </c>
    </row>
    <row r="445" customFormat="false" ht="15" hidden="false" customHeight="false" outlineLevel="0" collapsed="false">
      <c r="A445" s="0" t="s">
        <v>137</v>
      </c>
      <c r="B445" s="0" t="s">
        <v>235</v>
      </c>
      <c r="C445" s="15" t="n">
        <v>0.00353933956964125</v>
      </c>
    </row>
    <row r="446" customFormat="false" ht="15" hidden="false" customHeight="false" outlineLevel="0" collapsed="false">
      <c r="A446" s="0" t="s">
        <v>137</v>
      </c>
      <c r="B446" s="0" t="s">
        <v>236</v>
      </c>
      <c r="C446" s="15" t="n">
        <v>0.00247753769874887</v>
      </c>
    </row>
    <row r="447" customFormat="false" ht="15" hidden="false" customHeight="false" outlineLevel="0" collapsed="false">
      <c r="A447" s="0" t="s">
        <v>138</v>
      </c>
      <c r="B447" s="0" t="s">
        <v>232</v>
      </c>
      <c r="C447" s="15" t="n">
        <v>0.0435338767065874</v>
      </c>
    </row>
    <row r="448" customFormat="false" ht="15" hidden="false" customHeight="false" outlineLevel="0" collapsed="false">
      <c r="A448" s="0" t="s">
        <v>138</v>
      </c>
      <c r="B448" s="0" t="s">
        <v>233</v>
      </c>
      <c r="C448" s="15" t="n">
        <v>0.0378709333951614</v>
      </c>
    </row>
    <row r="449" customFormat="false" ht="15" hidden="false" customHeight="false" outlineLevel="0" collapsed="false">
      <c r="A449" s="0" t="s">
        <v>138</v>
      </c>
      <c r="B449" s="0" t="s">
        <v>234</v>
      </c>
      <c r="C449" s="15" t="n">
        <v>0.0134494903646368</v>
      </c>
    </row>
    <row r="450" customFormat="false" ht="15" hidden="false" customHeight="false" outlineLevel="0" collapsed="false">
      <c r="A450" s="0" t="s">
        <v>138</v>
      </c>
      <c r="B450" s="0" t="s">
        <v>235</v>
      </c>
      <c r="C450" s="15" t="n">
        <v>0.00353933956964125</v>
      </c>
    </row>
    <row r="451" customFormat="false" ht="15" hidden="false" customHeight="false" outlineLevel="0" collapsed="false">
      <c r="A451" s="0" t="s">
        <v>138</v>
      </c>
      <c r="B451" s="0" t="s">
        <v>236</v>
      </c>
      <c r="C451" s="15" t="n">
        <v>0.00247753769874887</v>
      </c>
    </row>
    <row r="452" customFormat="false" ht="15" hidden="false" customHeight="false" outlineLevel="0" collapsed="false">
      <c r="A452" s="0" t="s">
        <v>139</v>
      </c>
      <c r="B452" s="0" t="s">
        <v>232</v>
      </c>
      <c r="C452" s="15" t="n">
        <v>0.0435338767065874</v>
      </c>
    </row>
    <row r="453" customFormat="false" ht="15" hidden="false" customHeight="false" outlineLevel="0" collapsed="false">
      <c r="A453" s="0" t="s">
        <v>139</v>
      </c>
      <c r="B453" s="0" t="s">
        <v>233</v>
      </c>
      <c r="C453" s="15" t="n">
        <v>0.0378709333951614</v>
      </c>
    </row>
    <row r="454" customFormat="false" ht="15" hidden="false" customHeight="false" outlineLevel="0" collapsed="false">
      <c r="A454" s="0" t="s">
        <v>139</v>
      </c>
      <c r="B454" s="0" t="s">
        <v>234</v>
      </c>
      <c r="C454" s="15" t="n">
        <v>0.0134494903646368</v>
      </c>
    </row>
    <row r="455" customFormat="false" ht="15" hidden="false" customHeight="false" outlineLevel="0" collapsed="false">
      <c r="A455" s="0" t="s">
        <v>139</v>
      </c>
      <c r="B455" s="0" t="s">
        <v>235</v>
      </c>
      <c r="C455" s="15" t="n">
        <v>0.00353933956964125</v>
      </c>
    </row>
    <row r="456" customFormat="false" ht="15" hidden="false" customHeight="false" outlineLevel="0" collapsed="false">
      <c r="A456" s="0" t="s">
        <v>139</v>
      </c>
      <c r="B456" s="0" t="s">
        <v>236</v>
      </c>
      <c r="C456" s="15" t="n">
        <v>0.00247753769874887</v>
      </c>
    </row>
    <row r="457" customFormat="false" ht="15" hidden="false" customHeight="false" outlineLevel="0" collapsed="false">
      <c r="A457" s="0" t="s">
        <v>140</v>
      </c>
      <c r="B457" s="0" t="s">
        <v>232</v>
      </c>
      <c r="C457" s="15" t="n">
        <v>0.0435338767065874</v>
      </c>
    </row>
    <row r="458" customFormat="false" ht="15" hidden="false" customHeight="false" outlineLevel="0" collapsed="false">
      <c r="A458" s="0" t="s">
        <v>140</v>
      </c>
      <c r="B458" s="0" t="s">
        <v>233</v>
      </c>
      <c r="C458" s="15" t="n">
        <v>0.0378709333951614</v>
      </c>
    </row>
    <row r="459" customFormat="false" ht="15" hidden="false" customHeight="false" outlineLevel="0" collapsed="false">
      <c r="A459" s="0" t="s">
        <v>140</v>
      </c>
      <c r="B459" s="0" t="s">
        <v>234</v>
      </c>
      <c r="C459" s="15" t="n">
        <v>0.0134494903646368</v>
      </c>
    </row>
    <row r="460" customFormat="false" ht="15" hidden="false" customHeight="false" outlineLevel="0" collapsed="false">
      <c r="A460" s="0" t="s">
        <v>140</v>
      </c>
      <c r="B460" s="0" t="s">
        <v>235</v>
      </c>
      <c r="C460" s="15" t="n">
        <v>0.00353933956964125</v>
      </c>
    </row>
    <row r="461" customFormat="false" ht="15" hidden="false" customHeight="false" outlineLevel="0" collapsed="false">
      <c r="A461" s="0" t="s">
        <v>140</v>
      </c>
      <c r="B461" s="0" t="s">
        <v>236</v>
      </c>
      <c r="C461" s="15" t="n">
        <v>0.00247753769874887</v>
      </c>
    </row>
    <row r="462" customFormat="false" ht="15" hidden="false" customHeight="false" outlineLevel="0" collapsed="false">
      <c r="A462" s="0" t="s">
        <v>141</v>
      </c>
      <c r="B462" s="0" t="s">
        <v>232</v>
      </c>
      <c r="C462" s="15" t="n">
        <v>0.0435338767065874</v>
      </c>
    </row>
    <row r="463" customFormat="false" ht="15" hidden="false" customHeight="false" outlineLevel="0" collapsed="false">
      <c r="A463" s="0" t="s">
        <v>141</v>
      </c>
      <c r="B463" s="0" t="s">
        <v>233</v>
      </c>
      <c r="C463" s="15" t="n">
        <v>0.0378709333951614</v>
      </c>
    </row>
    <row r="464" customFormat="false" ht="15" hidden="false" customHeight="false" outlineLevel="0" collapsed="false">
      <c r="A464" s="0" t="s">
        <v>141</v>
      </c>
      <c r="B464" s="0" t="s">
        <v>234</v>
      </c>
      <c r="C464" s="15" t="n">
        <v>0.0134494903646368</v>
      </c>
    </row>
    <row r="465" customFormat="false" ht="15" hidden="false" customHeight="false" outlineLevel="0" collapsed="false">
      <c r="A465" s="0" t="s">
        <v>141</v>
      </c>
      <c r="B465" s="0" t="s">
        <v>235</v>
      </c>
      <c r="C465" s="15" t="n">
        <v>0.00353933956964125</v>
      </c>
    </row>
    <row r="466" customFormat="false" ht="15" hidden="false" customHeight="false" outlineLevel="0" collapsed="false">
      <c r="A466" s="0" t="s">
        <v>141</v>
      </c>
      <c r="B466" s="0" t="s">
        <v>236</v>
      </c>
      <c r="C466" s="15" t="n">
        <v>0.00247753769874887</v>
      </c>
    </row>
    <row r="467" customFormat="false" ht="15" hidden="false" customHeight="false" outlineLevel="0" collapsed="false">
      <c r="A467" s="0" t="s">
        <v>142</v>
      </c>
      <c r="B467" s="0" t="s">
        <v>232</v>
      </c>
      <c r="C467" s="15" t="n">
        <v>0.0435338767065874</v>
      </c>
    </row>
    <row r="468" customFormat="false" ht="15" hidden="false" customHeight="false" outlineLevel="0" collapsed="false">
      <c r="A468" s="0" t="s">
        <v>142</v>
      </c>
      <c r="B468" s="0" t="s">
        <v>233</v>
      </c>
      <c r="C468" s="15" t="n">
        <v>0.0378709333951614</v>
      </c>
    </row>
    <row r="469" customFormat="false" ht="15" hidden="false" customHeight="false" outlineLevel="0" collapsed="false">
      <c r="A469" s="0" t="s">
        <v>142</v>
      </c>
      <c r="B469" s="0" t="s">
        <v>234</v>
      </c>
      <c r="C469" s="15" t="n">
        <v>0.0134494903646368</v>
      </c>
    </row>
    <row r="470" customFormat="false" ht="15" hidden="false" customHeight="false" outlineLevel="0" collapsed="false">
      <c r="A470" s="0" t="s">
        <v>142</v>
      </c>
      <c r="B470" s="0" t="s">
        <v>235</v>
      </c>
      <c r="C470" s="15" t="n">
        <v>0.00353933956964125</v>
      </c>
    </row>
    <row r="471" customFormat="false" ht="15" hidden="false" customHeight="false" outlineLevel="0" collapsed="false">
      <c r="A471" s="0" t="s">
        <v>142</v>
      </c>
      <c r="B471" s="0" t="s">
        <v>236</v>
      </c>
      <c r="C471" s="15" t="n">
        <v>0.00247753769874887</v>
      </c>
    </row>
    <row r="472" customFormat="false" ht="15" hidden="false" customHeight="false" outlineLevel="0" collapsed="false">
      <c r="A472" s="0" t="s">
        <v>143</v>
      </c>
      <c r="B472" s="0" t="s">
        <v>232</v>
      </c>
      <c r="C472" s="15" t="n">
        <v>0.0435338767065874</v>
      </c>
    </row>
    <row r="473" customFormat="false" ht="15" hidden="false" customHeight="false" outlineLevel="0" collapsed="false">
      <c r="A473" s="0" t="s">
        <v>143</v>
      </c>
      <c r="B473" s="0" t="s">
        <v>233</v>
      </c>
      <c r="C473" s="15" t="n">
        <v>0.0378709333951614</v>
      </c>
    </row>
    <row r="474" customFormat="false" ht="15" hidden="false" customHeight="false" outlineLevel="0" collapsed="false">
      <c r="A474" s="0" t="s">
        <v>143</v>
      </c>
      <c r="B474" s="0" t="s">
        <v>234</v>
      </c>
      <c r="C474" s="15" t="n">
        <v>0.0134494903646368</v>
      </c>
    </row>
    <row r="475" customFormat="false" ht="15" hidden="false" customHeight="false" outlineLevel="0" collapsed="false">
      <c r="A475" s="0" t="s">
        <v>143</v>
      </c>
      <c r="B475" s="0" t="s">
        <v>235</v>
      </c>
      <c r="C475" s="15" t="n">
        <v>0.00353933956964125</v>
      </c>
    </row>
    <row r="476" customFormat="false" ht="15" hidden="false" customHeight="false" outlineLevel="0" collapsed="false">
      <c r="A476" s="0" t="s">
        <v>143</v>
      </c>
      <c r="B476" s="0" t="s">
        <v>236</v>
      </c>
      <c r="C476" s="15" t="n">
        <v>0.00247753769874887</v>
      </c>
    </row>
    <row r="477" customFormat="false" ht="15" hidden="false" customHeight="false" outlineLevel="0" collapsed="false">
      <c r="A477" s="0" t="s">
        <v>144</v>
      </c>
      <c r="B477" s="0" t="s">
        <v>232</v>
      </c>
      <c r="C477" s="15" t="n">
        <v>0.0435338767065874</v>
      </c>
    </row>
    <row r="478" customFormat="false" ht="15" hidden="false" customHeight="false" outlineLevel="0" collapsed="false">
      <c r="A478" s="0" t="s">
        <v>144</v>
      </c>
      <c r="B478" s="0" t="s">
        <v>233</v>
      </c>
      <c r="C478" s="15" t="n">
        <v>0.0378709333951614</v>
      </c>
    </row>
    <row r="479" customFormat="false" ht="15" hidden="false" customHeight="false" outlineLevel="0" collapsed="false">
      <c r="A479" s="0" t="s">
        <v>144</v>
      </c>
      <c r="B479" s="0" t="s">
        <v>234</v>
      </c>
      <c r="C479" s="15" t="n">
        <v>0.0134494903646368</v>
      </c>
    </row>
    <row r="480" customFormat="false" ht="15" hidden="false" customHeight="false" outlineLevel="0" collapsed="false">
      <c r="A480" s="0" t="s">
        <v>144</v>
      </c>
      <c r="B480" s="0" t="s">
        <v>235</v>
      </c>
      <c r="C480" s="15" t="n">
        <v>0.00353933956964125</v>
      </c>
    </row>
    <row r="481" customFormat="false" ht="15" hidden="false" customHeight="false" outlineLevel="0" collapsed="false">
      <c r="A481" s="0" t="s">
        <v>144</v>
      </c>
      <c r="B481" s="0" t="s">
        <v>236</v>
      </c>
      <c r="C481" s="15" t="n">
        <v>0.00247753769874887</v>
      </c>
    </row>
    <row r="482" customFormat="false" ht="15" hidden="false" customHeight="false" outlineLevel="0" collapsed="false">
      <c r="A482" s="0" t="s">
        <v>145</v>
      </c>
      <c r="B482" s="0" t="s">
        <v>232</v>
      </c>
      <c r="C482" s="15" t="n">
        <v>0.0435338767065874</v>
      </c>
    </row>
    <row r="483" customFormat="false" ht="15" hidden="false" customHeight="false" outlineLevel="0" collapsed="false">
      <c r="A483" s="0" t="s">
        <v>145</v>
      </c>
      <c r="B483" s="0" t="s">
        <v>233</v>
      </c>
      <c r="C483" s="15" t="n">
        <v>0.0378709333951614</v>
      </c>
    </row>
    <row r="484" customFormat="false" ht="15" hidden="false" customHeight="false" outlineLevel="0" collapsed="false">
      <c r="A484" s="0" t="s">
        <v>145</v>
      </c>
      <c r="B484" s="0" t="s">
        <v>234</v>
      </c>
      <c r="C484" s="15" t="n">
        <v>0.0134494903646368</v>
      </c>
    </row>
    <row r="485" customFormat="false" ht="15" hidden="false" customHeight="false" outlineLevel="0" collapsed="false">
      <c r="A485" s="0" t="s">
        <v>145</v>
      </c>
      <c r="B485" s="0" t="s">
        <v>235</v>
      </c>
      <c r="C485" s="15" t="n">
        <v>0.00353933956964125</v>
      </c>
    </row>
    <row r="486" customFormat="false" ht="15" hidden="false" customHeight="false" outlineLevel="0" collapsed="false">
      <c r="A486" s="0" t="s">
        <v>145</v>
      </c>
      <c r="B486" s="0" t="s">
        <v>236</v>
      </c>
      <c r="C486" s="15" t="n">
        <v>0.00247753769874887</v>
      </c>
    </row>
    <row r="487" customFormat="false" ht="15" hidden="false" customHeight="false" outlineLevel="0" collapsed="false">
      <c r="A487" s="0" t="s">
        <v>146</v>
      </c>
      <c r="B487" s="0" t="s">
        <v>232</v>
      </c>
      <c r="C487" s="15" t="n">
        <v>0.0435338767065874</v>
      </c>
    </row>
    <row r="488" customFormat="false" ht="15" hidden="false" customHeight="false" outlineLevel="0" collapsed="false">
      <c r="A488" s="0" t="s">
        <v>146</v>
      </c>
      <c r="B488" s="0" t="s">
        <v>233</v>
      </c>
      <c r="C488" s="15" t="n">
        <v>0.0378709333951614</v>
      </c>
    </row>
    <row r="489" customFormat="false" ht="15" hidden="false" customHeight="false" outlineLevel="0" collapsed="false">
      <c r="A489" s="0" t="s">
        <v>146</v>
      </c>
      <c r="B489" s="0" t="s">
        <v>234</v>
      </c>
      <c r="C489" s="15" t="n">
        <v>0.0134494903646368</v>
      </c>
    </row>
    <row r="490" customFormat="false" ht="15" hidden="false" customHeight="false" outlineLevel="0" collapsed="false">
      <c r="A490" s="0" t="s">
        <v>146</v>
      </c>
      <c r="B490" s="0" t="s">
        <v>235</v>
      </c>
      <c r="C490" s="15" t="n">
        <v>0.00353933956964125</v>
      </c>
    </row>
    <row r="491" customFormat="false" ht="15" hidden="false" customHeight="false" outlineLevel="0" collapsed="false">
      <c r="A491" s="0" t="s">
        <v>146</v>
      </c>
      <c r="B491" s="0" t="s">
        <v>236</v>
      </c>
      <c r="C491" s="15" t="n">
        <v>0.00247753769874887</v>
      </c>
    </row>
    <row r="492" customFormat="false" ht="15" hidden="false" customHeight="false" outlineLevel="0" collapsed="false">
      <c r="A492" s="0" t="s">
        <v>147</v>
      </c>
      <c r="B492" s="0" t="s">
        <v>232</v>
      </c>
      <c r="C492" s="15" t="n">
        <v>0.0435338767065874</v>
      </c>
    </row>
    <row r="493" customFormat="false" ht="15" hidden="false" customHeight="false" outlineLevel="0" collapsed="false">
      <c r="A493" s="0" t="s">
        <v>147</v>
      </c>
      <c r="B493" s="0" t="s">
        <v>233</v>
      </c>
      <c r="C493" s="15" t="n">
        <v>0.0378709333951614</v>
      </c>
    </row>
    <row r="494" customFormat="false" ht="15" hidden="false" customHeight="false" outlineLevel="0" collapsed="false">
      <c r="A494" s="0" t="s">
        <v>147</v>
      </c>
      <c r="B494" s="0" t="s">
        <v>234</v>
      </c>
      <c r="C494" s="15" t="n">
        <v>0.0134494903646368</v>
      </c>
    </row>
    <row r="495" customFormat="false" ht="15" hidden="false" customHeight="false" outlineLevel="0" collapsed="false">
      <c r="A495" s="0" t="s">
        <v>147</v>
      </c>
      <c r="B495" s="0" t="s">
        <v>235</v>
      </c>
      <c r="C495" s="15" t="n">
        <v>0.00353933956964125</v>
      </c>
    </row>
    <row r="496" customFormat="false" ht="15" hidden="false" customHeight="false" outlineLevel="0" collapsed="false">
      <c r="A496" s="0" t="s">
        <v>147</v>
      </c>
      <c r="B496" s="0" t="s">
        <v>236</v>
      </c>
      <c r="C496" s="15" t="n">
        <v>0.00247753769874887</v>
      </c>
    </row>
    <row r="497" customFormat="false" ht="15" hidden="false" customHeight="false" outlineLevel="0" collapsed="false">
      <c r="A497" s="0" t="s">
        <v>148</v>
      </c>
      <c r="B497" s="0" t="s">
        <v>232</v>
      </c>
      <c r="C497" s="15" t="n">
        <v>0.0435338767065874</v>
      </c>
    </row>
    <row r="498" customFormat="false" ht="15" hidden="false" customHeight="false" outlineLevel="0" collapsed="false">
      <c r="A498" s="0" t="s">
        <v>148</v>
      </c>
      <c r="B498" s="0" t="s">
        <v>233</v>
      </c>
      <c r="C498" s="15" t="n">
        <v>0.0378709333951614</v>
      </c>
    </row>
    <row r="499" customFormat="false" ht="15" hidden="false" customHeight="false" outlineLevel="0" collapsed="false">
      <c r="A499" s="0" t="s">
        <v>148</v>
      </c>
      <c r="B499" s="0" t="s">
        <v>234</v>
      </c>
      <c r="C499" s="15" t="n">
        <v>0.0134494903646368</v>
      </c>
    </row>
    <row r="500" customFormat="false" ht="15" hidden="false" customHeight="false" outlineLevel="0" collapsed="false">
      <c r="A500" s="0" t="s">
        <v>148</v>
      </c>
      <c r="B500" s="0" t="s">
        <v>235</v>
      </c>
      <c r="C500" s="15" t="n">
        <v>0.00353933956964125</v>
      </c>
    </row>
    <row r="501" customFormat="false" ht="15" hidden="false" customHeight="false" outlineLevel="0" collapsed="false">
      <c r="A501" s="0" t="s">
        <v>148</v>
      </c>
      <c r="B501" s="0" t="s">
        <v>236</v>
      </c>
      <c r="C501" s="15" t="n">
        <v>0.00247753769874887</v>
      </c>
    </row>
    <row r="502" customFormat="false" ht="15" hidden="false" customHeight="false" outlineLevel="0" collapsed="false">
      <c r="A502" s="0" t="s">
        <v>149</v>
      </c>
      <c r="B502" s="0" t="s">
        <v>232</v>
      </c>
      <c r="C502" s="15" t="n">
        <v>0.0435338767065874</v>
      </c>
    </row>
    <row r="503" customFormat="false" ht="15" hidden="false" customHeight="false" outlineLevel="0" collapsed="false">
      <c r="A503" s="0" t="s">
        <v>149</v>
      </c>
      <c r="B503" s="0" t="s">
        <v>233</v>
      </c>
      <c r="C503" s="15" t="n">
        <v>0.0378709333951614</v>
      </c>
    </row>
    <row r="504" customFormat="false" ht="15" hidden="false" customHeight="false" outlineLevel="0" collapsed="false">
      <c r="A504" s="0" t="s">
        <v>149</v>
      </c>
      <c r="B504" s="0" t="s">
        <v>234</v>
      </c>
      <c r="C504" s="15" t="n">
        <v>0.0134494903646368</v>
      </c>
    </row>
    <row r="505" customFormat="false" ht="15" hidden="false" customHeight="false" outlineLevel="0" collapsed="false">
      <c r="A505" s="0" t="s">
        <v>149</v>
      </c>
      <c r="B505" s="0" t="s">
        <v>235</v>
      </c>
      <c r="C505" s="15" t="n">
        <v>0.00353933956964125</v>
      </c>
    </row>
    <row r="506" customFormat="false" ht="15" hidden="false" customHeight="false" outlineLevel="0" collapsed="false">
      <c r="A506" s="0" t="s">
        <v>149</v>
      </c>
      <c r="B506" s="0" t="s">
        <v>236</v>
      </c>
      <c r="C506" s="15" t="n">
        <v>0.00247753769874887</v>
      </c>
    </row>
    <row r="507" customFormat="false" ht="15" hidden="false" customHeight="false" outlineLevel="0" collapsed="false">
      <c r="A507" s="0" t="s">
        <v>150</v>
      </c>
      <c r="B507" s="0" t="s">
        <v>232</v>
      </c>
      <c r="C507" s="15" t="n">
        <v>0.0435338767065874</v>
      </c>
    </row>
    <row r="508" customFormat="false" ht="15" hidden="false" customHeight="false" outlineLevel="0" collapsed="false">
      <c r="A508" s="0" t="s">
        <v>150</v>
      </c>
      <c r="B508" s="0" t="s">
        <v>233</v>
      </c>
      <c r="C508" s="15" t="n">
        <v>0.0378709333951614</v>
      </c>
    </row>
    <row r="509" customFormat="false" ht="15" hidden="false" customHeight="false" outlineLevel="0" collapsed="false">
      <c r="A509" s="0" t="s">
        <v>150</v>
      </c>
      <c r="B509" s="0" t="s">
        <v>234</v>
      </c>
      <c r="C509" s="15" t="n">
        <v>0.0134494903646368</v>
      </c>
    </row>
    <row r="510" customFormat="false" ht="15" hidden="false" customHeight="false" outlineLevel="0" collapsed="false">
      <c r="A510" s="0" t="s">
        <v>150</v>
      </c>
      <c r="B510" s="0" t="s">
        <v>235</v>
      </c>
      <c r="C510" s="15" t="n">
        <v>0.00353933956964125</v>
      </c>
    </row>
    <row r="511" customFormat="false" ht="15" hidden="false" customHeight="false" outlineLevel="0" collapsed="false">
      <c r="A511" s="0" t="s">
        <v>150</v>
      </c>
      <c r="B511" s="0" t="s">
        <v>236</v>
      </c>
      <c r="C511" s="15" t="n">
        <v>0.00247753769874887</v>
      </c>
    </row>
    <row r="512" customFormat="false" ht="15" hidden="false" customHeight="false" outlineLevel="0" collapsed="false">
      <c r="A512" s="0" t="s">
        <v>151</v>
      </c>
      <c r="B512" s="0" t="s">
        <v>232</v>
      </c>
      <c r="C512" s="15" t="n">
        <v>0.0435338767065874</v>
      </c>
    </row>
    <row r="513" customFormat="false" ht="15" hidden="false" customHeight="false" outlineLevel="0" collapsed="false">
      <c r="A513" s="0" t="s">
        <v>151</v>
      </c>
      <c r="B513" s="0" t="s">
        <v>233</v>
      </c>
      <c r="C513" s="15" t="n">
        <v>0.0378709333951614</v>
      </c>
    </row>
    <row r="514" customFormat="false" ht="15" hidden="false" customHeight="false" outlineLevel="0" collapsed="false">
      <c r="A514" s="0" t="s">
        <v>151</v>
      </c>
      <c r="B514" s="0" t="s">
        <v>234</v>
      </c>
      <c r="C514" s="15" t="n">
        <v>0.0134494903646368</v>
      </c>
    </row>
    <row r="515" customFormat="false" ht="15" hidden="false" customHeight="false" outlineLevel="0" collapsed="false">
      <c r="A515" s="0" t="s">
        <v>151</v>
      </c>
      <c r="B515" s="0" t="s">
        <v>235</v>
      </c>
      <c r="C515" s="15" t="n">
        <v>0.00353933956964125</v>
      </c>
    </row>
    <row r="516" customFormat="false" ht="15" hidden="false" customHeight="false" outlineLevel="0" collapsed="false">
      <c r="A516" s="0" t="s">
        <v>151</v>
      </c>
      <c r="B516" s="0" t="s">
        <v>236</v>
      </c>
      <c r="C516" s="15" t="n">
        <v>0.00247753769874887</v>
      </c>
    </row>
    <row r="517" customFormat="false" ht="15" hidden="false" customHeight="false" outlineLevel="0" collapsed="false">
      <c r="A517" s="0" t="s">
        <v>152</v>
      </c>
      <c r="B517" s="0" t="s">
        <v>232</v>
      </c>
      <c r="C517" s="15" t="n">
        <v>0.0435338767065874</v>
      </c>
    </row>
    <row r="518" customFormat="false" ht="15" hidden="false" customHeight="false" outlineLevel="0" collapsed="false">
      <c r="A518" s="0" t="s">
        <v>152</v>
      </c>
      <c r="B518" s="0" t="s">
        <v>233</v>
      </c>
      <c r="C518" s="15" t="n">
        <v>0.0378709333951614</v>
      </c>
    </row>
    <row r="519" customFormat="false" ht="15" hidden="false" customHeight="false" outlineLevel="0" collapsed="false">
      <c r="A519" s="0" t="s">
        <v>152</v>
      </c>
      <c r="B519" s="0" t="s">
        <v>234</v>
      </c>
      <c r="C519" s="15" t="n">
        <v>0.0134494903646368</v>
      </c>
    </row>
    <row r="520" customFormat="false" ht="15" hidden="false" customHeight="false" outlineLevel="0" collapsed="false">
      <c r="A520" s="0" t="s">
        <v>152</v>
      </c>
      <c r="B520" s="0" t="s">
        <v>235</v>
      </c>
      <c r="C520" s="15" t="n">
        <v>0.00353933956964125</v>
      </c>
    </row>
    <row r="521" customFormat="false" ht="15" hidden="false" customHeight="false" outlineLevel="0" collapsed="false">
      <c r="A521" s="0" t="s">
        <v>152</v>
      </c>
      <c r="B521" s="0" t="s">
        <v>236</v>
      </c>
      <c r="C521" s="15" t="n">
        <v>0.00247753769874887</v>
      </c>
    </row>
    <row r="522" customFormat="false" ht="15" hidden="false" customHeight="false" outlineLevel="0" collapsed="false">
      <c r="A522" s="0" t="s">
        <v>153</v>
      </c>
      <c r="B522" s="0" t="s">
        <v>232</v>
      </c>
      <c r="C522" s="15" t="n">
        <v>0.0435338767065874</v>
      </c>
    </row>
    <row r="523" customFormat="false" ht="15" hidden="false" customHeight="false" outlineLevel="0" collapsed="false">
      <c r="A523" s="0" t="s">
        <v>153</v>
      </c>
      <c r="B523" s="0" t="s">
        <v>233</v>
      </c>
      <c r="C523" s="15" t="n">
        <v>0.0378709333951614</v>
      </c>
    </row>
    <row r="524" customFormat="false" ht="15" hidden="false" customHeight="false" outlineLevel="0" collapsed="false">
      <c r="A524" s="0" t="s">
        <v>153</v>
      </c>
      <c r="B524" s="0" t="s">
        <v>234</v>
      </c>
      <c r="C524" s="15" t="n">
        <v>0.0134494903646368</v>
      </c>
    </row>
    <row r="525" customFormat="false" ht="15" hidden="false" customHeight="false" outlineLevel="0" collapsed="false">
      <c r="A525" s="0" t="s">
        <v>153</v>
      </c>
      <c r="B525" s="0" t="s">
        <v>235</v>
      </c>
      <c r="C525" s="15" t="n">
        <v>0.00353933956964125</v>
      </c>
    </row>
    <row r="526" customFormat="false" ht="15" hidden="false" customHeight="false" outlineLevel="0" collapsed="false">
      <c r="A526" s="0" t="s">
        <v>153</v>
      </c>
      <c r="B526" s="0" t="s">
        <v>236</v>
      </c>
      <c r="C526" s="15" t="n">
        <v>0.00247753769874887</v>
      </c>
    </row>
    <row r="527" customFormat="false" ht="15" hidden="false" customHeight="false" outlineLevel="0" collapsed="false">
      <c r="A527" s="0" t="s">
        <v>154</v>
      </c>
      <c r="B527" s="0" t="s">
        <v>232</v>
      </c>
      <c r="C527" s="15" t="n">
        <v>0.0435338767065874</v>
      </c>
    </row>
    <row r="528" customFormat="false" ht="15" hidden="false" customHeight="false" outlineLevel="0" collapsed="false">
      <c r="A528" s="0" t="s">
        <v>154</v>
      </c>
      <c r="B528" s="0" t="s">
        <v>233</v>
      </c>
      <c r="C528" s="15" t="n">
        <v>0.0378709333951614</v>
      </c>
    </row>
    <row r="529" customFormat="false" ht="15" hidden="false" customHeight="false" outlineLevel="0" collapsed="false">
      <c r="A529" s="0" t="s">
        <v>154</v>
      </c>
      <c r="B529" s="0" t="s">
        <v>234</v>
      </c>
      <c r="C529" s="15" t="n">
        <v>0.0134494903646368</v>
      </c>
    </row>
    <row r="530" customFormat="false" ht="15" hidden="false" customHeight="false" outlineLevel="0" collapsed="false">
      <c r="A530" s="0" t="s">
        <v>154</v>
      </c>
      <c r="B530" s="0" t="s">
        <v>235</v>
      </c>
      <c r="C530" s="15" t="n">
        <v>0.00353933956964125</v>
      </c>
    </row>
    <row r="531" customFormat="false" ht="15" hidden="false" customHeight="false" outlineLevel="0" collapsed="false">
      <c r="A531" s="0" t="s">
        <v>154</v>
      </c>
      <c r="B531" s="0" t="s">
        <v>236</v>
      </c>
      <c r="C531" s="15" t="n">
        <v>0.00247753769874887</v>
      </c>
    </row>
    <row r="532" customFormat="false" ht="15" hidden="false" customHeight="false" outlineLevel="0" collapsed="false">
      <c r="A532" s="0" t="s">
        <v>155</v>
      </c>
      <c r="B532" s="0" t="s">
        <v>232</v>
      </c>
      <c r="C532" s="15" t="n">
        <v>0.0435338767065874</v>
      </c>
    </row>
    <row r="533" customFormat="false" ht="15" hidden="false" customHeight="false" outlineLevel="0" collapsed="false">
      <c r="A533" s="0" t="s">
        <v>155</v>
      </c>
      <c r="B533" s="0" t="s">
        <v>233</v>
      </c>
      <c r="C533" s="15" t="n">
        <v>0.0378709333951614</v>
      </c>
    </row>
    <row r="534" customFormat="false" ht="15" hidden="false" customHeight="false" outlineLevel="0" collapsed="false">
      <c r="A534" s="0" t="s">
        <v>155</v>
      </c>
      <c r="B534" s="0" t="s">
        <v>234</v>
      </c>
      <c r="C534" s="15" t="n">
        <v>0.0134494903646368</v>
      </c>
    </row>
    <row r="535" customFormat="false" ht="15" hidden="false" customHeight="false" outlineLevel="0" collapsed="false">
      <c r="A535" s="0" t="s">
        <v>155</v>
      </c>
      <c r="B535" s="0" t="s">
        <v>235</v>
      </c>
      <c r="C535" s="15" t="n">
        <v>0.00353933956964125</v>
      </c>
    </row>
    <row r="536" customFormat="false" ht="15" hidden="false" customHeight="false" outlineLevel="0" collapsed="false">
      <c r="A536" s="0" t="s">
        <v>155</v>
      </c>
      <c r="B536" s="0" t="s">
        <v>236</v>
      </c>
      <c r="C536" s="15" t="n">
        <v>0.00247753769874887</v>
      </c>
    </row>
    <row r="537" customFormat="false" ht="15" hidden="false" customHeight="false" outlineLevel="0" collapsed="false">
      <c r="A537" s="0" t="s">
        <v>156</v>
      </c>
      <c r="B537" s="0" t="s">
        <v>232</v>
      </c>
      <c r="C537" s="15" t="n">
        <v>0.0435338767065874</v>
      </c>
    </row>
    <row r="538" customFormat="false" ht="15" hidden="false" customHeight="false" outlineLevel="0" collapsed="false">
      <c r="A538" s="0" t="s">
        <v>156</v>
      </c>
      <c r="B538" s="0" t="s">
        <v>233</v>
      </c>
      <c r="C538" s="15" t="n">
        <v>0.0378709333951614</v>
      </c>
    </row>
    <row r="539" customFormat="false" ht="15" hidden="false" customHeight="false" outlineLevel="0" collapsed="false">
      <c r="A539" s="0" t="s">
        <v>156</v>
      </c>
      <c r="B539" s="0" t="s">
        <v>234</v>
      </c>
      <c r="C539" s="15" t="n">
        <v>0.0134494903646368</v>
      </c>
    </row>
    <row r="540" customFormat="false" ht="15" hidden="false" customHeight="false" outlineLevel="0" collapsed="false">
      <c r="A540" s="0" t="s">
        <v>156</v>
      </c>
      <c r="B540" s="0" t="s">
        <v>235</v>
      </c>
      <c r="C540" s="15" t="n">
        <v>0.00353933956964125</v>
      </c>
    </row>
    <row r="541" customFormat="false" ht="15" hidden="false" customHeight="false" outlineLevel="0" collapsed="false">
      <c r="A541" s="0" t="s">
        <v>156</v>
      </c>
      <c r="B541" s="0" t="s">
        <v>236</v>
      </c>
      <c r="C541" s="15" t="n">
        <v>0.00247753769874887</v>
      </c>
    </row>
    <row r="542" customFormat="false" ht="15" hidden="false" customHeight="false" outlineLevel="0" collapsed="false">
      <c r="A542" s="0" t="s">
        <v>157</v>
      </c>
      <c r="B542" s="0" t="s">
        <v>232</v>
      </c>
      <c r="C542" s="15" t="n">
        <v>0.0435338767065874</v>
      </c>
    </row>
    <row r="543" customFormat="false" ht="15" hidden="false" customHeight="false" outlineLevel="0" collapsed="false">
      <c r="A543" s="0" t="s">
        <v>157</v>
      </c>
      <c r="B543" s="0" t="s">
        <v>233</v>
      </c>
      <c r="C543" s="15" t="n">
        <v>0.0378709333951614</v>
      </c>
    </row>
    <row r="544" customFormat="false" ht="15" hidden="false" customHeight="false" outlineLevel="0" collapsed="false">
      <c r="A544" s="0" t="s">
        <v>157</v>
      </c>
      <c r="B544" s="0" t="s">
        <v>234</v>
      </c>
      <c r="C544" s="15" t="n">
        <v>0.0134494903646368</v>
      </c>
    </row>
    <row r="545" customFormat="false" ht="15" hidden="false" customHeight="false" outlineLevel="0" collapsed="false">
      <c r="A545" s="0" t="s">
        <v>157</v>
      </c>
      <c r="B545" s="0" t="s">
        <v>235</v>
      </c>
      <c r="C545" s="15" t="n">
        <v>0.00353933956964125</v>
      </c>
    </row>
    <row r="546" customFormat="false" ht="15" hidden="false" customHeight="false" outlineLevel="0" collapsed="false">
      <c r="A546" s="0" t="s">
        <v>157</v>
      </c>
      <c r="B546" s="0" t="s">
        <v>236</v>
      </c>
      <c r="C546" s="15" t="n">
        <v>0.00247753769874887</v>
      </c>
    </row>
    <row r="547" customFormat="false" ht="15" hidden="false" customHeight="false" outlineLevel="0" collapsed="false">
      <c r="A547" s="0" t="s">
        <v>158</v>
      </c>
      <c r="B547" s="0" t="s">
        <v>232</v>
      </c>
      <c r="C547" s="15" t="n">
        <v>0.0435338767065874</v>
      </c>
    </row>
    <row r="548" customFormat="false" ht="15" hidden="false" customHeight="false" outlineLevel="0" collapsed="false">
      <c r="A548" s="0" t="s">
        <v>158</v>
      </c>
      <c r="B548" s="0" t="s">
        <v>233</v>
      </c>
      <c r="C548" s="15" t="n">
        <v>0.0378709333951614</v>
      </c>
    </row>
    <row r="549" customFormat="false" ht="15" hidden="false" customHeight="false" outlineLevel="0" collapsed="false">
      <c r="A549" s="0" t="s">
        <v>158</v>
      </c>
      <c r="B549" s="0" t="s">
        <v>234</v>
      </c>
      <c r="C549" s="15" t="n">
        <v>0.0134494903646368</v>
      </c>
    </row>
    <row r="550" customFormat="false" ht="15" hidden="false" customHeight="false" outlineLevel="0" collapsed="false">
      <c r="A550" s="0" t="s">
        <v>158</v>
      </c>
      <c r="B550" s="0" t="s">
        <v>235</v>
      </c>
      <c r="C550" s="15" t="n">
        <v>0.00353933956964125</v>
      </c>
    </row>
    <row r="551" customFormat="false" ht="15" hidden="false" customHeight="false" outlineLevel="0" collapsed="false">
      <c r="A551" s="0" t="s">
        <v>158</v>
      </c>
      <c r="B551" s="0" t="s">
        <v>236</v>
      </c>
      <c r="C551" s="15" t="n">
        <v>0.00247753769874887</v>
      </c>
    </row>
    <row r="552" customFormat="false" ht="15" hidden="false" customHeight="false" outlineLevel="0" collapsed="false">
      <c r="A552" s="0" t="s">
        <v>159</v>
      </c>
      <c r="B552" s="0" t="s">
        <v>232</v>
      </c>
      <c r="C552" s="15" t="n">
        <v>0.0435338767065874</v>
      </c>
    </row>
    <row r="553" customFormat="false" ht="15" hidden="false" customHeight="false" outlineLevel="0" collapsed="false">
      <c r="A553" s="0" t="s">
        <v>159</v>
      </c>
      <c r="B553" s="0" t="s">
        <v>233</v>
      </c>
      <c r="C553" s="15" t="n">
        <v>0.0378709333951614</v>
      </c>
    </row>
    <row r="554" customFormat="false" ht="15" hidden="false" customHeight="false" outlineLevel="0" collapsed="false">
      <c r="A554" s="0" t="s">
        <v>159</v>
      </c>
      <c r="B554" s="0" t="s">
        <v>234</v>
      </c>
      <c r="C554" s="15" t="n">
        <v>0.0134494903646368</v>
      </c>
    </row>
    <row r="555" customFormat="false" ht="15" hidden="false" customHeight="false" outlineLevel="0" collapsed="false">
      <c r="A555" s="0" t="s">
        <v>159</v>
      </c>
      <c r="B555" s="0" t="s">
        <v>235</v>
      </c>
      <c r="C555" s="15" t="n">
        <v>0.00353933956964125</v>
      </c>
    </row>
    <row r="556" customFormat="false" ht="15" hidden="false" customHeight="false" outlineLevel="0" collapsed="false">
      <c r="A556" s="0" t="s">
        <v>159</v>
      </c>
      <c r="B556" s="0" t="s">
        <v>236</v>
      </c>
      <c r="C556" s="15" t="n">
        <v>0.00247753769874887</v>
      </c>
    </row>
    <row r="557" customFormat="false" ht="15" hidden="false" customHeight="false" outlineLevel="0" collapsed="false">
      <c r="A557" s="0" t="s">
        <v>160</v>
      </c>
      <c r="B557" s="0" t="s">
        <v>232</v>
      </c>
      <c r="C557" s="15" t="n">
        <v>0.0435338767065874</v>
      </c>
    </row>
    <row r="558" customFormat="false" ht="15" hidden="false" customHeight="false" outlineLevel="0" collapsed="false">
      <c r="A558" s="0" t="s">
        <v>160</v>
      </c>
      <c r="B558" s="0" t="s">
        <v>233</v>
      </c>
      <c r="C558" s="15" t="n">
        <v>0.0378709333951614</v>
      </c>
    </row>
    <row r="559" customFormat="false" ht="15" hidden="false" customHeight="false" outlineLevel="0" collapsed="false">
      <c r="A559" s="0" t="s">
        <v>160</v>
      </c>
      <c r="B559" s="0" t="s">
        <v>234</v>
      </c>
      <c r="C559" s="15" t="n">
        <v>0.0134494903646368</v>
      </c>
    </row>
    <row r="560" customFormat="false" ht="15" hidden="false" customHeight="false" outlineLevel="0" collapsed="false">
      <c r="A560" s="0" t="s">
        <v>160</v>
      </c>
      <c r="B560" s="0" t="s">
        <v>235</v>
      </c>
      <c r="C560" s="15" t="n">
        <v>0.00353933956964125</v>
      </c>
    </row>
    <row r="561" customFormat="false" ht="15" hidden="false" customHeight="false" outlineLevel="0" collapsed="false">
      <c r="A561" s="0" t="s">
        <v>160</v>
      </c>
      <c r="B561" s="0" t="s">
        <v>236</v>
      </c>
      <c r="C561" s="15" t="n">
        <v>0.00247753769874887</v>
      </c>
    </row>
    <row r="562" customFormat="false" ht="15" hidden="false" customHeight="false" outlineLevel="0" collapsed="false">
      <c r="A562" s="0" t="s">
        <v>161</v>
      </c>
      <c r="B562" s="0" t="s">
        <v>232</v>
      </c>
      <c r="C562" s="15" t="n">
        <v>0.0435338767065874</v>
      </c>
    </row>
    <row r="563" customFormat="false" ht="15" hidden="false" customHeight="false" outlineLevel="0" collapsed="false">
      <c r="A563" s="0" t="s">
        <v>161</v>
      </c>
      <c r="B563" s="0" t="s">
        <v>233</v>
      </c>
      <c r="C563" s="15" t="n">
        <v>0.0378709333951614</v>
      </c>
    </row>
    <row r="564" customFormat="false" ht="15" hidden="false" customHeight="false" outlineLevel="0" collapsed="false">
      <c r="A564" s="0" t="s">
        <v>161</v>
      </c>
      <c r="B564" s="0" t="s">
        <v>234</v>
      </c>
      <c r="C564" s="15" t="n">
        <v>0.0134494903646368</v>
      </c>
    </row>
    <row r="565" customFormat="false" ht="15" hidden="false" customHeight="false" outlineLevel="0" collapsed="false">
      <c r="A565" s="0" t="s">
        <v>161</v>
      </c>
      <c r="B565" s="0" t="s">
        <v>235</v>
      </c>
      <c r="C565" s="15" t="n">
        <v>0.00353933956964125</v>
      </c>
    </row>
    <row r="566" customFormat="false" ht="15" hidden="false" customHeight="false" outlineLevel="0" collapsed="false">
      <c r="A566" s="0" t="s">
        <v>161</v>
      </c>
      <c r="B566" s="0" t="s">
        <v>236</v>
      </c>
      <c r="C566" s="15" t="n">
        <v>0.00247753769874887</v>
      </c>
    </row>
    <row r="567" customFormat="false" ht="15" hidden="false" customHeight="false" outlineLevel="0" collapsed="false">
      <c r="A567" s="0" t="s">
        <v>162</v>
      </c>
      <c r="B567" s="0" t="s">
        <v>232</v>
      </c>
      <c r="C567" s="15" t="n">
        <v>0.0435338767065874</v>
      </c>
    </row>
    <row r="568" customFormat="false" ht="15" hidden="false" customHeight="false" outlineLevel="0" collapsed="false">
      <c r="A568" s="0" t="s">
        <v>162</v>
      </c>
      <c r="B568" s="0" t="s">
        <v>233</v>
      </c>
      <c r="C568" s="15" t="n">
        <v>0.0378709333951614</v>
      </c>
    </row>
    <row r="569" customFormat="false" ht="15" hidden="false" customHeight="false" outlineLevel="0" collapsed="false">
      <c r="A569" s="0" t="s">
        <v>162</v>
      </c>
      <c r="B569" s="0" t="s">
        <v>234</v>
      </c>
      <c r="C569" s="15" t="n">
        <v>0.0134494903646368</v>
      </c>
    </row>
    <row r="570" customFormat="false" ht="15" hidden="false" customHeight="false" outlineLevel="0" collapsed="false">
      <c r="A570" s="0" t="s">
        <v>162</v>
      </c>
      <c r="B570" s="0" t="s">
        <v>235</v>
      </c>
      <c r="C570" s="15" t="n">
        <v>0.00353933956964125</v>
      </c>
    </row>
    <row r="571" customFormat="false" ht="15" hidden="false" customHeight="false" outlineLevel="0" collapsed="false">
      <c r="A571" s="0" t="s">
        <v>162</v>
      </c>
      <c r="B571" s="0" t="s">
        <v>236</v>
      </c>
      <c r="C571" s="15" t="n">
        <v>0.00247753769874887</v>
      </c>
    </row>
    <row r="572" customFormat="false" ht="15" hidden="false" customHeight="false" outlineLevel="0" collapsed="false">
      <c r="A572" s="0" t="s">
        <v>163</v>
      </c>
      <c r="B572" s="0" t="s">
        <v>232</v>
      </c>
      <c r="C572" s="15" t="n">
        <v>0.0435338767065874</v>
      </c>
    </row>
    <row r="573" customFormat="false" ht="15" hidden="false" customHeight="false" outlineLevel="0" collapsed="false">
      <c r="A573" s="0" t="s">
        <v>163</v>
      </c>
      <c r="B573" s="0" t="s">
        <v>233</v>
      </c>
      <c r="C573" s="15" t="n">
        <v>0.0378709333951614</v>
      </c>
    </row>
    <row r="574" customFormat="false" ht="15" hidden="false" customHeight="false" outlineLevel="0" collapsed="false">
      <c r="A574" s="0" t="s">
        <v>163</v>
      </c>
      <c r="B574" s="0" t="s">
        <v>234</v>
      </c>
      <c r="C574" s="15" t="n">
        <v>0.0134494903646368</v>
      </c>
    </row>
    <row r="575" customFormat="false" ht="15" hidden="false" customHeight="false" outlineLevel="0" collapsed="false">
      <c r="A575" s="0" t="s">
        <v>163</v>
      </c>
      <c r="B575" s="0" t="s">
        <v>235</v>
      </c>
      <c r="C575" s="15" t="n">
        <v>0.00353933956964125</v>
      </c>
    </row>
    <row r="576" customFormat="false" ht="15" hidden="false" customHeight="false" outlineLevel="0" collapsed="false">
      <c r="A576" s="0" t="s">
        <v>163</v>
      </c>
      <c r="B576" s="0" t="s">
        <v>236</v>
      </c>
      <c r="C576" s="15" t="n">
        <v>0.00247753769874887</v>
      </c>
    </row>
    <row r="577" customFormat="false" ht="15" hidden="false" customHeight="false" outlineLevel="0" collapsed="false">
      <c r="A577" s="0" t="s">
        <v>164</v>
      </c>
      <c r="B577" s="0" t="s">
        <v>232</v>
      </c>
      <c r="C577" s="15" t="n">
        <v>0.0435338767065874</v>
      </c>
    </row>
    <row r="578" customFormat="false" ht="15" hidden="false" customHeight="false" outlineLevel="0" collapsed="false">
      <c r="A578" s="0" t="s">
        <v>164</v>
      </c>
      <c r="B578" s="0" t="s">
        <v>233</v>
      </c>
      <c r="C578" s="15" t="n">
        <v>0.0378709333951614</v>
      </c>
    </row>
    <row r="579" customFormat="false" ht="15" hidden="false" customHeight="false" outlineLevel="0" collapsed="false">
      <c r="A579" s="0" t="s">
        <v>164</v>
      </c>
      <c r="B579" s="0" t="s">
        <v>234</v>
      </c>
      <c r="C579" s="15" t="n">
        <v>0.0134494903646368</v>
      </c>
    </row>
    <row r="580" customFormat="false" ht="15" hidden="false" customHeight="false" outlineLevel="0" collapsed="false">
      <c r="A580" s="0" t="s">
        <v>164</v>
      </c>
      <c r="B580" s="0" t="s">
        <v>235</v>
      </c>
      <c r="C580" s="15" t="n">
        <v>0.00353933956964125</v>
      </c>
    </row>
    <row r="581" customFormat="false" ht="15" hidden="false" customHeight="false" outlineLevel="0" collapsed="false">
      <c r="A581" s="0" t="s">
        <v>164</v>
      </c>
      <c r="B581" s="0" t="s">
        <v>236</v>
      </c>
      <c r="C581" s="15" t="n">
        <v>0.00247753769874887</v>
      </c>
    </row>
    <row r="582" customFormat="false" ht="15" hidden="false" customHeight="false" outlineLevel="0" collapsed="false">
      <c r="A582" s="0" t="s">
        <v>165</v>
      </c>
      <c r="B582" s="0" t="s">
        <v>232</v>
      </c>
      <c r="C582" s="15" t="n">
        <v>0.0435338767065874</v>
      </c>
    </row>
    <row r="583" customFormat="false" ht="15" hidden="false" customHeight="false" outlineLevel="0" collapsed="false">
      <c r="A583" s="0" t="s">
        <v>165</v>
      </c>
      <c r="B583" s="0" t="s">
        <v>233</v>
      </c>
      <c r="C583" s="15" t="n">
        <v>0.0378709333951614</v>
      </c>
    </row>
    <row r="584" customFormat="false" ht="15" hidden="false" customHeight="false" outlineLevel="0" collapsed="false">
      <c r="A584" s="0" t="s">
        <v>165</v>
      </c>
      <c r="B584" s="0" t="s">
        <v>234</v>
      </c>
      <c r="C584" s="15" t="n">
        <v>0.0134494903646368</v>
      </c>
    </row>
    <row r="585" customFormat="false" ht="15" hidden="false" customHeight="false" outlineLevel="0" collapsed="false">
      <c r="A585" s="0" t="s">
        <v>165</v>
      </c>
      <c r="B585" s="0" t="s">
        <v>235</v>
      </c>
      <c r="C585" s="15" t="n">
        <v>0.00353933956964125</v>
      </c>
    </row>
    <row r="586" customFormat="false" ht="15" hidden="false" customHeight="false" outlineLevel="0" collapsed="false">
      <c r="A586" s="0" t="s">
        <v>165</v>
      </c>
      <c r="B586" s="0" t="s">
        <v>236</v>
      </c>
      <c r="C586" s="15" t="n">
        <v>0.00247753769874887</v>
      </c>
    </row>
    <row r="587" customFormat="false" ht="15" hidden="false" customHeight="false" outlineLevel="0" collapsed="false">
      <c r="A587" s="0" t="s">
        <v>166</v>
      </c>
      <c r="B587" s="0" t="s">
        <v>232</v>
      </c>
      <c r="C587" s="15" t="n">
        <v>0.0435338767065874</v>
      </c>
    </row>
    <row r="588" customFormat="false" ht="15" hidden="false" customHeight="false" outlineLevel="0" collapsed="false">
      <c r="A588" s="0" t="s">
        <v>166</v>
      </c>
      <c r="B588" s="0" t="s">
        <v>233</v>
      </c>
      <c r="C588" s="15" t="n">
        <v>0.0378709333951614</v>
      </c>
    </row>
    <row r="589" customFormat="false" ht="15" hidden="false" customHeight="false" outlineLevel="0" collapsed="false">
      <c r="A589" s="0" t="s">
        <v>166</v>
      </c>
      <c r="B589" s="0" t="s">
        <v>234</v>
      </c>
      <c r="C589" s="15" t="n">
        <v>0.0134494903646368</v>
      </c>
    </row>
    <row r="590" customFormat="false" ht="15" hidden="false" customHeight="false" outlineLevel="0" collapsed="false">
      <c r="A590" s="0" t="s">
        <v>166</v>
      </c>
      <c r="B590" s="0" t="s">
        <v>235</v>
      </c>
      <c r="C590" s="15" t="n">
        <v>0.00353933956964125</v>
      </c>
    </row>
    <row r="591" customFormat="false" ht="15" hidden="false" customHeight="false" outlineLevel="0" collapsed="false">
      <c r="A591" s="0" t="s">
        <v>166</v>
      </c>
      <c r="B591" s="0" t="s">
        <v>236</v>
      </c>
      <c r="C591" s="15" t="n">
        <v>0.00247753769874887</v>
      </c>
    </row>
    <row r="592" customFormat="false" ht="15" hidden="false" customHeight="false" outlineLevel="0" collapsed="false">
      <c r="A592" s="0" t="s">
        <v>167</v>
      </c>
      <c r="B592" s="0" t="s">
        <v>232</v>
      </c>
      <c r="C592" s="15" t="n">
        <v>0.0435338767065874</v>
      </c>
    </row>
    <row r="593" customFormat="false" ht="15" hidden="false" customHeight="false" outlineLevel="0" collapsed="false">
      <c r="A593" s="0" t="s">
        <v>167</v>
      </c>
      <c r="B593" s="0" t="s">
        <v>233</v>
      </c>
      <c r="C593" s="15" t="n">
        <v>0.0378709333951614</v>
      </c>
    </row>
    <row r="594" customFormat="false" ht="15" hidden="false" customHeight="false" outlineLevel="0" collapsed="false">
      <c r="A594" s="0" t="s">
        <v>167</v>
      </c>
      <c r="B594" s="0" t="s">
        <v>234</v>
      </c>
      <c r="C594" s="15" t="n">
        <v>0.0134494903646368</v>
      </c>
    </row>
    <row r="595" customFormat="false" ht="15" hidden="false" customHeight="false" outlineLevel="0" collapsed="false">
      <c r="A595" s="0" t="s">
        <v>167</v>
      </c>
      <c r="B595" s="0" t="s">
        <v>235</v>
      </c>
      <c r="C595" s="15" t="n">
        <v>0.00353933956964125</v>
      </c>
    </row>
    <row r="596" customFormat="false" ht="15" hidden="false" customHeight="false" outlineLevel="0" collapsed="false">
      <c r="A596" s="0" t="s">
        <v>167</v>
      </c>
      <c r="B596" s="0" t="s">
        <v>236</v>
      </c>
      <c r="C596" s="15" t="n">
        <v>0.00247753769874887</v>
      </c>
    </row>
    <row r="597" customFormat="false" ht="15" hidden="false" customHeight="false" outlineLevel="0" collapsed="false">
      <c r="A597" s="0" t="s">
        <v>168</v>
      </c>
      <c r="B597" s="0" t="s">
        <v>232</v>
      </c>
      <c r="C597" s="15" t="n">
        <v>0.0435338767065874</v>
      </c>
    </row>
    <row r="598" customFormat="false" ht="15" hidden="false" customHeight="false" outlineLevel="0" collapsed="false">
      <c r="A598" s="0" t="s">
        <v>168</v>
      </c>
      <c r="B598" s="0" t="s">
        <v>233</v>
      </c>
      <c r="C598" s="15" t="n">
        <v>0.0378709333951614</v>
      </c>
    </row>
    <row r="599" customFormat="false" ht="15" hidden="false" customHeight="false" outlineLevel="0" collapsed="false">
      <c r="A599" s="0" t="s">
        <v>168</v>
      </c>
      <c r="B599" s="0" t="s">
        <v>234</v>
      </c>
      <c r="C599" s="15" t="n">
        <v>0.0134494903646368</v>
      </c>
    </row>
    <row r="600" customFormat="false" ht="15" hidden="false" customHeight="false" outlineLevel="0" collapsed="false">
      <c r="A600" s="0" t="s">
        <v>168</v>
      </c>
      <c r="B600" s="0" t="s">
        <v>235</v>
      </c>
      <c r="C600" s="15" t="n">
        <v>0.00353933956964125</v>
      </c>
    </row>
    <row r="601" customFormat="false" ht="15" hidden="false" customHeight="false" outlineLevel="0" collapsed="false">
      <c r="A601" s="0" t="s">
        <v>168</v>
      </c>
      <c r="B601" s="0" t="s">
        <v>236</v>
      </c>
      <c r="C601" s="15" t="n">
        <v>0.00247753769874887</v>
      </c>
    </row>
    <row r="602" customFormat="false" ht="15" hidden="false" customHeight="false" outlineLevel="0" collapsed="false">
      <c r="A602" s="0" t="s">
        <v>169</v>
      </c>
      <c r="B602" s="0" t="s">
        <v>232</v>
      </c>
      <c r="C602" s="15" t="n">
        <v>0.0435338767065874</v>
      </c>
    </row>
    <row r="603" customFormat="false" ht="15" hidden="false" customHeight="false" outlineLevel="0" collapsed="false">
      <c r="A603" s="0" t="s">
        <v>169</v>
      </c>
      <c r="B603" s="0" t="s">
        <v>233</v>
      </c>
      <c r="C603" s="15" t="n">
        <v>0.0378709333951614</v>
      </c>
    </row>
    <row r="604" customFormat="false" ht="15" hidden="false" customHeight="false" outlineLevel="0" collapsed="false">
      <c r="A604" s="0" t="s">
        <v>169</v>
      </c>
      <c r="B604" s="0" t="s">
        <v>234</v>
      </c>
      <c r="C604" s="15" t="n">
        <v>0.0134494903646368</v>
      </c>
    </row>
    <row r="605" customFormat="false" ht="15" hidden="false" customHeight="false" outlineLevel="0" collapsed="false">
      <c r="A605" s="0" t="s">
        <v>169</v>
      </c>
      <c r="B605" s="0" t="s">
        <v>235</v>
      </c>
      <c r="C605" s="15" t="n">
        <v>0.00353933956964125</v>
      </c>
    </row>
    <row r="606" customFormat="false" ht="15" hidden="false" customHeight="false" outlineLevel="0" collapsed="false">
      <c r="A606" s="0" t="s">
        <v>169</v>
      </c>
      <c r="B606" s="0" t="s">
        <v>236</v>
      </c>
      <c r="C606" s="15" t="n">
        <v>0.00247753769874887</v>
      </c>
    </row>
    <row r="607" customFormat="false" ht="15" hidden="false" customHeight="false" outlineLevel="0" collapsed="false">
      <c r="A607" s="0" t="s">
        <v>170</v>
      </c>
      <c r="B607" s="0" t="s">
        <v>232</v>
      </c>
      <c r="C607" s="15" t="n">
        <v>0.0435338767065874</v>
      </c>
    </row>
    <row r="608" customFormat="false" ht="15" hidden="false" customHeight="false" outlineLevel="0" collapsed="false">
      <c r="A608" s="0" t="s">
        <v>170</v>
      </c>
      <c r="B608" s="0" t="s">
        <v>233</v>
      </c>
      <c r="C608" s="15" t="n">
        <v>0.0378709333951614</v>
      </c>
    </row>
    <row r="609" customFormat="false" ht="15" hidden="false" customHeight="false" outlineLevel="0" collapsed="false">
      <c r="A609" s="0" t="s">
        <v>170</v>
      </c>
      <c r="B609" s="0" t="s">
        <v>234</v>
      </c>
      <c r="C609" s="15" t="n">
        <v>0.0134494903646368</v>
      </c>
    </row>
    <row r="610" customFormat="false" ht="15" hidden="false" customHeight="false" outlineLevel="0" collapsed="false">
      <c r="A610" s="0" t="s">
        <v>170</v>
      </c>
      <c r="B610" s="0" t="s">
        <v>235</v>
      </c>
      <c r="C610" s="15" t="n">
        <v>0.00353933956964125</v>
      </c>
    </row>
    <row r="611" customFormat="false" ht="15" hidden="false" customHeight="false" outlineLevel="0" collapsed="false">
      <c r="A611" s="0" t="s">
        <v>170</v>
      </c>
      <c r="B611" s="0" t="s">
        <v>236</v>
      </c>
      <c r="C611" s="15" t="n">
        <v>0.00247753769874887</v>
      </c>
    </row>
    <row r="612" customFormat="false" ht="15" hidden="false" customHeight="false" outlineLevel="0" collapsed="false">
      <c r="A612" s="0" t="s">
        <v>171</v>
      </c>
      <c r="B612" s="0" t="s">
        <v>232</v>
      </c>
      <c r="C612" s="15" t="n">
        <v>0.0435338767065874</v>
      </c>
    </row>
    <row r="613" customFormat="false" ht="15" hidden="false" customHeight="false" outlineLevel="0" collapsed="false">
      <c r="A613" s="0" t="s">
        <v>171</v>
      </c>
      <c r="B613" s="0" t="s">
        <v>233</v>
      </c>
      <c r="C613" s="15" t="n">
        <v>0.0378709333951614</v>
      </c>
    </row>
    <row r="614" customFormat="false" ht="15" hidden="false" customHeight="false" outlineLevel="0" collapsed="false">
      <c r="A614" s="0" t="s">
        <v>171</v>
      </c>
      <c r="B614" s="0" t="s">
        <v>234</v>
      </c>
      <c r="C614" s="15" t="n">
        <v>0.0134494903646368</v>
      </c>
    </row>
    <row r="615" customFormat="false" ht="15" hidden="false" customHeight="false" outlineLevel="0" collapsed="false">
      <c r="A615" s="0" t="s">
        <v>171</v>
      </c>
      <c r="B615" s="0" t="s">
        <v>235</v>
      </c>
      <c r="C615" s="15" t="n">
        <v>0.00353933956964125</v>
      </c>
    </row>
    <row r="616" customFormat="false" ht="15" hidden="false" customHeight="false" outlineLevel="0" collapsed="false">
      <c r="A616" s="0" t="s">
        <v>171</v>
      </c>
      <c r="B616" s="0" t="s">
        <v>236</v>
      </c>
      <c r="C616" s="15" t="n">
        <v>0.00247753769874887</v>
      </c>
    </row>
    <row r="617" customFormat="false" ht="15" hidden="false" customHeight="false" outlineLevel="0" collapsed="false">
      <c r="A617" s="0" t="s">
        <v>172</v>
      </c>
      <c r="B617" s="0" t="s">
        <v>232</v>
      </c>
      <c r="C617" s="15" t="n">
        <v>0.0435338767065874</v>
      </c>
    </row>
    <row r="618" customFormat="false" ht="15" hidden="false" customHeight="false" outlineLevel="0" collapsed="false">
      <c r="A618" s="0" t="s">
        <v>172</v>
      </c>
      <c r="B618" s="0" t="s">
        <v>233</v>
      </c>
      <c r="C618" s="15" t="n">
        <v>0.0378709333951614</v>
      </c>
    </row>
    <row r="619" customFormat="false" ht="15" hidden="false" customHeight="false" outlineLevel="0" collapsed="false">
      <c r="A619" s="0" t="s">
        <v>172</v>
      </c>
      <c r="B619" s="0" t="s">
        <v>234</v>
      </c>
      <c r="C619" s="15" t="n">
        <v>0.0134494903646368</v>
      </c>
    </row>
    <row r="620" customFormat="false" ht="15" hidden="false" customHeight="false" outlineLevel="0" collapsed="false">
      <c r="A620" s="0" t="s">
        <v>172</v>
      </c>
      <c r="B620" s="0" t="s">
        <v>235</v>
      </c>
      <c r="C620" s="15" t="n">
        <v>0.00353933956964125</v>
      </c>
    </row>
    <row r="621" customFormat="false" ht="15" hidden="false" customHeight="false" outlineLevel="0" collapsed="false">
      <c r="A621" s="0" t="s">
        <v>172</v>
      </c>
      <c r="B621" s="0" t="s">
        <v>236</v>
      </c>
      <c r="C621" s="15" t="n">
        <v>0.00247753769874887</v>
      </c>
    </row>
    <row r="622" customFormat="false" ht="15" hidden="false" customHeight="false" outlineLevel="0" collapsed="false">
      <c r="A622" s="0" t="s">
        <v>173</v>
      </c>
      <c r="B622" s="0" t="s">
        <v>232</v>
      </c>
      <c r="C622" s="15" t="n">
        <v>0.0435338767065874</v>
      </c>
    </row>
    <row r="623" customFormat="false" ht="15" hidden="false" customHeight="false" outlineLevel="0" collapsed="false">
      <c r="A623" s="0" t="s">
        <v>173</v>
      </c>
      <c r="B623" s="0" t="s">
        <v>233</v>
      </c>
      <c r="C623" s="15" t="n">
        <v>0.0378709333951614</v>
      </c>
    </row>
    <row r="624" customFormat="false" ht="15" hidden="false" customHeight="false" outlineLevel="0" collapsed="false">
      <c r="A624" s="0" t="s">
        <v>173</v>
      </c>
      <c r="B624" s="0" t="s">
        <v>234</v>
      </c>
      <c r="C624" s="15" t="n">
        <v>0.0134494903646368</v>
      </c>
    </row>
    <row r="625" customFormat="false" ht="15" hidden="false" customHeight="false" outlineLevel="0" collapsed="false">
      <c r="A625" s="0" t="s">
        <v>173</v>
      </c>
      <c r="B625" s="0" t="s">
        <v>235</v>
      </c>
      <c r="C625" s="15" t="n">
        <v>0.00353933956964125</v>
      </c>
    </row>
    <row r="626" customFormat="false" ht="15" hidden="false" customHeight="false" outlineLevel="0" collapsed="false">
      <c r="A626" s="0" t="s">
        <v>173</v>
      </c>
      <c r="B626" s="0" t="s">
        <v>236</v>
      </c>
      <c r="C626" s="15" t="n">
        <v>0.00247753769874887</v>
      </c>
    </row>
    <row r="627" customFormat="false" ht="15" hidden="false" customHeight="false" outlineLevel="0" collapsed="false">
      <c r="A627" s="0" t="s">
        <v>174</v>
      </c>
      <c r="B627" s="0" t="s">
        <v>232</v>
      </c>
      <c r="C627" s="15" t="n">
        <v>0.0435338767065874</v>
      </c>
    </row>
    <row r="628" customFormat="false" ht="15" hidden="false" customHeight="false" outlineLevel="0" collapsed="false">
      <c r="A628" s="0" t="s">
        <v>174</v>
      </c>
      <c r="B628" s="0" t="s">
        <v>233</v>
      </c>
      <c r="C628" s="15" t="n">
        <v>0.0378709333951614</v>
      </c>
    </row>
    <row r="629" customFormat="false" ht="15" hidden="false" customHeight="false" outlineLevel="0" collapsed="false">
      <c r="A629" s="0" t="s">
        <v>174</v>
      </c>
      <c r="B629" s="0" t="s">
        <v>234</v>
      </c>
      <c r="C629" s="15" t="n">
        <v>0.0134494903646368</v>
      </c>
    </row>
    <row r="630" customFormat="false" ht="15" hidden="false" customHeight="false" outlineLevel="0" collapsed="false">
      <c r="A630" s="0" t="s">
        <v>174</v>
      </c>
      <c r="B630" s="0" t="s">
        <v>235</v>
      </c>
      <c r="C630" s="15" t="n">
        <v>0.00353933956964125</v>
      </c>
    </row>
    <row r="631" customFormat="false" ht="15" hidden="false" customHeight="false" outlineLevel="0" collapsed="false">
      <c r="A631" s="0" t="s">
        <v>174</v>
      </c>
      <c r="B631" s="0" t="s">
        <v>236</v>
      </c>
      <c r="C631" s="15" t="n">
        <v>0.00247753769874887</v>
      </c>
    </row>
    <row r="632" customFormat="false" ht="15" hidden="false" customHeight="false" outlineLevel="0" collapsed="false">
      <c r="A632" s="0" t="s">
        <v>175</v>
      </c>
      <c r="B632" s="0" t="s">
        <v>232</v>
      </c>
      <c r="C632" s="15" t="n">
        <v>0.0435338767065874</v>
      </c>
    </row>
    <row r="633" customFormat="false" ht="15" hidden="false" customHeight="false" outlineLevel="0" collapsed="false">
      <c r="A633" s="0" t="s">
        <v>175</v>
      </c>
      <c r="B633" s="0" t="s">
        <v>233</v>
      </c>
      <c r="C633" s="15" t="n">
        <v>0.0378709333951614</v>
      </c>
    </row>
    <row r="634" customFormat="false" ht="15" hidden="false" customHeight="false" outlineLevel="0" collapsed="false">
      <c r="A634" s="0" t="s">
        <v>175</v>
      </c>
      <c r="B634" s="0" t="s">
        <v>234</v>
      </c>
      <c r="C634" s="15" t="n">
        <v>0.0134494903646368</v>
      </c>
    </row>
    <row r="635" customFormat="false" ht="15" hidden="false" customHeight="false" outlineLevel="0" collapsed="false">
      <c r="A635" s="0" t="s">
        <v>175</v>
      </c>
      <c r="B635" s="0" t="s">
        <v>235</v>
      </c>
      <c r="C635" s="15" t="n">
        <v>0.00353933956964125</v>
      </c>
    </row>
    <row r="636" customFormat="false" ht="15" hidden="false" customHeight="false" outlineLevel="0" collapsed="false">
      <c r="A636" s="0" t="s">
        <v>175</v>
      </c>
      <c r="B636" s="0" t="s">
        <v>236</v>
      </c>
      <c r="C636" s="15" t="n">
        <v>0.00247753769874887</v>
      </c>
    </row>
    <row r="637" customFormat="false" ht="15" hidden="false" customHeight="false" outlineLevel="0" collapsed="false">
      <c r="A637" s="0" t="s">
        <v>176</v>
      </c>
      <c r="B637" s="0" t="s">
        <v>232</v>
      </c>
      <c r="C637" s="15" t="n">
        <v>0.0435338767065874</v>
      </c>
    </row>
    <row r="638" customFormat="false" ht="15" hidden="false" customHeight="false" outlineLevel="0" collapsed="false">
      <c r="A638" s="0" t="s">
        <v>176</v>
      </c>
      <c r="B638" s="0" t="s">
        <v>233</v>
      </c>
      <c r="C638" s="15" t="n">
        <v>0.0378709333951614</v>
      </c>
    </row>
    <row r="639" customFormat="false" ht="15" hidden="false" customHeight="false" outlineLevel="0" collapsed="false">
      <c r="A639" s="0" t="s">
        <v>176</v>
      </c>
      <c r="B639" s="0" t="s">
        <v>234</v>
      </c>
      <c r="C639" s="15" t="n">
        <v>0.0134494903646368</v>
      </c>
    </row>
    <row r="640" customFormat="false" ht="15" hidden="false" customHeight="false" outlineLevel="0" collapsed="false">
      <c r="A640" s="0" t="s">
        <v>176</v>
      </c>
      <c r="B640" s="0" t="s">
        <v>235</v>
      </c>
      <c r="C640" s="15" t="n">
        <v>0.00353933956964125</v>
      </c>
    </row>
    <row r="641" customFormat="false" ht="15" hidden="false" customHeight="false" outlineLevel="0" collapsed="false">
      <c r="A641" s="0" t="s">
        <v>176</v>
      </c>
      <c r="B641" s="0" t="s">
        <v>236</v>
      </c>
      <c r="C641" s="15" t="n">
        <v>0.00247753769874887</v>
      </c>
    </row>
    <row r="642" customFormat="false" ht="15" hidden="false" customHeight="false" outlineLevel="0" collapsed="false">
      <c r="A642" s="0" t="s">
        <v>177</v>
      </c>
      <c r="B642" s="0" t="s">
        <v>232</v>
      </c>
      <c r="C642" s="15" t="n">
        <v>0.0435338767065874</v>
      </c>
    </row>
    <row r="643" customFormat="false" ht="15" hidden="false" customHeight="false" outlineLevel="0" collapsed="false">
      <c r="A643" s="0" t="s">
        <v>177</v>
      </c>
      <c r="B643" s="0" t="s">
        <v>233</v>
      </c>
      <c r="C643" s="15" t="n">
        <v>0.0378709333951614</v>
      </c>
    </row>
    <row r="644" customFormat="false" ht="15" hidden="false" customHeight="false" outlineLevel="0" collapsed="false">
      <c r="A644" s="0" t="s">
        <v>177</v>
      </c>
      <c r="B644" s="0" t="s">
        <v>234</v>
      </c>
      <c r="C644" s="15" t="n">
        <v>0.0134494903646368</v>
      </c>
    </row>
    <row r="645" customFormat="false" ht="15" hidden="false" customHeight="false" outlineLevel="0" collapsed="false">
      <c r="A645" s="0" t="s">
        <v>177</v>
      </c>
      <c r="B645" s="0" t="s">
        <v>235</v>
      </c>
      <c r="C645" s="15" t="n">
        <v>0.00353933956964125</v>
      </c>
    </row>
    <row r="646" customFormat="false" ht="15" hidden="false" customHeight="false" outlineLevel="0" collapsed="false">
      <c r="A646" s="0" t="s">
        <v>177</v>
      </c>
      <c r="B646" s="0" t="s">
        <v>236</v>
      </c>
      <c r="C646" s="15" t="n">
        <v>0.00247753769874887</v>
      </c>
    </row>
    <row r="647" customFormat="false" ht="15" hidden="false" customHeight="false" outlineLevel="0" collapsed="false">
      <c r="A647" s="0" t="s">
        <v>178</v>
      </c>
      <c r="B647" s="0" t="s">
        <v>232</v>
      </c>
      <c r="C647" s="15" t="n">
        <v>0.0435338767065874</v>
      </c>
    </row>
    <row r="648" customFormat="false" ht="15" hidden="false" customHeight="false" outlineLevel="0" collapsed="false">
      <c r="A648" s="0" t="s">
        <v>178</v>
      </c>
      <c r="B648" s="0" t="s">
        <v>233</v>
      </c>
      <c r="C648" s="15" t="n">
        <v>0.0378709333951614</v>
      </c>
    </row>
    <row r="649" customFormat="false" ht="15" hidden="false" customHeight="false" outlineLevel="0" collapsed="false">
      <c r="A649" s="0" t="s">
        <v>178</v>
      </c>
      <c r="B649" s="0" t="s">
        <v>234</v>
      </c>
      <c r="C649" s="15" t="n">
        <v>0.0134494903646368</v>
      </c>
    </row>
    <row r="650" customFormat="false" ht="15" hidden="false" customHeight="false" outlineLevel="0" collapsed="false">
      <c r="A650" s="0" t="s">
        <v>178</v>
      </c>
      <c r="B650" s="0" t="s">
        <v>235</v>
      </c>
      <c r="C650" s="15" t="n">
        <v>0.00353933956964125</v>
      </c>
    </row>
    <row r="651" customFormat="false" ht="15" hidden="false" customHeight="false" outlineLevel="0" collapsed="false">
      <c r="A651" s="0" t="s">
        <v>178</v>
      </c>
      <c r="B651" s="0" t="s">
        <v>236</v>
      </c>
      <c r="C651" s="15" t="n">
        <v>0.00247753769874887</v>
      </c>
    </row>
    <row r="652" customFormat="false" ht="15" hidden="false" customHeight="false" outlineLevel="0" collapsed="false">
      <c r="A652" s="0" t="s">
        <v>179</v>
      </c>
      <c r="B652" s="0" t="s">
        <v>232</v>
      </c>
      <c r="C652" s="15" t="n">
        <v>0.0435338767065874</v>
      </c>
    </row>
    <row r="653" customFormat="false" ht="15" hidden="false" customHeight="false" outlineLevel="0" collapsed="false">
      <c r="A653" s="0" t="s">
        <v>179</v>
      </c>
      <c r="B653" s="0" t="s">
        <v>233</v>
      </c>
      <c r="C653" s="15" t="n">
        <v>0.0378709333951614</v>
      </c>
    </row>
    <row r="654" customFormat="false" ht="15" hidden="false" customHeight="false" outlineLevel="0" collapsed="false">
      <c r="A654" s="0" t="s">
        <v>179</v>
      </c>
      <c r="B654" s="0" t="s">
        <v>234</v>
      </c>
      <c r="C654" s="15" t="n">
        <v>0.0134494903646368</v>
      </c>
    </row>
    <row r="655" customFormat="false" ht="15" hidden="false" customHeight="false" outlineLevel="0" collapsed="false">
      <c r="A655" s="0" t="s">
        <v>179</v>
      </c>
      <c r="B655" s="0" t="s">
        <v>235</v>
      </c>
      <c r="C655" s="15" t="n">
        <v>0.00353933956964125</v>
      </c>
    </row>
    <row r="656" customFormat="false" ht="15" hidden="false" customHeight="false" outlineLevel="0" collapsed="false">
      <c r="A656" s="0" t="s">
        <v>179</v>
      </c>
      <c r="B656" s="0" t="s">
        <v>236</v>
      </c>
      <c r="C656" s="15" t="n">
        <v>0.00247753769874887</v>
      </c>
    </row>
    <row r="657" customFormat="false" ht="15" hidden="false" customHeight="false" outlineLevel="0" collapsed="false">
      <c r="A657" s="0" t="s">
        <v>180</v>
      </c>
      <c r="B657" s="0" t="s">
        <v>232</v>
      </c>
      <c r="C657" s="15" t="n">
        <v>0.0435338767065874</v>
      </c>
    </row>
    <row r="658" customFormat="false" ht="15" hidden="false" customHeight="false" outlineLevel="0" collapsed="false">
      <c r="A658" s="0" t="s">
        <v>180</v>
      </c>
      <c r="B658" s="0" t="s">
        <v>233</v>
      </c>
      <c r="C658" s="15" t="n">
        <v>0.0378709333951614</v>
      </c>
    </row>
    <row r="659" customFormat="false" ht="15" hidden="false" customHeight="false" outlineLevel="0" collapsed="false">
      <c r="A659" s="0" t="s">
        <v>180</v>
      </c>
      <c r="B659" s="0" t="s">
        <v>234</v>
      </c>
      <c r="C659" s="15" t="n">
        <v>0.0134494903646368</v>
      </c>
    </row>
    <row r="660" customFormat="false" ht="15" hidden="false" customHeight="false" outlineLevel="0" collapsed="false">
      <c r="A660" s="0" t="s">
        <v>180</v>
      </c>
      <c r="B660" s="0" t="s">
        <v>235</v>
      </c>
      <c r="C660" s="15" t="n">
        <v>0.00353933956964125</v>
      </c>
    </row>
    <row r="661" customFormat="false" ht="15" hidden="false" customHeight="false" outlineLevel="0" collapsed="false">
      <c r="A661" s="0" t="s">
        <v>180</v>
      </c>
      <c r="B661" s="0" t="s">
        <v>236</v>
      </c>
      <c r="C661" s="15" t="n">
        <v>0.00247753769874887</v>
      </c>
    </row>
    <row r="662" customFormat="false" ht="15" hidden="false" customHeight="false" outlineLevel="0" collapsed="false">
      <c r="A662" s="0" t="s">
        <v>181</v>
      </c>
      <c r="B662" s="0" t="s">
        <v>232</v>
      </c>
      <c r="C662" s="15" t="n">
        <v>0.0435338767065874</v>
      </c>
    </row>
    <row r="663" customFormat="false" ht="15" hidden="false" customHeight="false" outlineLevel="0" collapsed="false">
      <c r="A663" s="0" t="s">
        <v>181</v>
      </c>
      <c r="B663" s="0" t="s">
        <v>233</v>
      </c>
      <c r="C663" s="15" t="n">
        <v>0.0378709333951614</v>
      </c>
    </row>
    <row r="664" customFormat="false" ht="15" hidden="false" customHeight="false" outlineLevel="0" collapsed="false">
      <c r="A664" s="0" t="s">
        <v>181</v>
      </c>
      <c r="B664" s="0" t="s">
        <v>234</v>
      </c>
      <c r="C664" s="15" t="n">
        <v>0.0134494903646368</v>
      </c>
    </row>
    <row r="665" customFormat="false" ht="15" hidden="false" customHeight="false" outlineLevel="0" collapsed="false">
      <c r="A665" s="0" t="s">
        <v>181</v>
      </c>
      <c r="B665" s="0" t="s">
        <v>235</v>
      </c>
      <c r="C665" s="15" t="n">
        <v>0.00353933956964125</v>
      </c>
    </row>
    <row r="666" customFormat="false" ht="15" hidden="false" customHeight="false" outlineLevel="0" collapsed="false">
      <c r="A666" s="0" t="s">
        <v>181</v>
      </c>
      <c r="B666" s="0" t="s">
        <v>236</v>
      </c>
      <c r="C666" s="15" t="n">
        <v>0.00247753769874887</v>
      </c>
    </row>
    <row r="667" customFormat="false" ht="15" hidden="false" customHeight="false" outlineLevel="0" collapsed="false">
      <c r="A667" s="0" t="s">
        <v>182</v>
      </c>
      <c r="B667" s="0" t="s">
        <v>232</v>
      </c>
      <c r="C667" s="15" t="n">
        <v>0.0435338767065874</v>
      </c>
    </row>
    <row r="668" customFormat="false" ht="15" hidden="false" customHeight="false" outlineLevel="0" collapsed="false">
      <c r="A668" s="0" t="s">
        <v>182</v>
      </c>
      <c r="B668" s="0" t="s">
        <v>233</v>
      </c>
      <c r="C668" s="15" t="n">
        <v>0.0378709333951614</v>
      </c>
    </row>
    <row r="669" customFormat="false" ht="15" hidden="false" customHeight="false" outlineLevel="0" collapsed="false">
      <c r="A669" s="0" t="s">
        <v>182</v>
      </c>
      <c r="B669" s="0" t="s">
        <v>234</v>
      </c>
      <c r="C669" s="15" t="n">
        <v>0.0134494903646368</v>
      </c>
    </row>
    <row r="670" customFormat="false" ht="15" hidden="false" customHeight="false" outlineLevel="0" collapsed="false">
      <c r="A670" s="0" t="s">
        <v>182</v>
      </c>
      <c r="B670" s="0" t="s">
        <v>235</v>
      </c>
      <c r="C670" s="15" t="n">
        <v>0.00353933956964125</v>
      </c>
    </row>
    <row r="671" customFormat="false" ht="15" hidden="false" customHeight="false" outlineLevel="0" collapsed="false">
      <c r="A671" s="0" t="s">
        <v>182</v>
      </c>
      <c r="B671" s="0" t="s">
        <v>236</v>
      </c>
      <c r="C671" s="15" t="n">
        <v>0.00247753769874887</v>
      </c>
    </row>
    <row r="672" customFormat="false" ht="15" hidden="false" customHeight="false" outlineLevel="0" collapsed="false">
      <c r="A672" s="0" t="s">
        <v>183</v>
      </c>
      <c r="B672" s="0" t="s">
        <v>232</v>
      </c>
      <c r="C672" s="15" t="n">
        <v>0.0435338767065874</v>
      </c>
    </row>
    <row r="673" customFormat="false" ht="15" hidden="false" customHeight="false" outlineLevel="0" collapsed="false">
      <c r="A673" s="0" t="s">
        <v>183</v>
      </c>
      <c r="B673" s="0" t="s">
        <v>233</v>
      </c>
      <c r="C673" s="15" t="n">
        <v>0.0378709333951614</v>
      </c>
    </row>
    <row r="674" customFormat="false" ht="15" hidden="false" customHeight="false" outlineLevel="0" collapsed="false">
      <c r="A674" s="0" t="s">
        <v>183</v>
      </c>
      <c r="B674" s="0" t="s">
        <v>234</v>
      </c>
      <c r="C674" s="15" t="n">
        <v>0.0134494903646368</v>
      </c>
    </row>
    <row r="675" customFormat="false" ht="15" hidden="false" customHeight="false" outlineLevel="0" collapsed="false">
      <c r="A675" s="0" t="s">
        <v>183</v>
      </c>
      <c r="B675" s="0" t="s">
        <v>235</v>
      </c>
      <c r="C675" s="15" t="n">
        <v>0.00353933956964125</v>
      </c>
    </row>
    <row r="676" customFormat="false" ht="15" hidden="false" customHeight="false" outlineLevel="0" collapsed="false">
      <c r="A676" s="0" t="s">
        <v>183</v>
      </c>
      <c r="B676" s="0" t="s">
        <v>236</v>
      </c>
      <c r="C676" s="15" t="n">
        <v>0.00247753769874887</v>
      </c>
    </row>
    <row r="677" customFormat="false" ht="15" hidden="false" customHeight="false" outlineLevel="0" collapsed="false">
      <c r="A677" s="0" t="s">
        <v>184</v>
      </c>
      <c r="B677" s="0" t="s">
        <v>232</v>
      </c>
      <c r="C677" s="15" t="n">
        <v>0.0435338767065874</v>
      </c>
    </row>
    <row r="678" customFormat="false" ht="15" hidden="false" customHeight="false" outlineLevel="0" collapsed="false">
      <c r="A678" s="0" t="s">
        <v>184</v>
      </c>
      <c r="B678" s="0" t="s">
        <v>233</v>
      </c>
      <c r="C678" s="15" t="n">
        <v>0.0378709333951614</v>
      </c>
    </row>
    <row r="679" customFormat="false" ht="15" hidden="false" customHeight="false" outlineLevel="0" collapsed="false">
      <c r="A679" s="0" t="s">
        <v>184</v>
      </c>
      <c r="B679" s="0" t="s">
        <v>234</v>
      </c>
      <c r="C679" s="15" t="n">
        <v>0.0134494903646368</v>
      </c>
    </row>
    <row r="680" customFormat="false" ht="15" hidden="false" customHeight="false" outlineLevel="0" collapsed="false">
      <c r="A680" s="0" t="s">
        <v>184</v>
      </c>
      <c r="B680" s="0" t="s">
        <v>235</v>
      </c>
      <c r="C680" s="15" t="n">
        <v>0.00353933956964125</v>
      </c>
    </row>
    <row r="681" customFormat="false" ht="15" hidden="false" customHeight="false" outlineLevel="0" collapsed="false">
      <c r="A681" s="0" t="s">
        <v>184</v>
      </c>
      <c r="B681" s="0" t="s">
        <v>236</v>
      </c>
      <c r="C681" s="15" t="n">
        <v>0.00247753769874887</v>
      </c>
    </row>
    <row r="682" customFormat="false" ht="15" hidden="false" customHeight="false" outlineLevel="0" collapsed="false">
      <c r="A682" s="0" t="s">
        <v>185</v>
      </c>
      <c r="B682" s="0" t="s">
        <v>232</v>
      </c>
      <c r="C682" s="15" t="n">
        <v>0.0435338767065874</v>
      </c>
    </row>
    <row r="683" customFormat="false" ht="15" hidden="false" customHeight="false" outlineLevel="0" collapsed="false">
      <c r="A683" s="0" t="s">
        <v>185</v>
      </c>
      <c r="B683" s="0" t="s">
        <v>233</v>
      </c>
      <c r="C683" s="15" t="n">
        <v>0.0378709333951614</v>
      </c>
    </row>
    <row r="684" customFormat="false" ht="15" hidden="false" customHeight="false" outlineLevel="0" collapsed="false">
      <c r="A684" s="0" t="s">
        <v>185</v>
      </c>
      <c r="B684" s="0" t="s">
        <v>234</v>
      </c>
      <c r="C684" s="15" t="n">
        <v>0.0134494903646368</v>
      </c>
    </row>
    <row r="685" customFormat="false" ht="15" hidden="false" customHeight="false" outlineLevel="0" collapsed="false">
      <c r="A685" s="0" t="s">
        <v>185</v>
      </c>
      <c r="B685" s="0" t="s">
        <v>235</v>
      </c>
      <c r="C685" s="15" t="n">
        <v>0.00353933956964125</v>
      </c>
    </row>
    <row r="686" customFormat="false" ht="15" hidden="false" customHeight="false" outlineLevel="0" collapsed="false">
      <c r="A686" s="0" t="s">
        <v>185</v>
      </c>
      <c r="B686" s="0" t="s">
        <v>236</v>
      </c>
      <c r="C686" s="15" t="n">
        <v>0.00247753769874887</v>
      </c>
    </row>
    <row r="687" customFormat="false" ht="15" hidden="false" customHeight="false" outlineLevel="0" collapsed="false">
      <c r="A687" s="0" t="s">
        <v>186</v>
      </c>
      <c r="B687" s="0" t="s">
        <v>232</v>
      </c>
      <c r="C687" s="15" t="n">
        <v>0.0435338767065874</v>
      </c>
    </row>
    <row r="688" customFormat="false" ht="15" hidden="false" customHeight="false" outlineLevel="0" collapsed="false">
      <c r="A688" s="0" t="s">
        <v>186</v>
      </c>
      <c r="B688" s="0" t="s">
        <v>233</v>
      </c>
      <c r="C688" s="15" t="n">
        <v>0.0378709333951614</v>
      </c>
    </row>
    <row r="689" customFormat="false" ht="15" hidden="false" customHeight="false" outlineLevel="0" collapsed="false">
      <c r="A689" s="0" t="s">
        <v>186</v>
      </c>
      <c r="B689" s="0" t="s">
        <v>234</v>
      </c>
      <c r="C689" s="15" t="n">
        <v>0.0134494903646368</v>
      </c>
    </row>
    <row r="690" customFormat="false" ht="15" hidden="false" customHeight="false" outlineLevel="0" collapsed="false">
      <c r="A690" s="0" t="s">
        <v>186</v>
      </c>
      <c r="B690" s="0" t="s">
        <v>235</v>
      </c>
      <c r="C690" s="15" t="n">
        <v>0.00353933956964125</v>
      </c>
    </row>
    <row r="691" customFormat="false" ht="15" hidden="false" customHeight="false" outlineLevel="0" collapsed="false">
      <c r="A691" s="0" t="s">
        <v>186</v>
      </c>
      <c r="B691" s="0" t="s">
        <v>236</v>
      </c>
      <c r="C691" s="15" t="n">
        <v>0.00247753769874887</v>
      </c>
    </row>
    <row r="692" customFormat="false" ht="15" hidden="false" customHeight="false" outlineLevel="0" collapsed="false">
      <c r="A692" s="0" t="s">
        <v>187</v>
      </c>
      <c r="B692" s="0" t="s">
        <v>232</v>
      </c>
      <c r="C692" s="15" t="n">
        <v>0.0435338767065874</v>
      </c>
    </row>
    <row r="693" customFormat="false" ht="15" hidden="false" customHeight="false" outlineLevel="0" collapsed="false">
      <c r="A693" s="0" t="s">
        <v>187</v>
      </c>
      <c r="B693" s="0" t="s">
        <v>233</v>
      </c>
      <c r="C693" s="15" t="n">
        <v>0.0378709333951614</v>
      </c>
    </row>
    <row r="694" customFormat="false" ht="15" hidden="false" customHeight="false" outlineLevel="0" collapsed="false">
      <c r="A694" s="0" t="s">
        <v>187</v>
      </c>
      <c r="B694" s="0" t="s">
        <v>234</v>
      </c>
      <c r="C694" s="15" t="n">
        <v>0.0134494903646368</v>
      </c>
    </row>
    <row r="695" customFormat="false" ht="15" hidden="false" customHeight="false" outlineLevel="0" collapsed="false">
      <c r="A695" s="0" t="s">
        <v>187</v>
      </c>
      <c r="B695" s="0" t="s">
        <v>235</v>
      </c>
      <c r="C695" s="15" t="n">
        <v>0.00353933956964125</v>
      </c>
    </row>
    <row r="696" customFormat="false" ht="15" hidden="false" customHeight="false" outlineLevel="0" collapsed="false">
      <c r="A696" s="0" t="s">
        <v>187</v>
      </c>
      <c r="B696" s="0" t="s">
        <v>236</v>
      </c>
      <c r="C696" s="15" t="n">
        <v>0.00247753769874887</v>
      </c>
    </row>
    <row r="697" customFormat="false" ht="15" hidden="false" customHeight="false" outlineLevel="0" collapsed="false">
      <c r="A697" s="0" t="s">
        <v>188</v>
      </c>
      <c r="B697" s="0" t="s">
        <v>232</v>
      </c>
      <c r="C697" s="15" t="n">
        <v>0.0435338767065874</v>
      </c>
    </row>
    <row r="698" customFormat="false" ht="15" hidden="false" customHeight="false" outlineLevel="0" collapsed="false">
      <c r="A698" s="0" t="s">
        <v>188</v>
      </c>
      <c r="B698" s="0" t="s">
        <v>233</v>
      </c>
      <c r="C698" s="15" t="n">
        <v>0.0378709333951614</v>
      </c>
    </row>
    <row r="699" customFormat="false" ht="15" hidden="false" customHeight="false" outlineLevel="0" collapsed="false">
      <c r="A699" s="0" t="s">
        <v>188</v>
      </c>
      <c r="B699" s="0" t="s">
        <v>234</v>
      </c>
      <c r="C699" s="15" t="n">
        <v>0.0134494903646368</v>
      </c>
    </row>
    <row r="700" customFormat="false" ht="15" hidden="false" customHeight="false" outlineLevel="0" collapsed="false">
      <c r="A700" s="0" t="s">
        <v>188</v>
      </c>
      <c r="B700" s="0" t="s">
        <v>235</v>
      </c>
      <c r="C700" s="15" t="n">
        <v>0.00353933956964125</v>
      </c>
    </row>
    <row r="701" customFormat="false" ht="15" hidden="false" customHeight="false" outlineLevel="0" collapsed="false">
      <c r="A701" s="0" t="s">
        <v>188</v>
      </c>
      <c r="B701" s="0" t="s">
        <v>236</v>
      </c>
      <c r="C701" s="15" t="n">
        <v>0.00247753769874887</v>
      </c>
    </row>
    <row r="702" customFormat="false" ht="15" hidden="false" customHeight="false" outlineLevel="0" collapsed="false">
      <c r="A702" s="0" t="s">
        <v>189</v>
      </c>
      <c r="B702" s="0" t="s">
        <v>232</v>
      </c>
      <c r="C702" s="15" t="n">
        <v>0.0435338767065874</v>
      </c>
    </row>
    <row r="703" customFormat="false" ht="15" hidden="false" customHeight="false" outlineLevel="0" collapsed="false">
      <c r="A703" s="0" t="s">
        <v>189</v>
      </c>
      <c r="B703" s="0" t="s">
        <v>233</v>
      </c>
      <c r="C703" s="15" t="n">
        <v>0.0378709333951614</v>
      </c>
    </row>
    <row r="704" customFormat="false" ht="15" hidden="false" customHeight="false" outlineLevel="0" collapsed="false">
      <c r="A704" s="0" t="s">
        <v>189</v>
      </c>
      <c r="B704" s="0" t="s">
        <v>234</v>
      </c>
      <c r="C704" s="15" t="n">
        <v>0.0134494903646368</v>
      </c>
    </row>
    <row r="705" customFormat="false" ht="15" hidden="false" customHeight="false" outlineLevel="0" collapsed="false">
      <c r="A705" s="0" t="s">
        <v>189</v>
      </c>
      <c r="B705" s="0" t="s">
        <v>235</v>
      </c>
      <c r="C705" s="15" t="n">
        <v>0.00353933956964125</v>
      </c>
    </row>
    <row r="706" customFormat="false" ht="15" hidden="false" customHeight="false" outlineLevel="0" collapsed="false">
      <c r="A706" s="0" t="s">
        <v>189</v>
      </c>
      <c r="B706" s="0" t="s">
        <v>236</v>
      </c>
      <c r="C706" s="15" t="n">
        <v>0.00247753769874887</v>
      </c>
    </row>
    <row r="707" customFormat="false" ht="15" hidden="false" customHeight="false" outlineLevel="0" collapsed="false">
      <c r="A707" s="0" t="s">
        <v>190</v>
      </c>
      <c r="B707" s="0" t="s">
        <v>232</v>
      </c>
      <c r="C707" s="15" t="n">
        <v>0.0435338767065874</v>
      </c>
    </row>
    <row r="708" customFormat="false" ht="15" hidden="false" customHeight="false" outlineLevel="0" collapsed="false">
      <c r="A708" s="0" t="s">
        <v>190</v>
      </c>
      <c r="B708" s="0" t="s">
        <v>233</v>
      </c>
      <c r="C708" s="15" t="n">
        <v>0.0378709333951614</v>
      </c>
    </row>
    <row r="709" customFormat="false" ht="15" hidden="false" customHeight="false" outlineLevel="0" collapsed="false">
      <c r="A709" s="0" t="s">
        <v>190</v>
      </c>
      <c r="B709" s="0" t="s">
        <v>234</v>
      </c>
      <c r="C709" s="15" t="n">
        <v>0.0134494903646368</v>
      </c>
    </row>
    <row r="710" customFormat="false" ht="15" hidden="false" customHeight="false" outlineLevel="0" collapsed="false">
      <c r="A710" s="0" t="s">
        <v>190</v>
      </c>
      <c r="B710" s="0" t="s">
        <v>235</v>
      </c>
      <c r="C710" s="15" t="n">
        <v>0.00353933956964125</v>
      </c>
    </row>
    <row r="711" customFormat="false" ht="15" hidden="false" customHeight="false" outlineLevel="0" collapsed="false">
      <c r="A711" s="0" t="s">
        <v>190</v>
      </c>
      <c r="B711" s="0" t="s">
        <v>236</v>
      </c>
      <c r="C711" s="15" t="n">
        <v>0.00247753769874887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0" t="s">
        <v>262</v>
      </c>
      <c r="B1" s="0" t="s">
        <v>263</v>
      </c>
      <c r="C1" s="0" t="s">
        <v>264</v>
      </c>
    </row>
    <row r="2" customFormat="false" ht="15" hidden="false" customHeight="false" outlineLevel="0" collapsed="false">
      <c r="A2" s="0" t="n">
        <v>1</v>
      </c>
      <c r="B2" s="0" t="s">
        <v>265</v>
      </c>
      <c r="C2" s="0" t="n">
        <v>0.02351</v>
      </c>
    </row>
    <row r="3" customFormat="false" ht="15" hidden="false" customHeight="false" outlineLevel="0" collapsed="false">
      <c r="A3" s="0" t="n">
        <v>2</v>
      </c>
      <c r="B3" s="0" t="s">
        <v>265</v>
      </c>
      <c r="C3" s="0" t="n">
        <v>0.02351</v>
      </c>
    </row>
    <row r="4" customFormat="false" ht="15" hidden="false" customHeight="false" outlineLevel="0" collapsed="false">
      <c r="A4" s="0" t="n">
        <v>3</v>
      </c>
      <c r="B4" s="0" t="s">
        <v>265</v>
      </c>
      <c r="C4" s="0" t="n">
        <v>0.02351</v>
      </c>
    </row>
    <row r="5" customFormat="false" ht="15" hidden="false" customHeight="false" outlineLevel="0" collapsed="false">
      <c r="A5" s="0" t="n">
        <v>4</v>
      </c>
      <c r="B5" s="0" t="s">
        <v>265</v>
      </c>
      <c r="C5" s="0" t="n">
        <v>0.02351</v>
      </c>
    </row>
    <row r="6" customFormat="false" ht="15" hidden="false" customHeight="false" outlineLevel="0" collapsed="false">
      <c r="A6" s="0" t="n">
        <v>5</v>
      </c>
      <c r="B6" s="0" t="s">
        <v>265</v>
      </c>
      <c r="C6" s="0" t="n">
        <v>0.01947</v>
      </c>
    </row>
    <row r="7" customFormat="false" ht="15" hidden="false" customHeight="false" outlineLevel="0" collapsed="false">
      <c r="A7" s="0" t="n">
        <v>6</v>
      </c>
      <c r="B7" s="0" t="s">
        <v>265</v>
      </c>
      <c r="C7" s="0" t="n">
        <v>0.01644</v>
      </c>
    </row>
    <row r="8" customFormat="false" ht="15" hidden="false" customHeight="false" outlineLevel="0" collapsed="false">
      <c r="A8" s="0" t="n">
        <v>7</v>
      </c>
      <c r="B8" s="0" t="s">
        <v>265</v>
      </c>
      <c r="C8" s="0" t="n">
        <v>0.01644</v>
      </c>
    </row>
    <row r="9" customFormat="false" ht="15" hidden="false" customHeight="false" outlineLevel="0" collapsed="false">
      <c r="A9" s="0" t="n">
        <v>8</v>
      </c>
      <c r="B9" s="0" t="s">
        <v>265</v>
      </c>
      <c r="C9" s="0" t="n">
        <v>0.01644</v>
      </c>
    </row>
    <row r="10" customFormat="false" ht="15" hidden="false" customHeight="false" outlineLevel="0" collapsed="false">
      <c r="A10" s="0" t="n">
        <v>9</v>
      </c>
      <c r="B10" s="0" t="s">
        <v>265</v>
      </c>
      <c r="C10" s="0" t="n">
        <v>0.01777</v>
      </c>
    </row>
    <row r="11" customFormat="false" ht="15" hidden="false" customHeight="false" outlineLevel="0" collapsed="false">
      <c r="A11" s="0" t="n">
        <v>10</v>
      </c>
      <c r="B11" s="0" t="s">
        <v>266</v>
      </c>
      <c r="C11" s="0" t="n">
        <v>0.01878</v>
      </c>
    </row>
    <row r="12" customFormat="false" ht="15" hidden="false" customHeight="false" outlineLevel="0" collapsed="false">
      <c r="A12" s="0" t="n">
        <v>11</v>
      </c>
      <c r="B12" s="0" t="s">
        <v>266</v>
      </c>
      <c r="C12" s="0" t="n">
        <v>0.01878</v>
      </c>
    </row>
    <row r="13" customFormat="false" ht="15" hidden="false" customHeight="false" outlineLevel="0" collapsed="false">
      <c r="A13" s="0" t="n">
        <v>12</v>
      </c>
      <c r="B13" s="0" t="s">
        <v>266</v>
      </c>
      <c r="C13" s="0" t="n">
        <v>0.01878</v>
      </c>
    </row>
    <row r="14" customFormat="false" ht="15" hidden="false" customHeight="false" outlineLevel="0" collapsed="false">
      <c r="A14" s="0" t="n">
        <v>13</v>
      </c>
      <c r="B14" s="0" t="s">
        <v>266</v>
      </c>
      <c r="C14" s="0" t="n">
        <v>0.01834</v>
      </c>
    </row>
    <row r="15" customFormat="false" ht="15" hidden="false" customHeight="false" outlineLevel="0" collapsed="false">
      <c r="A15" s="0" t="n">
        <v>14</v>
      </c>
      <c r="B15" s="0" t="s">
        <v>266</v>
      </c>
      <c r="C15" s="0" t="n">
        <v>0.01571</v>
      </c>
    </row>
    <row r="16" customFormat="false" ht="15" hidden="false" customHeight="false" outlineLevel="0" collapsed="false">
      <c r="A16" s="0" t="n">
        <v>15</v>
      </c>
      <c r="B16" s="0" t="s">
        <v>266</v>
      </c>
      <c r="C16" s="0" t="n">
        <v>0.01571</v>
      </c>
    </row>
    <row r="17" customFormat="false" ht="15" hidden="false" customHeight="false" outlineLevel="0" collapsed="false">
      <c r="A17" s="0" t="n">
        <v>16</v>
      </c>
      <c r="B17" s="0" t="s">
        <v>266</v>
      </c>
      <c r="C17" s="0" t="n">
        <v>0.01571</v>
      </c>
    </row>
    <row r="18" customFormat="false" ht="15" hidden="false" customHeight="false" outlineLevel="0" collapsed="false">
      <c r="A18" s="0" t="n">
        <v>17</v>
      </c>
      <c r="B18" s="0" t="s">
        <v>266</v>
      </c>
      <c r="C18" s="0" t="n">
        <v>0.01571</v>
      </c>
    </row>
    <row r="19" customFormat="false" ht="15" hidden="false" customHeight="false" outlineLevel="0" collapsed="false">
      <c r="A19" s="0" t="n">
        <v>18</v>
      </c>
      <c r="B19" s="0" t="s">
        <v>266</v>
      </c>
      <c r="C19" s="0" t="n">
        <v>0.01557</v>
      </c>
    </row>
    <row r="20" customFormat="false" ht="15" hidden="false" customHeight="false" outlineLevel="0" collapsed="false">
      <c r="A20" s="0" t="n">
        <v>19</v>
      </c>
      <c r="B20" s="0" t="s">
        <v>266</v>
      </c>
      <c r="C20" s="0" t="n">
        <v>0.01555</v>
      </c>
    </row>
    <row r="21" customFormat="false" ht="15" hidden="false" customHeight="false" outlineLevel="0" collapsed="false">
      <c r="A21" s="0" t="n">
        <v>20</v>
      </c>
      <c r="B21" s="0" t="s">
        <v>266</v>
      </c>
      <c r="C21" s="0" t="n">
        <v>0.01555</v>
      </c>
    </row>
    <row r="22" customFormat="false" ht="15" hidden="false" customHeight="false" outlineLevel="0" collapsed="false">
      <c r="A22" s="0" t="n">
        <v>21</v>
      </c>
      <c r="B22" s="0" t="s">
        <v>266</v>
      </c>
      <c r="C22" s="0" t="n">
        <v>0.01555</v>
      </c>
    </row>
    <row r="23" customFormat="false" ht="15" hidden="false" customHeight="false" outlineLevel="0" collapsed="false">
      <c r="A23" s="0" t="n">
        <v>22</v>
      </c>
      <c r="B23" s="0" t="s">
        <v>266</v>
      </c>
      <c r="C23" s="0" t="n">
        <v>0.01512</v>
      </c>
    </row>
    <row r="24" customFormat="false" ht="15" hidden="false" customHeight="false" outlineLevel="0" collapsed="false">
      <c r="A24" s="0" t="n">
        <v>23</v>
      </c>
      <c r="B24" s="0" t="s">
        <v>266</v>
      </c>
      <c r="C24" s="0" t="n">
        <v>0.01455</v>
      </c>
    </row>
    <row r="25" customFormat="false" ht="15" hidden="false" customHeight="false" outlineLevel="0" collapsed="false">
      <c r="A25" s="0" t="n">
        <v>24</v>
      </c>
      <c r="B25" s="0" t="s">
        <v>266</v>
      </c>
      <c r="C25" s="0" t="n">
        <v>0.01455</v>
      </c>
    </row>
    <row r="26" customFormat="false" ht="15" hidden="false" customHeight="false" outlineLevel="0" collapsed="false">
      <c r="A26" s="0" t="n">
        <v>25</v>
      </c>
      <c r="B26" s="0" t="s">
        <v>266</v>
      </c>
      <c r="C26" s="0" t="n">
        <v>0.01455</v>
      </c>
    </row>
    <row r="27" customFormat="false" ht="15" hidden="false" customHeight="false" outlineLevel="0" collapsed="false">
      <c r="A27" s="0" t="n">
        <v>26</v>
      </c>
      <c r="B27" s="0" t="s">
        <v>266</v>
      </c>
      <c r="C27" s="0" t="n">
        <v>0.01501</v>
      </c>
    </row>
    <row r="28" customFormat="false" ht="15" hidden="false" customHeight="false" outlineLevel="0" collapsed="false">
      <c r="A28" s="0" t="n">
        <v>27</v>
      </c>
      <c r="B28" s="0" t="s">
        <v>266</v>
      </c>
      <c r="C28" s="0" t="n">
        <v>0.01782</v>
      </c>
    </row>
    <row r="29" customFormat="false" ht="15" hidden="false" customHeight="false" outlineLevel="0" collapsed="false">
      <c r="A29" s="0" t="n">
        <v>28</v>
      </c>
      <c r="B29" s="0" t="s">
        <v>266</v>
      </c>
      <c r="C29" s="0" t="n">
        <v>0.01782</v>
      </c>
    </row>
    <row r="30" customFormat="false" ht="15" hidden="false" customHeight="false" outlineLevel="0" collapsed="false">
      <c r="A30" s="0" t="n">
        <v>29</v>
      </c>
      <c r="B30" s="0" t="s">
        <v>266</v>
      </c>
      <c r="C30" s="0" t="n">
        <v>0.01782</v>
      </c>
    </row>
    <row r="31" customFormat="false" ht="15" hidden="false" customHeight="false" outlineLevel="0" collapsed="false">
      <c r="A31" s="0" t="n">
        <v>30</v>
      </c>
      <c r="B31" s="0" t="s">
        <v>266</v>
      </c>
      <c r="C31" s="0" t="n">
        <v>0.01782</v>
      </c>
    </row>
    <row r="32" customFormat="false" ht="15" hidden="false" customHeight="false" outlineLevel="0" collapsed="false">
      <c r="A32" s="0" t="n">
        <v>31</v>
      </c>
      <c r="B32" s="0" t="s">
        <v>266</v>
      </c>
      <c r="C32" s="0" t="n">
        <v>0.01829</v>
      </c>
    </row>
    <row r="33" customFormat="false" ht="15" hidden="false" customHeight="false" outlineLevel="0" collapsed="false">
      <c r="A33" s="0" t="n">
        <v>32</v>
      </c>
      <c r="B33" s="0" t="s">
        <v>266</v>
      </c>
      <c r="C33" s="0" t="n">
        <v>0.01847</v>
      </c>
    </row>
    <row r="34" customFormat="false" ht="15" hidden="false" customHeight="false" outlineLevel="0" collapsed="false">
      <c r="A34" s="0" t="n">
        <v>33</v>
      </c>
      <c r="B34" s="0" t="s">
        <v>266</v>
      </c>
      <c r="C34" s="0" t="n">
        <v>0.01847</v>
      </c>
    </row>
    <row r="35" customFormat="false" ht="15" hidden="false" customHeight="false" outlineLevel="0" collapsed="false">
      <c r="A35" s="0" t="n">
        <v>34</v>
      </c>
      <c r="B35" s="0" t="s">
        <v>266</v>
      </c>
      <c r="C35" s="0" t="n">
        <v>0.01847</v>
      </c>
    </row>
    <row r="36" customFormat="false" ht="15" hidden="false" customHeight="false" outlineLevel="0" collapsed="false">
      <c r="A36" s="0" t="n">
        <v>35</v>
      </c>
      <c r="B36" s="0" t="s">
        <v>266</v>
      </c>
      <c r="C36" s="0" t="n">
        <v>0.0187</v>
      </c>
    </row>
    <row r="37" customFormat="false" ht="15" hidden="false" customHeight="false" outlineLevel="0" collapsed="false">
      <c r="A37" s="0" t="n">
        <v>36</v>
      </c>
      <c r="B37" s="0" t="s">
        <v>266</v>
      </c>
      <c r="C37" s="0" t="n">
        <v>0.01928</v>
      </c>
    </row>
    <row r="38" customFormat="false" ht="15" hidden="false" customHeight="false" outlineLevel="0" collapsed="false">
      <c r="A38" s="0" t="n">
        <v>37</v>
      </c>
      <c r="B38" s="0" t="s">
        <v>266</v>
      </c>
      <c r="C38" s="0" t="n">
        <v>0.01928</v>
      </c>
    </row>
    <row r="39" customFormat="false" ht="15" hidden="false" customHeight="false" outlineLevel="0" collapsed="false">
      <c r="A39" s="0" t="n">
        <v>38</v>
      </c>
      <c r="B39" s="0" t="s">
        <v>266</v>
      </c>
      <c r="C39" s="0" t="n">
        <v>0.01928</v>
      </c>
    </row>
    <row r="40" customFormat="false" ht="15" hidden="false" customHeight="false" outlineLevel="0" collapsed="false">
      <c r="A40" s="0" t="n">
        <v>39</v>
      </c>
      <c r="B40" s="0" t="s">
        <v>266</v>
      </c>
      <c r="C40" s="0" t="n">
        <v>0.01928</v>
      </c>
    </row>
    <row r="41" customFormat="false" ht="15" hidden="false" customHeight="false" outlineLevel="0" collapsed="false">
      <c r="A41" s="0" t="n">
        <v>40</v>
      </c>
      <c r="B41" s="0" t="s">
        <v>266</v>
      </c>
      <c r="C41" s="0" t="n">
        <v>0.02103</v>
      </c>
    </row>
    <row r="42" customFormat="false" ht="15" hidden="false" customHeight="false" outlineLevel="0" collapsed="false">
      <c r="A42" s="0" t="n">
        <v>41</v>
      </c>
      <c r="B42" s="0" t="s">
        <v>266</v>
      </c>
      <c r="C42" s="0" t="n">
        <v>0.02103</v>
      </c>
    </row>
    <row r="43" customFormat="false" ht="15" hidden="false" customHeight="false" outlineLevel="0" collapsed="false">
      <c r="A43" s="0" t="n">
        <v>42</v>
      </c>
      <c r="B43" s="0" t="s">
        <v>266</v>
      </c>
      <c r="C43" s="0" t="n">
        <v>0.02103</v>
      </c>
    </row>
    <row r="44" customFormat="false" ht="15" hidden="false" customHeight="false" outlineLevel="0" collapsed="false">
      <c r="A44" s="0" t="n">
        <v>43</v>
      </c>
      <c r="B44" s="0" t="s">
        <v>266</v>
      </c>
      <c r="C44" s="0" t="n">
        <v>0.02103</v>
      </c>
    </row>
    <row r="45" customFormat="false" ht="15" hidden="false" customHeight="false" outlineLevel="0" collapsed="false">
      <c r="A45" s="0" t="n">
        <v>44</v>
      </c>
      <c r="B45" s="0" t="s">
        <v>266</v>
      </c>
      <c r="C45" s="0" t="n">
        <v>0.0225</v>
      </c>
    </row>
    <row r="46" customFormat="false" ht="15" hidden="false" customHeight="false" outlineLevel="0" collapsed="false">
      <c r="A46" s="0" t="n">
        <v>45</v>
      </c>
      <c r="B46" s="0" t="s">
        <v>266</v>
      </c>
      <c r="C46" s="0" t="n">
        <v>0.02361</v>
      </c>
    </row>
    <row r="47" customFormat="false" ht="15" hidden="false" customHeight="false" outlineLevel="0" collapsed="false">
      <c r="A47" s="0" t="n">
        <v>46</v>
      </c>
      <c r="B47" s="0" t="s">
        <v>266</v>
      </c>
      <c r="C47" s="0" t="n">
        <v>0.02361</v>
      </c>
    </row>
    <row r="48" customFormat="false" ht="15" hidden="false" customHeight="false" outlineLevel="0" collapsed="false">
      <c r="A48" s="0" t="n">
        <v>47</v>
      </c>
      <c r="B48" s="0" t="s">
        <v>266</v>
      </c>
      <c r="C48" s="0" t="n">
        <v>0.02361</v>
      </c>
    </row>
    <row r="49" customFormat="false" ht="15" hidden="false" customHeight="false" outlineLevel="0" collapsed="false">
      <c r="A49" s="0" t="n">
        <v>48</v>
      </c>
      <c r="B49" s="0" t="s">
        <v>265</v>
      </c>
      <c r="C49" s="0" t="n">
        <v>0.02425</v>
      </c>
    </row>
    <row r="50" customFormat="false" ht="15" hidden="false" customHeight="false" outlineLevel="0" collapsed="false">
      <c r="A50" s="0" t="n">
        <v>49</v>
      </c>
      <c r="B50" s="0" t="s">
        <v>265</v>
      </c>
      <c r="C50" s="0" t="n">
        <v>0.02585</v>
      </c>
    </row>
    <row r="51" customFormat="false" ht="15" hidden="false" customHeight="false" outlineLevel="0" collapsed="false">
      <c r="A51" s="0" t="n">
        <v>50</v>
      </c>
      <c r="B51" s="0" t="s">
        <v>265</v>
      </c>
      <c r="C51" s="0" t="n">
        <v>0.02585</v>
      </c>
    </row>
    <row r="52" customFormat="false" ht="15" hidden="false" customHeight="false" outlineLevel="0" collapsed="false">
      <c r="A52" s="0" t="n">
        <v>51</v>
      </c>
      <c r="B52" s="0" t="s">
        <v>265</v>
      </c>
      <c r="C52" s="0" t="n">
        <v>0.02585</v>
      </c>
    </row>
    <row r="53" customFormat="false" ht="15" hidden="false" customHeight="false" outlineLevel="0" collapsed="false">
      <c r="A53" s="0" t="n">
        <v>52</v>
      </c>
      <c r="B53" s="0" t="s">
        <v>265</v>
      </c>
      <c r="C53" s="0" t="n">
        <v>0.02583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9"/>
  </cols>
  <sheetData>
    <row r="1" customFormat="false" ht="22.5" hidden="false" customHeight="true" outlineLevel="0" collapsed="false">
      <c r="A1" s="16" t="s">
        <v>42</v>
      </c>
      <c r="B1" s="16" t="s">
        <v>191</v>
      </c>
      <c r="C1" s="16" t="s">
        <v>267</v>
      </c>
    </row>
    <row r="2" customFormat="false" ht="15" hidden="false" customHeight="false" outlineLevel="0" collapsed="false">
      <c r="A2" s="0" t="s">
        <v>45</v>
      </c>
      <c r="B2" s="0" t="s">
        <v>201</v>
      </c>
      <c r="C2" s="17" t="n">
        <f aca="false">IF(SQRT((Coordenadas!$C$2-Coordenadas!$C$152)^2+(Coordenadas!$D$2-Coordenadas!$D$152)^2)&lt;=LEEME!$B$20,EXP(-LEEME!$B$19*SQRT((Coordenadas!$C$2-Coordenadas!$C$152)^2+(Coordenadas!$D$2-Coordenadas!$D$152)^2)),0)</f>
        <v>0.462945431655371</v>
      </c>
    </row>
    <row r="3" customFormat="false" ht="15" hidden="false" customHeight="false" outlineLevel="0" collapsed="false">
      <c r="A3" s="0" t="s">
        <v>45</v>
      </c>
      <c r="B3" s="0" t="s">
        <v>203</v>
      </c>
      <c r="C3" s="17" t="n">
        <f aca="false">IF(SQRT((Coordenadas!$C$2-Coordenadas!$C$154)^2+(Coordenadas!$D$2-Coordenadas!$D$154)^2)&lt;=LEEME!$B$20,EXP(-LEEME!$B$19*SQRT((Coordenadas!$C$2-Coordenadas!$C$154)^2+(Coordenadas!$D$2-Coordenadas!$D$154)^2)),0)</f>
        <v>0.436154386359294</v>
      </c>
    </row>
    <row r="4" customFormat="false" ht="15" hidden="false" customHeight="false" outlineLevel="0" collapsed="false">
      <c r="A4" s="0" t="s">
        <v>45</v>
      </c>
      <c r="B4" s="0" t="s">
        <v>207</v>
      </c>
      <c r="C4" s="17" t="n">
        <f aca="false">IF(SQRT((Coordenadas!$C$2-Coordenadas!$C$158)^2+(Coordenadas!$D$2-Coordenadas!$D$158)^2)&lt;=LEEME!$B$20,EXP(-LEEME!$B$19*SQRT((Coordenadas!$C$2-Coordenadas!$C$158)^2+(Coordenadas!$D$2-Coordenadas!$D$158)^2)),0)</f>
        <v>0.622622856909389</v>
      </c>
    </row>
    <row r="5" customFormat="false" ht="15" hidden="false" customHeight="false" outlineLevel="0" collapsed="false">
      <c r="A5" s="0" t="s">
        <v>45</v>
      </c>
      <c r="B5" s="0" t="s">
        <v>209</v>
      </c>
      <c r="C5" s="17" t="n">
        <f aca="false">IF(SQRT((Coordenadas!$C$2-Coordenadas!$C$160)^2+(Coordenadas!$D$2-Coordenadas!$D$160)^2)&lt;=LEEME!$B$20,EXP(-LEEME!$B$19*SQRT((Coordenadas!$C$2-Coordenadas!$C$160)^2+(Coordenadas!$D$2-Coordenadas!$D$160)^2)),0)</f>
        <v>0.675673089260201</v>
      </c>
    </row>
    <row r="6" customFormat="false" ht="15" hidden="false" customHeight="false" outlineLevel="0" collapsed="false">
      <c r="A6" s="0" t="s">
        <v>47</v>
      </c>
      <c r="B6" s="0" t="s">
        <v>201</v>
      </c>
      <c r="C6" s="17" t="n">
        <f aca="false">IF(SQRT((Coordenadas!$C$3-Coordenadas!$C$152)^2+(Coordenadas!$D$3-Coordenadas!$D$152)^2)&lt;=LEEME!$B$20,EXP(-LEEME!$B$19*SQRT((Coordenadas!$C$3-Coordenadas!$C$152)^2+(Coordenadas!$D$3-Coordenadas!$D$152)^2)),0)</f>
        <v>0.571196314042891</v>
      </c>
    </row>
    <row r="7" customFormat="false" ht="15" hidden="false" customHeight="false" outlineLevel="0" collapsed="false">
      <c r="A7" s="0" t="s">
        <v>47</v>
      </c>
      <c r="B7" s="0" t="s">
        <v>203</v>
      </c>
      <c r="C7" s="17" t="n">
        <f aca="false">IF(SQRT((Coordenadas!$C$3-Coordenadas!$C$154)^2+(Coordenadas!$D$3-Coordenadas!$D$154)^2)&lt;=LEEME!$B$20,EXP(-LEEME!$B$19*SQRT((Coordenadas!$C$3-Coordenadas!$C$154)^2+(Coordenadas!$D$3-Coordenadas!$D$154)^2)),0)</f>
        <v>0.453586442791024</v>
      </c>
    </row>
    <row r="8" customFormat="false" ht="15" hidden="false" customHeight="false" outlineLevel="0" collapsed="false">
      <c r="A8" s="0" t="s">
        <v>47</v>
      </c>
      <c r="B8" s="0" t="s">
        <v>207</v>
      </c>
      <c r="C8" s="17" t="n">
        <f aca="false">IF(SQRT((Coordenadas!$C$3-Coordenadas!$C$158)^2+(Coordenadas!$D$3-Coordenadas!$D$158)^2)&lt;=LEEME!$B$20,EXP(-LEEME!$B$19*SQRT((Coordenadas!$C$3-Coordenadas!$C$158)^2+(Coordenadas!$D$3-Coordenadas!$D$158)^2)),0)</f>
        <v>0.568574021956284</v>
      </c>
    </row>
    <row r="9" customFormat="false" ht="15" hidden="false" customHeight="false" outlineLevel="0" collapsed="false">
      <c r="A9" s="0" t="s">
        <v>47</v>
      </c>
      <c r="B9" s="0" t="s">
        <v>209</v>
      </c>
      <c r="C9" s="17" t="n">
        <f aca="false">IF(SQRT((Coordenadas!$C$3-Coordenadas!$C$160)^2+(Coordenadas!$D$3-Coordenadas!$D$160)^2)&lt;=LEEME!$B$20,EXP(-LEEME!$B$19*SQRT((Coordenadas!$C$3-Coordenadas!$C$160)^2+(Coordenadas!$D$3-Coordenadas!$D$160)^2)),0)</f>
        <v>0.594978386426509</v>
      </c>
    </row>
    <row r="10" customFormat="false" ht="15" hidden="false" customHeight="false" outlineLevel="0" collapsed="false">
      <c r="A10" s="0" t="s">
        <v>48</v>
      </c>
      <c r="B10" s="0" t="s">
        <v>193</v>
      </c>
      <c r="C10" s="17" t="n">
        <f aca="false">IF(SQRT((Coordenadas!$C$4-Coordenadas!$C$144)^2+(Coordenadas!$D$4-Coordenadas!$D$144)^2)&lt;=LEEME!$B$20,EXP(-LEEME!$B$19*SQRT((Coordenadas!$C$4-Coordenadas!$C$144)^2+(Coordenadas!$D$4-Coordenadas!$D$144)^2)),0)</f>
        <v>0.481537994759232</v>
      </c>
    </row>
    <row r="11" customFormat="false" ht="15" hidden="false" customHeight="false" outlineLevel="0" collapsed="false">
      <c r="A11" s="0" t="s">
        <v>48</v>
      </c>
      <c r="B11" s="0" t="s">
        <v>203</v>
      </c>
      <c r="C11" s="17" t="n">
        <f aca="false">IF(SQRT((Coordenadas!$C$4-Coordenadas!$C$154)^2+(Coordenadas!$D$4-Coordenadas!$D$154)^2)&lt;=LEEME!$B$20,EXP(-LEEME!$B$19*SQRT((Coordenadas!$C$4-Coordenadas!$C$154)^2+(Coordenadas!$D$4-Coordenadas!$D$154)^2)),0)</f>
        <v>0.636991548377515</v>
      </c>
    </row>
    <row r="12" customFormat="false" ht="15" hidden="false" customHeight="false" outlineLevel="0" collapsed="false">
      <c r="A12" s="0" t="s">
        <v>48</v>
      </c>
      <c r="B12" s="0" t="s">
        <v>207</v>
      </c>
      <c r="C12" s="17" t="n">
        <f aca="false">IF(SQRT((Coordenadas!$C$4-Coordenadas!$C$158)^2+(Coordenadas!$D$4-Coordenadas!$D$158)^2)&lt;=LEEME!$B$20,EXP(-LEEME!$B$19*SQRT((Coordenadas!$C$4-Coordenadas!$C$158)^2+(Coordenadas!$D$4-Coordenadas!$D$158)^2)),0)</f>
        <v>0.372347722717047</v>
      </c>
    </row>
    <row r="13" customFormat="false" ht="15" hidden="false" customHeight="false" outlineLevel="0" collapsed="false">
      <c r="A13" s="0" t="s">
        <v>48</v>
      </c>
      <c r="B13" s="0" t="s">
        <v>209</v>
      </c>
      <c r="C13" s="17" t="n">
        <f aca="false">IF(SQRT((Coordenadas!$C$4-Coordenadas!$C$160)^2+(Coordenadas!$D$4-Coordenadas!$D$160)^2)&lt;=LEEME!$B$20,EXP(-LEEME!$B$19*SQRT((Coordenadas!$C$4-Coordenadas!$C$160)^2+(Coordenadas!$D$4-Coordenadas!$D$160)^2)),0)</f>
        <v>0.83161067270016</v>
      </c>
    </row>
    <row r="14" customFormat="false" ht="15" hidden="false" customHeight="false" outlineLevel="0" collapsed="false">
      <c r="A14" s="0" t="s">
        <v>48</v>
      </c>
      <c r="B14" s="0" t="s">
        <v>212</v>
      </c>
      <c r="C14" s="17" t="n">
        <f aca="false">IF(SQRT((Coordenadas!$C$4-Coordenadas!$C$163)^2+(Coordenadas!$D$4-Coordenadas!$D$163)^2)&lt;=LEEME!$B$20,EXP(-LEEME!$B$19*SQRT((Coordenadas!$C$4-Coordenadas!$C$163)^2+(Coordenadas!$D$4-Coordenadas!$D$163)^2)),0)</f>
        <v>0.474010747149193</v>
      </c>
    </row>
    <row r="15" customFormat="false" ht="15" hidden="false" customHeight="false" outlineLevel="0" collapsed="false">
      <c r="A15" s="0" t="s">
        <v>49</v>
      </c>
      <c r="B15" s="0" t="s">
        <v>193</v>
      </c>
      <c r="C15" s="17" t="n">
        <f aca="false">IF(SQRT((Coordenadas!$C$5-Coordenadas!$C$144)^2+(Coordenadas!$D$5-Coordenadas!$D$144)^2)&lt;=LEEME!$B$20,EXP(-LEEME!$B$19*SQRT((Coordenadas!$C$5-Coordenadas!$C$144)^2+(Coordenadas!$D$5-Coordenadas!$D$144)^2)),0)</f>
        <v>0.382793200785298</v>
      </c>
    </row>
    <row r="16" customFormat="false" ht="15" hidden="false" customHeight="false" outlineLevel="0" collapsed="false">
      <c r="A16" s="0" t="s">
        <v>49</v>
      </c>
      <c r="B16" s="0" t="s">
        <v>201</v>
      </c>
      <c r="C16" s="17" t="n">
        <f aca="false">IF(SQRT((Coordenadas!$C$5-Coordenadas!$C$152)^2+(Coordenadas!$D$5-Coordenadas!$D$152)^2)&lt;=LEEME!$B$20,EXP(-LEEME!$B$19*SQRT((Coordenadas!$C$5-Coordenadas!$C$152)^2+(Coordenadas!$D$5-Coordenadas!$D$152)^2)),0)</f>
        <v>0.406242423496487</v>
      </c>
    </row>
    <row r="17" customFormat="false" ht="15" hidden="false" customHeight="false" outlineLevel="0" collapsed="false">
      <c r="A17" s="0" t="s">
        <v>49</v>
      </c>
      <c r="B17" s="0" t="s">
        <v>203</v>
      </c>
      <c r="C17" s="17" t="n">
        <f aca="false">IF(SQRT((Coordenadas!$C$5-Coordenadas!$C$154)^2+(Coordenadas!$D$5-Coordenadas!$D$154)^2)&lt;=LEEME!$B$20,EXP(-LEEME!$B$19*SQRT((Coordenadas!$C$5-Coordenadas!$C$154)^2+(Coordenadas!$D$5-Coordenadas!$D$154)^2)),0)</f>
        <v>0.5146993077031</v>
      </c>
    </row>
    <row r="18" customFormat="false" ht="15" hidden="false" customHeight="false" outlineLevel="0" collapsed="false">
      <c r="A18" s="0" t="s">
        <v>49</v>
      </c>
      <c r="B18" s="0" t="s">
        <v>207</v>
      </c>
      <c r="C18" s="17" t="n">
        <f aca="false">IF(SQRT((Coordenadas!$C$5-Coordenadas!$C$158)^2+(Coordenadas!$D$5-Coordenadas!$D$158)^2)&lt;=LEEME!$B$20,EXP(-LEEME!$B$19*SQRT((Coordenadas!$C$5-Coordenadas!$C$158)^2+(Coordenadas!$D$5-Coordenadas!$D$158)^2)),0)</f>
        <v>0.50616117157058</v>
      </c>
    </row>
    <row r="19" customFormat="false" ht="15" hidden="false" customHeight="false" outlineLevel="0" collapsed="false">
      <c r="A19" s="0" t="s">
        <v>49</v>
      </c>
      <c r="B19" s="0" t="s">
        <v>209</v>
      </c>
      <c r="C19" s="17" t="n">
        <f aca="false">IF(SQRT((Coordenadas!$C$5-Coordenadas!$C$160)^2+(Coordenadas!$D$5-Coordenadas!$D$160)^2)&lt;=LEEME!$B$20,EXP(-LEEME!$B$19*SQRT((Coordenadas!$C$5-Coordenadas!$C$160)^2+(Coordenadas!$D$5-Coordenadas!$D$160)^2)),0)</f>
        <v>0.856415177483613</v>
      </c>
    </row>
    <row r="20" customFormat="false" ht="15" hidden="false" customHeight="false" outlineLevel="0" collapsed="false">
      <c r="A20" s="0" t="s">
        <v>49</v>
      </c>
      <c r="B20" s="0" t="s">
        <v>212</v>
      </c>
      <c r="C20" s="17" t="n">
        <f aca="false">IF(SQRT((Coordenadas!$C$5-Coordenadas!$C$163)^2+(Coordenadas!$D$5-Coordenadas!$D$163)^2)&lt;=LEEME!$B$20,EXP(-LEEME!$B$19*SQRT((Coordenadas!$C$5-Coordenadas!$C$163)^2+(Coordenadas!$D$5-Coordenadas!$D$163)^2)),0)</f>
        <v>0.42095422392569</v>
      </c>
    </row>
    <row r="21" customFormat="false" ht="15" hidden="false" customHeight="false" outlineLevel="0" collapsed="false">
      <c r="A21" s="0" t="s">
        <v>50</v>
      </c>
      <c r="B21" s="0" t="s">
        <v>201</v>
      </c>
      <c r="C21" s="17" t="n">
        <f aca="false">IF(SQRT((Coordenadas!$C$6-Coordenadas!$C$152)^2+(Coordenadas!$D$6-Coordenadas!$D$152)^2)&lt;=LEEME!$B$20,EXP(-LEEME!$B$19*SQRT((Coordenadas!$C$6-Coordenadas!$C$152)^2+(Coordenadas!$D$6-Coordenadas!$D$152)^2)),0)</f>
        <v>0.450844160261863</v>
      </c>
    </row>
    <row r="22" customFormat="false" ht="15" hidden="false" customHeight="false" outlineLevel="0" collapsed="false">
      <c r="A22" s="0" t="s">
        <v>50</v>
      </c>
      <c r="B22" s="0" t="s">
        <v>203</v>
      </c>
      <c r="C22" s="17" t="n">
        <f aca="false">IF(SQRT((Coordenadas!$C$6-Coordenadas!$C$154)^2+(Coordenadas!$D$6-Coordenadas!$D$154)^2)&lt;=LEEME!$B$20,EXP(-LEEME!$B$19*SQRT((Coordenadas!$C$6-Coordenadas!$C$154)^2+(Coordenadas!$D$6-Coordenadas!$D$154)^2)),0)</f>
        <v>0.593323602104831</v>
      </c>
    </row>
    <row r="23" customFormat="false" ht="15" hidden="false" customHeight="false" outlineLevel="0" collapsed="false">
      <c r="A23" s="0" t="s">
        <v>50</v>
      </c>
      <c r="B23" s="0" t="s">
        <v>207</v>
      </c>
      <c r="C23" s="17" t="n">
        <f aca="false">IF(SQRT((Coordenadas!$C$6-Coordenadas!$C$158)^2+(Coordenadas!$D$6-Coordenadas!$D$158)^2)&lt;=LEEME!$B$20,EXP(-LEEME!$B$19*SQRT((Coordenadas!$C$6-Coordenadas!$C$158)^2+(Coordenadas!$D$6-Coordenadas!$D$158)^2)),0)</f>
        <v>0.456156020336183</v>
      </c>
    </row>
    <row r="24" customFormat="false" ht="15" hidden="false" customHeight="false" outlineLevel="0" collapsed="false">
      <c r="A24" s="0" t="s">
        <v>50</v>
      </c>
      <c r="B24" s="0" t="s">
        <v>209</v>
      </c>
      <c r="C24" s="17" t="n">
        <f aca="false">IF(SQRT((Coordenadas!$C$6-Coordenadas!$C$160)^2+(Coordenadas!$D$6-Coordenadas!$D$160)^2)&lt;=LEEME!$B$20,EXP(-LEEME!$B$19*SQRT((Coordenadas!$C$6-Coordenadas!$C$160)^2+(Coordenadas!$D$6-Coordenadas!$D$160)^2)),0)</f>
        <v>0.791795323414601</v>
      </c>
    </row>
    <row r="25" customFormat="false" ht="15" hidden="false" customHeight="false" outlineLevel="0" collapsed="false">
      <c r="A25" s="0" t="s">
        <v>50</v>
      </c>
      <c r="B25" s="0" t="s">
        <v>212</v>
      </c>
      <c r="C25" s="17" t="n">
        <f aca="false">IF(SQRT((Coordenadas!$C$6-Coordenadas!$C$163)^2+(Coordenadas!$D$6-Coordenadas!$D$163)^2)&lt;=LEEME!$B$20,EXP(-LEEME!$B$19*SQRT((Coordenadas!$C$6-Coordenadas!$C$163)^2+(Coordenadas!$D$6-Coordenadas!$D$163)^2)),0)</f>
        <v>0.380318156320244</v>
      </c>
    </row>
    <row r="26" customFormat="false" ht="15" hidden="false" customHeight="false" outlineLevel="0" collapsed="false">
      <c r="A26" s="0" t="s">
        <v>51</v>
      </c>
      <c r="B26" s="0" t="s">
        <v>201</v>
      </c>
      <c r="C26" s="17" t="n">
        <f aca="false">IF(SQRT((Coordenadas!$C$7-Coordenadas!$C$152)^2+(Coordenadas!$D$7-Coordenadas!$D$152)^2)&lt;=LEEME!$B$20,EXP(-LEEME!$B$19*SQRT((Coordenadas!$C$7-Coordenadas!$C$152)^2+(Coordenadas!$D$7-Coordenadas!$D$152)^2)),0)</f>
        <v>0.509826961435977</v>
      </c>
    </row>
    <row r="27" customFormat="false" ht="15" hidden="false" customHeight="false" outlineLevel="0" collapsed="false">
      <c r="A27" s="0" t="s">
        <v>51</v>
      </c>
      <c r="B27" s="0" t="s">
        <v>203</v>
      </c>
      <c r="C27" s="17" t="n">
        <f aca="false">IF(SQRT((Coordenadas!$C$7-Coordenadas!$C$154)^2+(Coordenadas!$D$7-Coordenadas!$D$154)^2)&lt;=LEEME!$B$20,EXP(-LEEME!$B$19*SQRT((Coordenadas!$C$7-Coordenadas!$C$154)^2+(Coordenadas!$D$7-Coordenadas!$D$154)^2)),0)</f>
        <v>0.368833799696543</v>
      </c>
    </row>
    <row r="28" customFormat="false" ht="15" hidden="false" customHeight="false" outlineLevel="0" collapsed="false">
      <c r="A28" s="0" t="s">
        <v>51</v>
      </c>
      <c r="B28" s="0" t="s">
        <v>207</v>
      </c>
      <c r="C28" s="17" t="n">
        <f aca="false">IF(SQRT((Coordenadas!$C$7-Coordenadas!$C$158)^2+(Coordenadas!$D$7-Coordenadas!$D$158)^2)&lt;=LEEME!$B$20,EXP(-LEEME!$B$19*SQRT((Coordenadas!$C$7-Coordenadas!$C$158)^2+(Coordenadas!$D$7-Coordenadas!$D$158)^2)),0)</f>
        <v>0.707298927395738</v>
      </c>
    </row>
    <row r="29" customFormat="false" ht="15" hidden="false" customHeight="false" outlineLevel="0" collapsed="false">
      <c r="A29" s="0" t="s">
        <v>51</v>
      </c>
      <c r="B29" s="0" t="s">
        <v>209</v>
      </c>
      <c r="C29" s="17" t="n">
        <f aca="false">IF(SQRT((Coordenadas!$C$7-Coordenadas!$C$160)^2+(Coordenadas!$D$7-Coordenadas!$D$160)^2)&lt;=LEEME!$B$20,EXP(-LEEME!$B$19*SQRT((Coordenadas!$C$7-Coordenadas!$C$160)^2+(Coordenadas!$D$7-Coordenadas!$D$160)^2)),0)</f>
        <v>0.539544953851083</v>
      </c>
    </row>
    <row r="30" customFormat="false" ht="15" hidden="false" customHeight="false" outlineLevel="0" collapsed="false">
      <c r="A30" s="0" t="s">
        <v>52</v>
      </c>
      <c r="B30" s="0" t="s">
        <v>194</v>
      </c>
      <c r="C30" s="17" t="n">
        <f aca="false">IF(SQRT((Coordenadas!$C$8-Coordenadas!$C$145)^2+(Coordenadas!$D$8-Coordenadas!$D$145)^2)&lt;=LEEME!$B$20,EXP(-LEEME!$B$19*SQRT((Coordenadas!$C$8-Coordenadas!$C$145)^2+(Coordenadas!$D$8-Coordenadas!$D$145)^2)),0)</f>
        <v>0.378980479380872</v>
      </c>
    </row>
    <row r="31" customFormat="false" ht="15" hidden="false" customHeight="false" outlineLevel="0" collapsed="false">
      <c r="A31" s="0" t="s">
        <v>52</v>
      </c>
      <c r="B31" s="0" t="s">
        <v>205</v>
      </c>
      <c r="C31" s="17" t="n">
        <f aca="false">IF(SQRT((Coordenadas!$C$8-Coordenadas!$C$156)^2+(Coordenadas!$D$8-Coordenadas!$D$156)^2)&lt;=LEEME!$B$20,EXP(-LEEME!$B$19*SQRT((Coordenadas!$C$8-Coordenadas!$C$156)^2+(Coordenadas!$D$8-Coordenadas!$D$156)^2)),0)</f>
        <v>0.843602798108216</v>
      </c>
    </row>
    <row r="32" customFormat="false" ht="15" hidden="false" customHeight="false" outlineLevel="0" collapsed="false">
      <c r="A32" s="0" t="s">
        <v>54</v>
      </c>
      <c r="B32" s="0" t="s">
        <v>194</v>
      </c>
      <c r="C32" s="17" t="n">
        <f aca="false">IF(SQRT((Coordenadas!$C$9-Coordenadas!$C$145)^2+(Coordenadas!$D$9-Coordenadas!$D$145)^2)&lt;=LEEME!$B$20,EXP(-LEEME!$B$19*SQRT((Coordenadas!$C$9-Coordenadas!$C$145)^2+(Coordenadas!$D$9-Coordenadas!$D$145)^2)),0)</f>
        <v>0.421471839146838</v>
      </c>
    </row>
    <row r="33" customFormat="false" ht="15" hidden="false" customHeight="false" outlineLevel="0" collapsed="false">
      <c r="A33" s="0" t="s">
        <v>54</v>
      </c>
      <c r="B33" s="0" t="s">
        <v>205</v>
      </c>
      <c r="C33" s="17" t="n">
        <f aca="false">IF(SQRT((Coordenadas!$C$9-Coordenadas!$C$156)^2+(Coordenadas!$D$9-Coordenadas!$D$156)^2)&lt;=LEEME!$B$20,EXP(-LEEME!$B$19*SQRT((Coordenadas!$C$9-Coordenadas!$C$156)^2+(Coordenadas!$D$9-Coordenadas!$D$156)^2)),0)</f>
        <v>0.390534357103096</v>
      </c>
    </row>
    <row r="34" customFormat="false" ht="15" hidden="false" customHeight="false" outlineLevel="0" collapsed="false">
      <c r="A34" s="0" t="s">
        <v>55</v>
      </c>
      <c r="B34" s="0" t="s">
        <v>194</v>
      </c>
      <c r="C34" s="17" t="n">
        <f aca="false">IF(SQRT((Coordenadas!$C$10-Coordenadas!$C$145)^2+(Coordenadas!$D$10-Coordenadas!$D$145)^2)&lt;=LEEME!$B$20,EXP(-LEEME!$B$19*SQRT((Coordenadas!$C$10-Coordenadas!$C$145)^2+(Coordenadas!$D$10-Coordenadas!$D$145)^2)),0)</f>
        <v>0.510129894811195</v>
      </c>
    </row>
    <row r="35" customFormat="false" ht="15" hidden="false" customHeight="false" outlineLevel="0" collapsed="false">
      <c r="A35" s="0" t="s">
        <v>55</v>
      </c>
      <c r="B35" s="0" t="s">
        <v>197</v>
      </c>
      <c r="C35" s="17" t="n">
        <f aca="false">IF(SQRT((Coordenadas!$C$10-Coordenadas!$C$148)^2+(Coordenadas!$D$10-Coordenadas!$D$148)^2)&lt;=LEEME!$B$20,EXP(-LEEME!$B$19*SQRT((Coordenadas!$C$10-Coordenadas!$C$148)^2+(Coordenadas!$D$10-Coordenadas!$D$148)^2)),0)</f>
        <v>0.552038200607454</v>
      </c>
    </row>
    <row r="36" customFormat="false" ht="15" hidden="false" customHeight="false" outlineLevel="0" collapsed="false">
      <c r="A36" s="0" t="s">
        <v>56</v>
      </c>
      <c r="B36" s="0" t="s">
        <v>194</v>
      </c>
      <c r="C36" s="17" t="n">
        <f aca="false">IF(SQRT((Coordenadas!$C$11-Coordenadas!$C$145)^2+(Coordenadas!$D$11-Coordenadas!$D$145)^2)&lt;=LEEME!$B$20,EXP(-LEEME!$B$19*SQRT((Coordenadas!$C$11-Coordenadas!$C$145)^2+(Coordenadas!$D$11-Coordenadas!$D$145)^2)),0)</f>
        <v>0.531023265043573</v>
      </c>
    </row>
    <row r="37" customFormat="false" ht="15" hidden="false" customHeight="false" outlineLevel="0" collapsed="false">
      <c r="A37" s="0" t="s">
        <v>56</v>
      </c>
      <c r="B37" s="0" t="s">
        <v>205</v>
      </c>
      <c r="C37" s="17" t="n">
        <f aca="false">IF(SQRT((Coordenadas!$C$11-Coordenadas!$C$156)^2+(Coordenadas!$D$11-Coordenadas!$D$156)^2)&lt;=LEEME!$B$20,EXP(-LEEME!$B$19*SQRT((Coordenadas!$C$11-Coordenadas!$C$156)^2+(Coordenadas!$D$11-Coordenadas!$D$156)^2)),0)</f>
        <v>0.827777747340715</v>
      </c>
    </row>
    <row r="38" customFormat="false" ht="15" hidden="false" customHeight="false" outlineLevel="0" collapsed="false">
      <c r="A38" s="0" t="s">
        <v>57</v>
      </c>
      <c r="B38" s="0" t="s">
        <v>194</v>
      </c>
      <c r="C38" s="17" t="n">
        <f aca="false">IF(SQRT((Coordenadas!$C$12-Coordenadas!$C$145)^2+(Coordenadas!$D$12-Coordenadas!$D$145)^2)&lt;=LEEME!$B$20,EXP(-LEEME!$B$19*SQRT((Coordenadas!$C$12-Coordenadas!$C$145)^2+(Coordenadas!$D$12-Coordenadas!$D$145)^2)),0)</f>
        <v>0.769245440155743</v>
      </c>
    </row>
    <row r="39" customFormat="false" ht="15" hidden="false" customHeight="false" outlineLevel="0" collapsed="false">
      <c r="A39" s="0" t="s">
        <v>57</v>
      </c>
      <c r="B39" s="0" t="s">
        <v>205</v>
      </c>
      <c r="C39" s="17" t="n">
        <f aca="false">IF(SQRT((Coordenadas!$C$12-Coordenadas!$C$156)^2+(Coordenadas!$D$12-Coordenadas!$D$156)^2)&lt;=LEEME!$B$20,EXP(-LEEME!$B$19*SQRT((Coordenadas!$C$12-Coordenadas!$C$156)^2+(Coordenadas!$D$12-Coordenadas!$D$156)^2)),0)</f>
        <v>0.564128787582927</v>
      </c>
    </row>
    <row r="40" customFormat="false" ht="15" hidden="false" customHeight="false" outlineLevel="0" collapsed="false">
      <c r="A40" s="0" t="s">
        <v>58</v>
      </c>
      <c r="B40" s="0" t="s">
        <v>194</v>
      </c>
      <c r="C40" s="17" t="n">
        <f aca="false">IF(SQRT((Coordenadas!$C$13-Coordenadas!$C$145)^2+(Coordenadas!$D$13-Coordenadas!$D$145)^2)&lt;=LEEME!$B$20,EXP(-LEEME!$B$19*SQRT((Coordenadas!$C$13-Coordenadas!$C$145)^2+(Coordenadas!$D$13-Coordenadas!$D$145)^2)),0)</f>
        <v>0.48081444339355</v>
      </c>
    </row>
    <row r="41" customFormat="false" ht="15" hidden="false" customHeight="false" outlineLevel="0" collapsed="false">
      <c r="A41" s="0" t="s">
        <v>58</v>
      </c>
      <c r="B41" s="0" t="s">
        <v>197</v>
      </c>
      <c r="C41" s="17" t="n">
        <f aca="false">IF(SQRT((Coordenadas!$C$13-Coordenadas!$C$148)^2+(Coordenadas!$D$13-Coordenadas!$D$148)^2)&lt;=LEEME!$B$20,EXP(-LEEME!$B$19*SQRT((Coordenadas!$C$13-Coordenadas!$C$148)^2+(Coordenadas!$D$13-Coordenadas!$D$148)^2)),0)</f>
        <v>0.37526801966481</v>
      </c>
    </row>
    <row r="42" customFormat="false" ht="15" hidden="false" customHeight="false" outlineLevel="0" collapsed="false">
      <c r="A42" s="0" t="s">
        <v>59</v>
      </c>
      <c r="B42" s="0" t="s">
        <v>194</v>
      </c>
      <c r="C42" s="17" t="n">
        <f aca="false">IF(SQRT((Coordenadas!$C$14-Coordenadas!$C$145)^2+(Coordenadas!$D$14-Coordenadas!$D$145)^2)&lt;=LEEME!$B$20,EXP(-LEEME!$B$19*SQRT((Coordenadas!$C$14-Coordenadas!$C$145)^2+(Coordenadas!$D$14-Coordenadas!$D$145)^2)),0)</f>
        <v>0.664197322474517</v>
      </c>
    </row>
    <row r="43" customFormat="false" ht="15" hidden="false" customHeight="false" outlineLevel="0" collapsed="false">
      <c r="A43" s="0" t="s">
        <v>59</v>
      </c>
      <c r="B43" s="0" t="s">
        <v>197</v>
      </c>
      <c r="C43" s="17" t="n">
        <f aca="false">IF(SQRT((Coordenadas!$C$14-Coordenadas!$C$148)^2+(Coordenadas!$D$14-Coordenadas!$D$148)^2)&lt;=LEEME!$B$20,EXP(-LEEME!$B$19*SQRT((Coordenadas!$C$14-Coordenadas!$C$148)^2+(Coordenadas!$D$14-Coordenadas!$D$148)^2)),0)</f>
        <v>0.458722148685908</v>
      </c>
    </row>
    <row r="44" customFormat="false" ht="15" hidden="false" customHeight="false" outlineLevel="0" collapsed="false">
      <c r="A44" s="0" t="s">
        <v>60</v>
      </c>
      <c r="B44" s="0" t="s">
        <v>194</v>
      </c>
      <c r="C44" s="17" t="n">
        <f aca="false">IF(SQRT((Coordenadas!$C$15-Coordenadas!$C$145)^2+(Coordenadas!$D$15-Coordenadas!$D$145)^2)&lt;=LEEME!$B$20,EXP(-LEEME!$B$19*SQRT((Coordenadas!$C$15-Coordenadas!$C$145)^2+(Coordenadas!$D$15-Coordenadas!$D$145)^2)),0)</f>
        <v>0.699233267497397</v>
      </c>
    </row>
    <row r="45" customFormat="false" ht="15" hidden="false" customHeight="false" outlineLevel="0" collapsed="false">
      <c r="A45" s="0" t="s">
        <v>60</v>
      </c>
      <c r="B45" s="0" t="s">
        <v>205</v>
      </c>
      <c r="C45" s="17" t="n">
        <f aca="false">IF(SQRT((Coordenadas!$C$15-Coordenadas!$C$156)^2+(Coordenadas!$D$15-Coordenadas!$D$156)^2)&lt;=LEEME!$B$20,EXP(-LEEME!$B$19*SQRT((Coordenadas!$C$15-Coordenadas!$C$156)^2+(Coordenadas!$D$15-Coordenadas!$D$156)^2)),0)</f>
        <v>0.442578236230287</v>
      </c>
    </row>
    <row r="46" customFormat="false" ht="15" hidden="false" customHeight="false" outlineLevel="0" collapsed="false">
      <c r="A46" s="0" t="s">
        <v>61</v>
      </c>
      <c r="B46" s="0" t="s">
        <v>194</v>
      </c>
      <c r="C46" s="17" t="n">
        <f aca="false">IF(SQRT((Coordenadas!$C$16-Coordenadas!$C$145)^2+(Coordenadas!$D$16-Coordenadas!$D$145)^2)&lt;=LEEME!$B$20,EXP(-LEEME!$B$19*SQRT((Coordenadas!$C$16-Coordenadas!$C$145)^2+(Coordenadas!$D$16-Coordenadas!$D$145)^2)),0)</f>
        <v>0.53431086111775</v>
      </c>
    </row>
    <row r="47" customFormat="false" ht="15" hidden="false" customHeight="false" outlineLevel="0" collapsed="false">
      <c r="A47" s="0" t="s">
        <v>61</v>
      </c>
      <c r="B47" s="0" t="s">
        <v>205</v>
      </c>
      <c r="C47" s="17" t="n">
        <f aca="false">IF(SQRT((Coordenadas!$C$16-Coordenadas!$C$156)^2+(Coordenadas!$D$16-Coordenadas!$D$156)^2)&lt;=LEEME!$B$20,EXP(-LEEME!$B$19*SQRT((Coordenadas!$C$16-Coordenadas!$C$156)^2+(Coordenadas!$D$16-Coordenadas!$D$156)^2)),0)</f>
        <v>0.61923509604546</v>
      </c>
    </row>
    <row r="48" customFormat="false" ht="15" hidden="false" customHeight="false" outlineLevel="0" collapsed="false">
      <c r="A48" s="0" t="s">
        <v>62</v>
      </c>
      <c r="B48" s="0" t="s">
        <v>197</v>
      </c>
      <c r="C48" s="17" t="n">
        <f aca="false">IF(SQRT((Coordenadas!$C$17-Coordenadas!$C$148)^2+(Coordenadas!$D$17-Coordenadas!$D$148)^2)&lt;=LEEME!$B$20,EXP(-LEEME!$B$19*SQRT((Coordenadas!$C$17-Coordenadas!$C$148)^2+(Coordenadas!$D$17-Coordenadas!$D$148)^2)),0)</f>
        <v>0.752542820607289</v>
      </c>
    </row>
    <row r="49" customFormat="false" ht="15" hidden="false" customHeight="false" outlineLevel="0" collapsed="false">
      <c r="A49" s="0" t="s">
        <v>62</v>
      </c>
      <c r="B49" s="0" t="s">
        <v>207</v>
      </c>
      <c r="C49" s="17" t="n">
        <f aca="false">IF(SQRT((Coordenadas!$C$17-Coordenadas!$C$158)^2+(Coordenadas!$D$17-Coordenadas!$D$158)^2)&lt;=LEEME!$B$20,EXP(-LEEME!$B$19*SQRT((Coordenadas!$C$17-Coordenadas!$C$158)^2+(Coordenadas!$D$17-Coordenadas!$D$158)^2)),0)</f>
        <v>0.610573954398673</v>
      </c>
    </row>
    <row r="50" customFormat="false" ht="15" hidden="false" customHeight="false" outlineLevel="0" collapsed="false">
      <c r="A50" s="0" t="s">
        <v>63</v>
      </c>
      <c r="B50" s="0" t="s">
        <v>197</v>
      </c>
      <c r="C50" s="17" t="n">
        <f aca="false">IF(SQRT((Coordenadas!$C$18-Coordenadas!$C$148)^2+(Coordenadas!$D$18-Coordenadas!$D$148)^2)&lt;=LEEME!$B$20,EXP(-LEEME!$B$19*SQRT((Coordenadas!$C$18-Coordenadas!$C$148)^2+(Coordenadas!$D$18-Coordenadas!$D$148)^2)),0)</f>
        <v>0.525446962352214</v>
      </c>
    </row>
    <row r="51" customFormat="false" ht="15" hidden="false" customHeight="false" outlineLevel="0" collapsed="false">
      <c r="A51" s="0" t="s">
        <v>63</v>
      </c>
      <c r="B51" s="0" t="s">
        <v>207</v>
      </c>
      <c r="C51" s="17" t="n">
        <f aca="false">IF(SQRT((Coordenadas!$C$18-Coordenadas!$C$158)^2+(Coordenadas!$D$18-Coordenadas!$D$158)^2)&lt;=LEEME!$B$20,EXP(-LEEME!$B$19*SQRT((Coordenadas!$C$18-Coordenadas!$C$158)^2+(Coordenadas!$D$18-Coordenadas!$D$158)^2)),0)</f>
        <v>0.566258456249116</v>
      </c>
    </row>
    <row r="52" customFormat="false" ht="15" hidden="false" customHeight="false" outlineLevel="0" collapsed="false">
      <c r="A52" s="0" t="s">
        <v>64</v>
      </c>
      <c r="B52" s="0" t="s">
        <v>197</v>
      </c>
      <c r="C52" s="17" t="n">
        <f aca="false">IF(SQRT((Coordenadas!$C$19-Coordenadas!$C$148)^2+(Coordenadas!$D$19-Coordenadas!$D$148)^2)&lt;=LEEME!$B$20,EXP(-LEEME!$B$19*SQRT((Coordenadas!$C$19-Coordenadas!$C$148)^2+(Coordenadas!$D$19-Coordenadas!$D$148)^2)),0)</f>
        <v>0.468583841314884</v>
      </c>
    </row>
    <row r="53" customFormat="false" ht="15" hidden="false" customHeight="false" outlineLevel="0" collapsed="false">
      <c r="A53" s="0" t="s">
        <v>64</v>
      </c>
      <c r="B53" s="0" t="s">
        <v>207</v>
      </c>
      <c r="C53" s="17" t="n">
        <f aca="false">IF(SQRT((Coordenadas!$C$19-Coordenadas!$C$158)^2+(Coordenadas!$D$19-Coordenadas!$D$158)^2)&lt;=LEEME!$B$20,EXP(-LEEME!$B$19*SQRT((Coordenadas!$C$19-Coordenadas!$C$158)^2+(Coordenadas!$D$19-Coordenadas!$D$158)^2)),0)</f>
        <v>0.688415227984553</v>
      </c>
    </row>
    <row r="54" customFormat="false" ht="15" hidden="false" customHeight="false" outlineLevel="0" collapsed="false">
      <c r="A54" s="0" t="s">
        <v>65</v>
      </c>
      <c r="B54" s="0" t="s">
        <v>201</v>
      </c>
      <c r="C54" s="17" t="n">
        <f aca="false">IF(SQRT((Coordenadas!$C$20-Coordenadas!$C$152)^2+(Coordenadas!$D$20-Coordenadas!$D$152)^2)&lt;=LEEME!$B$20,EXP(-LEEME!$B$19*SQRT((Coordenadas!$C$20-Coordenadas!$C$152)^2+(Coordenadas!$D$20-Coordenadas!$D$152)^2)),0)</f>
        <v>0.482404705750463</v>
      </c>
    </row>
    <row r="55" customFormat="false" ht="15" hidden="false" customHeight="false" outlineLevel="0" collapsed="false">
      <c r="A55" s="0" t="s">
        <v>65</v>
      </c>
      <c r="B55" s="0" t="s">
        <v>207</v>
      </c>
      <c r="C55" s="17" t="n">
        <f aca="false">IF(SQRT((Coordenadas!$C$20-Coordenadas!$C$158)^2+(Coordenadas!$D$20-Coordenadas!$D$158)^2)&lt;=LEEME!$B$20,EXP(-LEEME!$B$19*SQRT((Coordenadas!$C$20-Coordenadas!$C$158)^2+(Coordenadas!$D$20-Coordenadas!$D$158)^2)),0)</f>
        <v>0.577356701846253</v>
      </c>
    </row>
    <row r="56" customFormat="false" ht="15" hidden="false" customHeight="false" outlineLevel="0" collapsed="false">
      <c r="A56" s="0" t="s">
        <v>66</v>
      </c>
      <c r="B56" s="0" t="s">
        <v>200</v>
      </c>
      <c r="C56" s="17" t="n">
        <f aca="false">IF(SQRT((Coordenadas!$C$21-Coordenadas!$C$151)^2+(Coordenadas!$D$21-Coordenadas!$D$151)^2)&lt;=LEEME!$B$20,EXP(-LEEME!$B$19*SQRT((Coordenadas!$C$21-Coordenadas!$C$151)^2+(Coordenadas!$D$21-Coordenadas!$D$151)^2)),0)</f>
        <v>0.771162834054563</v>
      </c>
    </row>
    <row r="57" customFormat="false" ht="15" hidden="false" customHeight="false" outlineLevel="0" collapsed="false">
      <c r="A57" s="0" t="s">
        <v>67</v>
      </c>
      <c r="B57" s="0" t="s">
        <v>200</v>
      </c>
      <c r="C57" s="17" t="n">
        <f aca="false">IF(SQRT((Coordenadas!$C$22-Coordenadas!$C$151)^2+(Coordenadas!$D$22-Coordenadas!$D$151)^2)&lt;=LEEME!$B$20,EXP(-LEEME!$B$19*SQRT((Coordenadas!$C$22-Coordenadas!$C$151)^2+(Coordenadas!$D$22-Coordenadas!$D$151)^2)),0)</f>
        <v>0.961701422243956</v>
      </c>
    </row>
    <row r="58" customFormat="false" ht="15" hidden="false" customHeight="false" outlineLevel="0" collapsed="false">
      <c r="A58" s="0" t="s">
        <v>68</v>
      </c>
      <c r="B58" s="0" t="s">
        <v>200</v>
      </c>
      <c r="C58" s="17" t="n">
        <f aca="false">IF(SQRT((Coordenadas!$C$23-Coordenadas!$C$151)^2+(Coordenadas!$D$23-Coordenadas!$D$151)^2)&lt;=LEEME!$B$20,EXP(-LEEME!$B$19*SQRT((Coordenadas!$C$23-Coordenadas!$C$151)^2+(Coordenadas!$D$23-Coordenadas!$D$151)^2)),0)</f>
        <v>0.669567416318688</v>
      </c>
    </row>
    <row r="59" customFormat="false" ht="15" hidden="false" customHeight="false" outlineLevel="0" collapsed="false">
      <c r="A59" s="0" t="s">
        <v>69</v>
      </c>
      <c r="B59" s="0" t="s">
        <v>200</v>
      </c>
      <c r="C59" s="17" t="n">
        <f aca="false">IF(SQRT((Coordenadas!$C$24-Coordenadas!$C$151)^2+(Coordenadas!$D$24-Coordenadas!$D$151)^2)&lt;=LEEME!$B$20,EXP(-LEEME!$B$19*SQRT((Coordenadas!$C$24-Coordenadas!$C$151)^2+(Coordenadas!$D$24-Coordenadas!$D$151)^2)),0)</f>
        <v>0.505419145334219</v>
      </c>
    </row>
    <row r="60" customFormat="false" ht="15" hidden="false" customHeight="false" outlineLevel="0" collapsed="false">
      <c r="A60" s="0" t="s">
        <v>71</v>
      </c>
      <c r="B60" s="0" t="s">
        <v>197</v>
      </c>
      <c r="C60" s="17" t="n">
        <f aca="false">IF(SQRT((Coordenadas!$C$26-Coordenadas!$C$148)^2+(Coordenadas!$D$26-Coordenadas!$D$148)^2)&lt;=LEEME!$B$20,EXP(-LEEME!$B$19*SQRT((Coordenadas!$C$26-Coordenadas!$C$148)^2+(Coordenadas!$D$26-Coordenadas!$D$148)^2)),0)</f>
        <v>0.412347275236806</v>
      </c>
    </row>
    <row r="61" customFormat="false" ht="15" hidden="false" customHeight="false" outlineLevel="0" collapsed="false">
      <c r="A61" s="0" t="s">
        <v>71</v>
      </c>
      <c r="B61" s="0" t="s">
        <v>207</v>
      </c>
      <c r="C61" s="17" t="n">
        <f aca="false">IF(SQRT((Coordenadas!$C$26-Coordenadas!$C$158)^2+(Coordenadas!$D$26-Coordenadas!$D$158)^2)&lt;=LEEME!$B$20,EXP(-LEEME!$B$19*SQRT((Coordenadas!$C$26-Coordenadas!$C$158)^2+(Coordenadas!$D$26-Coordenadas!$D$158)^2)),0)</f>
        <v>0.418128628935644</v>
      </c>
    </row>
    <row r="62" customFormat="false" ht="15" hidden="false" customHeight="false" outlineLevel="0" collapsed="false">
      <c r="A62" s="0" t="s">
        <v>72</v>
      </c>
      <c r="B62" s="0" t="s">
        <v>201</v>
      </c>
      <c r="C62" s="17" t="n">
        <f aca="false">IF(SQRT((Coordenadas!$C$27-Coordenadas!$C$152)^2+(Coordenadas!$D$27-Coordenadas!$D$152)^2)&lt;=LEEME!$B$20,EXP(-LEEME!$B$19*SQRT((Coordenadas!$C$27-Coordenadas!$C$152)^2+(Coordenadas!$D$27-Coordenadas!$D$152)^2)),0)</f>
        <v>0.422756562533333</v>
      </c>
    </row>
    <row r="63" customFormat="false" ht="15" hidden="false" customHeight="false" outlineLevel="0" collapsed="false">
      <c r="A63" s="0" t="s">
        <v>72</v>
      </c>
      <c r="B63" s="0" t="s">
        <v>203</v>
      </c>
      <c r="C63" s="17" t="n">
        <f aca="false">IF(SQRT((Coordenadas!$C$27-Coordenadas!$C$154)^2+(Coordenadas!$D$27-Coordenadas!$D$154)^2)&lt;=LEEME!$B$20,EXP(-LEEME!$B$19*SQRT((Coordenadas!$C$27-Coordenadas!$C$154)^2+(Coordenadas!$D$27-Coordenadas!$D$154)^2)),0)</f>
        <v>0.80579313252463</v>
      </c>
    </row>
    <row r="64" customFormat="false" ht="15" hidden="false" customHeight="false" outlineLevel="0" collapsed="false">
      <c r="A64" s="0" t="s">
        <v>72</v>
      </c>
      <c r="B64" s="0" t="s">
        <v>208</v>
      </c>
      <c r="C64" s="17" t="n">
        <f aca="false">IF(SQRT((Coordenadas!$C$27-Coordenadas!$C$159)^2+(Coordenadas!$D$27-Coordenadas!$D$159)^2)&lt;=LEEME!$B$20,EXP(-LEEME!$B$19*SQRT((Coordenadas!$C$27-Coordenadas!$C$159)^2+(Coordenadas!$D$27-Coordenadas!$D$159)^2)),0)</f>
        <v>0.560031143971277</v>
      </c>
    </row>
    <row r="65" customFormat="false" ht="15" hidden="false" customHeight="false" outlineLevel="0" collapsed="false">
      <c r="A65" s="0" t="s">
        <v>72</v>
      </c>
      <c r="B65" s="0" t="s">
        <v>209</v>
      </c>
      <c r="C65" s="17" t="n">
        <f aca="false">IF(SQRT((Coordenadas!$C$27-Coordenadas!$C$160)^2+(Coordenadas!$D$27-Coordenadas!$D$160)^2)&lt;=LEEME!$B$20,EXP(-LEEME!$B$19*SQRT((Coordenadas!$C$27-Coordenadas!$C$160)^2+(Coordenadas!$D$27-Coordenadas!$D$160)^2)),0)</f>
        <v>0.472358680118214</v>
      </c>
    </row>
    <row r="66" customFormat="false" ht="15" hidden="false" customHeight="false" outlineLevel="0" collapsed="false">
      <c r="A66" s="0" t="s">
        <v>73</v>
      </c>
      <c r="B66" s="0" t="s">
        <v>201</v>
      </c>
      <c r="C66" s="17" t="n">
        <f aca="false">IF(SQRT((Coordenadas!$C$28-Coordenadas!$C$152)^2+(Coordenadas!$D$28-Coordenadas!$D$152)^2)&lt;=LEEME!$B$20,EXP(-LEEME!$B$19*SQRT((Coordenadas!$C$28-Coordenadas!$C$152)^2+(Coordenadas!$D$28-Coordenadas!$D$152)^2)),0)</f>
        <v>0.53388506527826</v>
      </c>
    </row>
    <row r="67" customFormat="false" ht="15" hidden="false" customHeight="false" outlineLevel="0" collapsed="false">
      <c r="A67" s="0" t="s">
        <v>73</v>
      </c>
      <c r="B67" s="0" t="s">
        <v>203</v>
      </c>
      <c r="C67" s="17" t="n">
        <f aca="false">IF(SQRT((Coordenadas!$C$28-Coordenadas!$C$154)^2+(Coordenadas!$D$28-Coordenadas!$D$154)^2)&lt;=LEEME!$B$20,EXP(-LEEME!$B$19*SQRT((Coordenadas!$C$28-Coordenadas!$C$154)^2+(Coordenadas!$D$28-Coordenadas!$D$154)^2)),0)</f>
        <v>0.674534711258122</v>
      </c>
    </row>
    <row r="68" customFormat="false" ht="15" hidden="false" customHeight="false" outlineLevel="0" collapsed="false">
      <c r="A68" s="0" t="s">
        <v>73</v>
      </c>
      <c r="B68" s="0" t="s">
        <v>208</v>
      </c>
      <c r="C68" s="17" t="n">
        <f aca="false">IF(SQRT((Coordenadas!$C$28-Coordenadas!$C$159)^2+(Coordenadas!$D$28-Coordenadas!$D$159)^2)&lt;=LEEME!$B$20,EXP(-LEEME!$B$19*SQRT((Coordenadas!$C$28-Coordenadas!$C$159)^2+(Coordenadas!$D$28-Coordenadas!$D$159)^2)),0)</f>
        <v>0.479212096150953</v>
      </c>
    </row>
    <row r="69" customFormat="false" ht="15" hidden="false" customHeight="false" outlineLevel="0" collapsed="false">
      <c r="A69" s="0" t="s">
        <v>73</v>
      </c>
      <c r="B69" s="0" t="s">
        <v>209</v>
      </c>
      <c r="C69" s="17" t="n">
        <f aca="false">IF(SQRT((Coordenadas!$C$28-Coordenadas!$C$160)^2+(Coordenadas!$D$28-Coordenadas!$D$160)^2)&lt;=LEEME!$B$20,EXP(-LEEME!$B$19*SQRT((Coordenadas!$C$28-Coordenadas!$C$160)^2+(Coordenadas!$D$28-Coordenadas!$D$160)^2)),0)</f>
        <v>0.474829906572634</v>
      </c>
    </row>
    <row r="70" customFormat="false" ht="15" hidden="false" customHeight="false" outlineLevel="0" collapsed="false">
      <c r="A70" s="0" t="s">
        <v>74</v>
      </c>
      <c r="B70" s="0" t="s">
        <v>201</v>
      </c>
      <c r="C70" s="17" t="n">
        <f aca="false">IF(SQRT((Coordenadas!$C$29-Coordenadas!$C$152)^2+(Coordenadas!$D$29-Coordenadas!$D$152)^2)&lt;=LEEME!$B$20,EXP(-LEEME!$B$19*SQRT((Coordenadas!$C$29-Coordenadas!$C$152)^2+(Coordenadas!$D$29-Coordenadas!$D$152)^2)),0)</f>
        <v>0.785607032488259</v>
      </c>
    </row>
    <row r="71" customFormat="false" ht="15" hidden="false" customHeight="false" outlineLevel="0" collapsed="false">
      <c r="A71" s="0" t="s">
        <v>74</v>
      </c>
      <c r="B71" s="0" t="s">
        <v>203</v>
      </c>
      <c r="C71" s="17" t="n">
        <f aca="false">IF(SQRT((Coordenadas!$C$29-Coordenadas!$C$154)^2+(Coordenadas!$D$29-Coordenadas!$D$154)^2)&lt;=LEEME!$B$20,EXP(-LEEME!$B$19*SQRT((Coordenadas!$C$29-Coordenadas!$C$154)^2+(Coordenadas!$D$29-Coordenadas!$D$154)^2)),0)</f>
        <v>0.472083331027783</v>
      </c>
    </row>
    <row r="72" customFormat="false" ht="15" hidden="false" customHeight="false" outlineLevel="0" collapsed="false">
      <c r="A72" s="0" t="s">
        <v>74</v>
      </c>
      <c r="B72" s="0" t="s">
        <v>207</v>
      </c>
      <c r="C72" s="17" t="n">
        <f aca="false">IF(SQRT((Coordenadas!$C$29-Coordenadas!$C$158)^2+(Coordenadas!$D$29-Coordenadas!$D$158)^2)&lt;=LEEME!$B$20,EXP(-LEEME!$B$19*SQRT((Coordenadas!$C$29-Coordenadas!$C$158)^2+(Coordenadas!$D$29-Coordenadas!$D$158)^2)),0)</f>
        <v>0.387659221946009</v>
      </c>
    </row>
    <row r="73" customFormat="false" ht="15" hidden="false" customHeight="false" outlineLevel="0" collapsed="false">
      <c r="A73" s="0" t="s">
        <v>74</v>
      </c>
      <c r="B73" s="0" t="s">
        <v>209</v>
      </c>
      <c r="C73" s="17" t="n">
        <f aca="false">IF(SQRT((Coordenadas!$C$29-Coordenadas!$C$160)^2+(Coordenadas!$D$29-Coordenadas!$D$160)^2)&lt;=LEEME!$B$20,EXP(-LEEME!$B$19*SQRT((Coordenadas!$C$29-Coordenadas!$C$160)^2+(Coordenadas!$D$29-Coordenadas!$D$160)^2)),0)</f>
        <v>0.440109648865988</v>
      </c>
    </row>
    <row r="74" customFormat="false" ht="15" hidden="false" customHeight="false" outlineLevel="0" collapsed="false">
      <c r="A74" s="0" t="s">
        <v>75</v>
      </c>
      <c r="B74" s="0" t="s">
        <v>201</v>
      </c>
      <c r="C74" s="17" t="n">
        <f aca="false">IF(SQRT((Coordenadas!$C$30-Coordenadas!$C$152)^2+(Coordenadas!$D$30-Coordenadas!$D$152)^2)&lt;=LEEME!$B$20,EXP(-LEEME!$B$19*SQRT((Coordenadas!$C$30-Coordenadas!$C$152)^2+(Coordenadas!$D$30-Coordenadas!$D$152)^2)),0)</f>
        <v>0.628405454050799</v>
      </c>
    </row>
    <row r="75" customFormat="false" ht="15" hidden="false" customHeight="false" outlineLevel="0" collapsed="false">
      <c r="A75" s="0" t="s">
        <v>75</v>
      </c>
      <c r="B75" s="0" t="s">
        <v>203</v>
      </c>
      <c r="C75" s="17" t="n">
        <f aca="false">IF(SQRT((Coordenadas!$C$30-Coordenadas!$C$154)^2+(Coordenadas!$D$30-Coordenadas!$D$154)^2)&lt;=LEEME!$B$20,EXP(-LEEME!$B$19*SQRT((Coordenadas!$C$30-Coordenadas!$C$154)^2+(Coordenadas!$D$30-Coordenadas!$D$154)^2)),0)</f>
        <v>0.586615667306803</v>
      </c>
    </row>
    <row r="76" customFormat="false" ht="15" hidden="false" customHeight="false" outlineLevel="0" collapsed="false">
      <c r="A76" s="0" t="s">
        <v>75</v>
      </c>
      <c r="B76" s="0" t="s">
        <v>208</v>
      </c>
      <c r="C76" s="17" t="n">
        <f aca="false">IF(SQRT((Coordenadas!$C$30-Coordenadas!$C$159)^2+(Coordenadas!$D$30-Coordenadas!$D$159)^2)&lt;=LEEME!$B$20,EXP(-LEEME!$B$19*SQRT((Coordenadas!$C$30-Coordenadas!$C$159)^2+(Coordenadas!$D$30-Coordenadas!$D$159)^2)),0)</f>
        <v>0.413163549696661</v>
      </c>
    </row>
    <row r="77" customFormat="false" ht="15" hidden="false" customHeight="false" outlineLevel="0" collapsed="false">
      <c r="A77" s="0" t="s">
        <v>75</v>
      </c>
      <c r="B77" s="0" t="s">
        <v>209</v>
      </c>
      <c r="C77" s="17" t="n">
        <f aca="false">IF(SQRT((Coordenadas!$C$30-Coordenadas!$C$160)^2+(Coordenadas!$D$30-Coordenadas!$D$160)^2)&lt;=LEEME!$B$20,EXP(-LEEME!$B$19*SQRT((Coordenadas!$C$30-Coordenadas!$C$160)^2+(Coordenadas!$D$30-Coordenadas!$D$160)^2)),0)</f>
        <v>0.470985665616897</v>
      </c>
    </row>
    <row r="78" customFormat="false" ht="15" hidden="false" customHeight="false" outlineLevel="0" collapsed="false">
      <c r="A78" s="0" t="s">
        <v>76</v>
      </c>
      <c r="B78" s="0" t="s">
        <v>201</v>
      </c>
      <c r="C78" s="17" t="n">
        <f aca="false">IF(SQRT((Coordenadas!$C$31-Coordenadas!$C$152)^2+(Coordenadas!$D$31-Coordenadas!$D$152)^2)&lt;=LEEME!$B$20,EXP(-LEEME!$B$19*SQRT((Coordenadas!$C$31-Coordenadas!$C$152)^2+(Coordenadas!$D$31-Coordenadas!$D$152)^2)),0)</f>
        <v>0.919601115495625</v>
      </c>
    </row>
    <row r="79" customFormat="false" ht="15" hidden="false" customHeight="false" outlineLevel="0" collapsed="false">
      <c r="A79" s="0" t="s">
        <v>76</v>
      </c>
      <c r="B79" s="0" t="s">
        <v>207</v>
      </c>
      <c r="C79" s="17" t="n">
        <f aca="false">IF(SQRT((Coordenadas!$C$31-Coordenadas!$C$158)^2+(Coordenadas!$D$31-Coordenadas!$D$158)^2)&lt;=LEEME!$B$20,EXP(-LEEME!$B$19*SQRT((Coordenadas!$C$31-Coordenadas!$C$158)^2+(Coordenadas!$D$31-Coordenadas!$D$158)^2)),0)</f>
        <v>0.407872821087712</v>
      </c>
    </row>
    <row r="80" customFormat="false" ht="15" hidden="false" customHeight="false" outlineLevel="0" collapsed="false">
      <c r="A80" s="0" t="s">
        <v>77</v>
      </c>
      <c r="B80" s="0" t="s">
        <v>200</v>
      </c>
      <c r="C80" s="17" t="n">
        <f aca="false">IF(SQRT((Coordenadas!$C$32-Coordenadas!$C$151)^2+(Coordenadas!$D$32-Coordenadas!$D$151)^2)&lt;=LEEME!$B$20,EXP(-LEEME!$B$19*SQRT((Coordenadas!$C$32-Coordenadas!$C$151)^2+(Coordenadas!$D$32-Coordenadas!$D$151)^2)),0)</f>
        <v>0.48470068526489</v>
      </c>
    </row>
    <row r="81" customFormat="false" ht="15" hidden="false" customHeight="false" outlineLevel="0" collapsed="false">
      <c r="A81" s="0" t="s">
        <v>77</v>
      </c>
      <c r="B81" s="0" t="s">
        <v>201</v>
      </c>
      <c r="C81" s="17" t="n">
        <f aca="false">IF(SQRT((Coordenadas!$C$32-Coordenadas!$C$152)^2+(Coordenadas!$D$32-Coordenadas!$D$152)^2)&lt;=LEEME!$B$20,EXP(-LEEME!$B$19*SQRT((Coordenadas!$C$32-Coordenadas!$C$152)^2+(Coordenadas!$D$32-Coordenadas!$D$152)^2)),0)</f>
        <v>0.554033888524584</v>
      </c>
    </row>
    <row r="82" customFormat="false" ht="15" hidden="false" customHeight="false" outlineLevel="0" collapsed="false">
      <c r="A82" s="0" t="s">
        <v>78</v>
      </c>
      <c r="B82" s="0" t="s">
        <v>201</v>
      </c>
      <c r="C82" s="17" t="n">
        <f aca="false">IF(SQRT((Coordenadas!$C$33-Coordenadas!$C$152)^2+(Coordenadas!$D$33-Coordenadas!$D$152)^2)&lt;=LEEME!$B$20,EXP(-LEEME!$B$19*SQRT((Coordenadas!$C$33-Coordenadas!$C$152)^2+(Coordenadas!$D$33-Coordenadas!$D$152)^2)),0)</f>
        <v>0.882408692574813</v>
      </c>
    </row>
    <row r="83" customFormat="false" ht="15" hidden="false" customHeight="false" outlineLevel="0" collapsed="false">
      <c r="A83" s="0" t="s">
        <v>79</v>
      </c>
      <c r="B83" s="0" t="s">
        <v>196</v>
      </c>
      <c r="C83" s="17" t="n">
        <f aca="false">IF(SQRT((Coordenadas!$C$34-Coordenadas!$C$147)^2+(Coordenadas!$D$34-Coordenadas!$D$147)^2)&lt;=LEEME!$B$20,EXP(-LEEME!$B$19*SQRT((Coordenadas!$C$34-Coordenadas!$C$147)^2+(Coordenadas!$D$34-Coordenadas!$D$147)^2)),0)</f>
        <v>0.646967299560504</v>
      </c>
    </row>
    <row r="84" customFormat="false" ht="15" hidden="false" customHeight="false" outlineLevel="0" collapsed="false">
      <c r="A84" s="0" t="s">
        <v>79</v>
      </c>
      <c r="B84" s="0" t="s">
        <v>210</v>
      </c>
      <c r="C84" s="17" t="n">
        <f aca="false">IF(SQRT((Coordenadas!$C$34-Coordenadas!$C$161)^2+(Coordenadas!$D$34-Coordenadas!$D$161)^2)&lt;=LEEME!$B$20,EXP(-LEEME!$B$19*SQRT((Coordenadas!$C$34-Coordenadas!$C$161)^2+(Coordenadas!$D$34-Coordenadas!$D$161)^2)),0)</f>
        <v>0.854769404923985</v>
      </c>
    </row>
    <row r="85" customFormat="false" ht="15" hidden="false" customHeight="false" outlineLevel="0" collapsed="false">
      <c r="A85" s="0" t="s">
        <v>81</v>
      </c>
      <c r="B85" s="0" t="s">
        <v>196</v>
      </c>
      <c r="C85" s="17" t="n">
        <f aca="false">IF(SQRT((Coordenadas!$C$35-Coordenadas!$C$147)^2+(Coordenadas!$D$35-Coordenadas!$D$147)^2)&lt;=LEEME!$B$20,EXP(-LEEME!$B$19*SQRT((Coordenadas!$C$35-Coordenadas!$C$147)^2+(Coordenadas!$D$35-Coordenadas!$D$147)^2)),0)</f>
        <v>0.550995562826877</v>
      </c>
    </row>
    <row r="86" customFormat="false" ht="15" hidden="false" customHeight="false" outlineLevel="0" collapsed="false">
      <c r="A86" s="0" t="s">
        <v>81</v>
      </c>
      <c r="B86" s="0" t="s">
        <v>199</v>
      </c>
      <c r="C86" s="17" t="n">
        <f aca="false">IF(SQRT((Coordenadas!$C$35-Coordenadas!$C$150)^2+(Coordenadas!$D$35-Coordenadas!$D$150)^2)&lt;=LEEME!$B$20,EXP(-LEEME!$B$19*SQRT((Coordenadas!$C$35-Coordenadas!$C$150)^2+(Coordenadas!$D$35-Coordenadas!$D$150)^2)),0)</f>
        <v>0.370659413078522</v>
      </c>
    </row>
    <row r="87" customFormat="false" ht="15" hidden="false" customHeight="false" outlineLevel="0" collapsed="false">
      <c r="A87" s="0" t="s">
        <v>81</v>
      </c>
      <c r="B87" s="0" t="s">
        <v>210</v>
      </c>
      <c r="C87" s="17" t="n">
        <f aca="false">IF(SQRT((Coordenadas!$C$35-Coordenadas!$C$161)^2+(Coordenadas!$D$35-Coordenadas!$D$161)^2)&lt;=LEEME!$B$20,EXP(-LEEME!$B$19*SQRT((Coordenadas!$C$35-Coordenadas!$C$161)^2+(Coordenadas!$D$35-Coordenadas!$D$161)^2)),0)</f>
        <v>0.909492679663057</v>
      </c>
    </row>
    <row r="88" customFormat="false" ht="15" hidden="false" customHeight="false" outlineLevel="0" collapsed="false">
      <c r="A88" s="0" t="s">
        <v>82</v>
      </c>
      <c r="B88" s="0" t="s">
        <v>196</v>
      </c>
      <c r="C88" s="17" t="n">
        <f aca="false">IF(SQRT((Coordenadas!$C$36-Coordenadas!$C$147)^2+(Coordenadas!$D$36-Coordenadas!$D$147)^2)&lt;=LEEME!$B$20,EXP(-LEEME!$B$19*SQRT((Coordenadas!$C$36-Coordenadas!$C$147)^2+(Coordenadas!$D$36-Coordenadas!$D$147)^2)),0)</f>
        <v>0.485538995237983</v>
      </c>
    </row>
    <row r="89" customFormat="false" ht="15" hidden="false" customHeight="false" outlineLevel="0" collapsed="false">
      <c r="A89" s="0" t="s">
        <v>82</v>
      </c>
      <c r="B89" s="0" t="s">
        <v>199</v>
      </c>
      <c r="C89" s="17" t="n">
        <f aca="false">IF(SQRT((Coordenadas!$C$36-Coordenadas!$C$150)^2+(Coordenadas!$D$36-Coordenadas!$D$150)^2)&lt;=LEEME!$B$20,EXP(-LEEME!$B$19*SQRT((Coordenadas!$C$36-Coordenadas!$C$150)^2+(Coordenadas!$D$36-Coordenadas!$D$150)^2)),0)</f>
        <v>0.371248568707787</v>
      </c>
    </row>
    <row r="90" customFormat="false" ht="15" hidden="false" customHeight="false" outlineLevel="0" collapsed="false">
      <c r="A90" s="0" t="s">
        <v>82</v>
      </c>
      <c r="B90" s="0" t="s">
        <v>210</v>
      </c>
      <c r="C90" s="17" t="n">
        <f aca="false">IF(SQRT((Coordenadas!$C$36-Coordenadas!$C$161)^2+(Coordenadas!$D$36-Coordenadas!$D$161)^2)&lt;=LEEME!$B$20,EXP(-LEEME!$B$19*SQRT((Coordenadas!$C$36-Coordenadas!$C$161)^2+(Coordenadas!$D$36-Coordenadas!$D$161)^2)),0)</f>
        <v>0.782664609512532</v>
      </c>
    </row>
    <row r="91" customFormat="false" ht="15" hidden="false" customHeight="false" outlineLevel="0" collapsed="false">
      <c r="A91" s="0" t="s">
        <v>83</v>
      </c>
      <c r="B91" s="0" t="s">
        <v>199</v>
      </c>
      <c r="C91" s="17" t="n">
        <f aca="false">IF(SQRT((Coordenadas!$C$37-Coordenadas!$C$150)^2+(Coordenadas!$D$37-Coordenadas!$D$150)^2)&lt;=LEEME!$B$20,EXP(-LEEME!$B$19*SQRT((Coordenadas!$C$37-Coordenadas!$C$150)^2+(Coordenadas!$D$37-Coordenadas!$D$150)^2)),0)</f>
        <v>0.422033631321237</v>
      </c>
    </row>
    <row r="92" customFormat="false" ht="15" hidden="false" customHeight="false" outlineLevel="0" collapsed="false">
      <c r="A92" s="0" t="s">
        <v>83</v>
      </c>
      <c r="B92" s="0" t="s">
        <v>210</v>
      </c>
      <c r="C92" s="17" t="n">
        <f aca="false">IF(SQRT((Coordenadas!$C$37-Coordenadas!$C$161)^2+(Coordenadas!$D$37-Coordenadas!$D$161)^2)&lt;=LEEME!$B$20,EXP(-LEEME!$B$19*SQRT((Coordenadas!$C$37-Coordenadas!$C$161)^2+(Coordenadas!$D$37-Coordenadas!$D$161)^2)),0)</f>
        <v>0.566669593371231</v>
      </c>
    </row>
    <row r="93" customFormat="false" ht="15" hidden="false" customHeight="false" outlineLevel="0" collapsed="false">
      <c r="A93" s="0" t="s">
        <v>84</v>
      </c>
      <c r="B93" s="0" t="s">
        <v>199</v>
      </c>
      <c r="C93" s="17" t="n">
        <f aca="false">IF(SQRT((Coordenadas!$C$38-Coordenadas!$C$150)^2+(Coordenadas!$D$38-Coordenadas!$D$150)^2)&lt;=LEEME!$B$20,EXP(-LEEME!$B$19*SQRT((Coordenadas!$C$38-Coordenadas!$C$150)^2+(Coordenadas!$D$38-Coordenadas!$D$150)^2)),0)</f>
        <v>0.566208677353672</v>
      </c>
    </row>
    <row r="94" customFormat="false" ht="15" hidden="false" customHeight="false" outlineLevel="0" collapsed="false">
      <c r="A94" s="0" t="s">
        <v>84</v>
      </c>
      <c r="B94" s="0" t="s">
        <v>210</v>
      </c>
      <c r="C94" s="17" t="n">
        <f aca="false">IF(SQRT((Coordenadas!$C$38-Coordenadas!$C$161)^2+(Coordenadas!$D$38-Coordenadas!$D$161)^2)&lt;=LEEME!$B$20,EXP(-LEEME!$B$19*SQRT((Coordenadas!$C$38-Coordenadas!$C$161)^2+(Coordenadas!$D$38-Coordenadas!$D$161)^2)),0)</f>
        <v>0.64277799409801</v>
      </c>
    </row>
    <row r="95" customFormat="false" ht="15" hidden="false" customHeight="false" outlineLevel="0" collapsed="false">
      <c r="A95" s="0" t="s">
        <v>85</v>
      </c>
      <c r="B95" s="0" t="s">
        <v>196</v>
      </c>
      <c r="C95" s="17" t="n">
        <f aca="false">IF(SQRT((Coordenadas!$C$39-Coordenadas!$C$147)^2+(Coordenadas!$D$39-Coordenadas!$D$147)^2)&lt;=LEEME!$B$20,EXP(-LEEME!$B$19*SQRT((Coordenadas!$C$39-Coordenadas!$C$147)^2+(Coordenadas!$D$39-Coordenadas!$D$147)^2)),0)</f>
        <v>0.417631757305469</v>
      </c>
    </row>
    <row r="96" customFormat="false" ht="15" hidden="false" customHeight="false" outlineLevel="0" collapsed="false">
      <c r="A96" s="0" t="s">
        <v>85</v>
      </c>
      <c r="B96" s="0" t="s">
        <v>199</v>
      </c>
      <c r="C96" s="17" t="n">
        <f aca="false">IF(SQRT((Coordenadas!$C$39-Coordenadas!$C$150)^2+(Coordenadas!$D$39-Coordenadas!$D$150)^2)&lt;=LEEME!$B$20,EXP(-LEEME!$B$19*SQRT((Coordenadas!$C$39-Coordenadas!$C$150)^2+(Coordenadas!$D$39-Coordenadas!$D$150)^2)),0)</f>
        <v>0.535165104000058</v>
      </c>
    </row>
    <row r="97" customFormat="false" ht="15" hidden="false" customHeight="false" outlineLevel="0" collapsed="false">
      <c r="A97" s="0" t="s">
        <v>85</v>
      </c>
      <c r="B97" s="0" t="s">
        <v>210</v>
      </c>
      <c r="C97" s="17" t="n">
        <f aca="false">IF(SQRT((Coordenadas!$C$39-Coordenadas!$C$161)^2+(Coordenadas!$D$39-Coordenadas!$D$161)^2)&lt;=LEEME!$B$20,EXP(-LEEME!$B$19*SQRT((Coordenadas!$C$39-Coordenadas!$C$161)^2+(Coordenadas!$D$39-Coordenadas!$D$161)^2)),0)</f>
        <v>0.71531139661718</v>
      </c>
    </row>
    <row r="98" customFormat="false" ht="15" hidden="false" customHeight="false" outlineLevel="0" collapsed="false">
      <c r="A98" s="0" t="s">
        <v>86</v>
      </c>
      <c r="B98" s="0" t="s">
        <v>198</v>
      </c>
      <c r="C98" s="17" t="n">
        <f aca="false">IF(SQRT((Coordenadas!$C$40-Coordenadas!$C$149)^2+(Coordenadas!$D$40-Coordenadas!$D$149)^2)&lt;=LEEME!$B$20,EXP(-LEEME!$B$19*SQRT((Coordenadas!$C$40-Coordenadas!$C$149)^2+(Coordenadas!$D$40-Coordenadas!$D$149)^2)),0)</f>
        <v>0.473780706228478</v>
      </c>
    </row>
    <row r="99" customFormat="false" ht="15" hidden="false" customHeight="false" outlineLevel="0" collapsed="false">
      <c r="A99" s="0" t="s">
        <v>86</v>
      </c>
      <c r="B99" s="0" t="s">
        <v>199</v>
      </c>
      <c r="C99" s="17" t="n">
        <f aca="false">IF(SQRT((Coordenadas!$C$40-Coordenadas!$C$150)^2+(Coordenadas!$D$40-Coordenadas!$D$150)^2)&lt;=LEEME!$B$20,EXP(-LEEME!$B$19*SQRT((Coordenadas!$C$40-Coordenadas!$C$150)^2+(Coordenadas!$D$40-Coordenadas!$D$150)^2)),0)</f>
        <v>0.640608385972664</v>
      </c>
    </row>
    <row r="100" customFormat="false" ht="15" hidden="false" customHeight="false" outlineLevel="0" collapsed="false">
      <c r="A100" s="0" t="s">
        <v>86</v>
      </c>
      <c r="B100" s="0" t="s">
        <v>210</v>
      </c>
      <c r="C100" s="17" t="n">
        <f aca="false">IF(SQRT((Coordenadas!$C$40-Coordenadas!$C$161)^2+(Coordenadas!$D$40-Coordenadas!$D$161)^2)&lt;=LEEME!$B$20,EXP(-LEEME!$B$19*SQRT((Coordenadas!$C$40-Coordenadas!$C$161)^2+(Coordenadas!$D$40-Coordenadas!$D$161)^2)),0)</f>
        <v>0.547478236459375</v>
      </c>
    </row>
    <row r="101" customFormat="false" ht="15" hidden="false" customHeight="false" outlineLevel="0" collapsed="false">
      <c r="A101" s="0" t="s">
        <v>87</v>
      </c>
      <c r="B101" s="0" t="s">
        <v>196</v>
      </c>
      <c r="C101" s="17" t="n">
        <f aca="false">IF(SQRT((Coordenadas!$C$41-Coordenadas!$C$147)^2+(Coordenadas!$D$41-Coordenadas!$D$147)^2)&lt;=LEEME!$B$20,EXP(-LEEME!$B$19*SQRT((Coordenadas!$C$41-Coordenadas!$C$147)^2+(Coordenadas!$D$41-Coordenadas!$D$147)^2)),0)</f>
        <v>0.478634758494143</v>
      </c>
    </row>
    <row r="102" customFormat="false" ht="15" hidden="false" customHeight="false" outlineLevel="0" collapsed="false">
      <c r="A102" s="0" t="s">
        <v>87</v>
      </c>
      <c r="B102" s="0" t="s">
        <v>198</v>
      </c>
      <c r="C102" s="17" t="n">
        <f aca="false">IF(SQRT((Coordenadas!$C$41-Coordenadas!$C$149)^2+(Coordenadas!$D$41-Coordenadas!$D$149)^2)&lt;=LEEME!$B$20,EXP(-LEEME!$B$19*SQRT((Coordenadas!$C$41-Coordenadas!$C$149)^2+(Coordenadas!$D$41-Coordenadas!$D$149)^2)),0)</f>
        <v>0.376752815079205</v>
      </c>
    </row>
    <row r="103" customFormat="false" ht="15" hidden="false" customHeight="false" outlineLevel="0" collapsed="false">
      <c r="A103" s="0" t="s">
        <v>87</v>
      </c>
      <c r="B103" s="0" t="s">
        <v>199</v>
      </c>
      <c r="C103" s="17" t="n">
        <f aca="false">IF(SQRT((Coordenadas!$C$41-Coordenadas!$C$150)^2+(Coordenadas!$D$41-Coordenadas!$D$150)^2)&lt;=LEEME!$B$20,EXP(-LEEME!$B$19*SQRT((Coordenadas!$C$41-Coordenadas!$C$150)^2+(Coordenadas!$D$41-Coordenadas!$D$150)^2)),0)</f>
        <v>0.473963131041036</v>
      </c>
    </row>
    <row r="104" customFormat="false" ht="15" hidden="false" customHeight="false" outlineLevel="0" collapsed="false">
      <c r="A104" s="0" t="s">
        <v>87</v>
      </c>
      <c r="B104" s="0" t="s">
        <v>210</v>
      </c>
      <c r="C104" s="17" t="n">
        <f aca="false">IF(SQRT((Coordenadas!$C$41-Coordenadas!$C$161)^2+(Coordenadas!$D$41-Coordenadas!$D$161)^2)&lt;=LEEME!$B$20,EXP(-LEEME!$B$19*SQRT((Coordenadas!$C$41-Coordenadas!$C$161)^2+(Coordenadas!$D$41-Coordenadas!$D$161)^2)),0)</f>
        <v>0.731155319638067</v>
      </c>
    </row>
    <row r="105" customFormat="false" ht="15" hidden="false" customHeight="false" outlineLevel="0" collapsed="false">
      <c r="A105" s="0" t="s">
        <v>88</v>
      </c>
      <c r="B105" s="0" t="s">
        <v>196</v>
      </c>
      <c r="C105" s="17" t="n">
        <f aca="false">IF(SQRT((Coordenadas!$C$42-Coordenadas!$C$147)^2+(Coordenadas!$D$42-Coordenadas!$D$147)^2)&lt;=LEEME!$B$20,EXP(-LEEME!$B$19*SQRT((Coordenadas!$C$42-Coordenadas!$C$147)^2+(Coordenadas!$D$42-Coordenadas!$D$147)^2)),0)</f>
        <v>0.384404605260367</v>
      </c>
    </row>
    <row r="106" customFormat="false" ht="15" hidden="false" customHeight="false" outlineLevel="0" collapsed="false">
      <c r="A106" s="0" t="s">
        <v>88</v>
      </c>
      <c r="B106" s="0" t="s">
        <v>198</v>
      </c>
      <c r="C106" s="17" t="n">
        <f aca="false">IF(SQRT((Coordenadas!$C$42-Coordenadas!$C$149)^2+(Coordenadas!$D$42-Coordenadas!$D$149)^2)&lt;=LEEME!$B$20,EXP(-LEEME!$B$19*SQRT((Coordenadas!$C$42-Coordenadas!$C$149)^2+(Coordenadas!$D$42-Coordenadas!$D$149)^2)),0)</f>
        <v>0.517459141215092</v>
      </c>
    </row>
    <row r="107" customFormat="false" ht="15" hidden="false" customHeight="false" outlineLevel="0" collapsed="false">
      <c r="A107" s="0" t="s">
        <v>88</v>
      </c>
      <c r="B107" s="0" t="s">
        <v>199</v>
      </c>
      <c r="C107" s="17" t="n">
        <f aca="false">IF(SQRT((Coordenadas!$C$42-Coordenadas!$C$150)^2+(Coordenadas!$D$42-Coordenadas!$D$150)^2)&lt;=LEEME!$B$20,EXP(-LEEME!$B$19*SQRT((Coordenadas!$C$42-Coordenadas!$C$150)^2+(Coordenadas!$D$42-Coordenadas!$D$150)^2)),0)</f>
        <v>0.506915219112893</v>
      </c>
    </row>
    <row r="108" customFormat="false" ht="15" hidden="false" customHeight="false" outlineLevel="0" collapsed="false">
      <c r="A108" s="0" t="s">
        <v>88</v>
      </c>
      <c r="B108" s="0" t="s">
        <v>210</v>
      </c>
      <c r="C108" s="17" t="n">
        <f aca="false">IF(SQRT((Coordenadas!$C$42-Coordenadas!$C$161)^2+(Coordenadas!$D$42-Coordenadas!$D$161)^2)&lt;=LEEME!$B$20,EXP(-LEEME!$B$19*SQRT((Coordenadas!$C$42-Coordenadas!$C$161)^2+(Coordenadas!$D$42-Coordenadas!$D$161)^2)),0)</f>
        <v>0.52911302160672</v>
      </c>
    </row>
    <row r="109" customFormat="false" ht="15" hidden="false" customHeight="false" outlineLevel="0" collapsed="false">
      <c r="A109" s="0" t="s">
        <v>89</v>
      </c>
      <c r="B109" s="0" t="s">
        <v>196</v>
      </c>
      <c r="C109" s="17" t="n">
        <f aca="false">IF(SQRT((Coordenadas!$C$43-Coordenadas!$C$147)^2+(Coordenadas!$D$43-Coordenadas!$D$147)^2)&lt;=LEEME!$B$20,EXP(-LEEME!$B$19*SQRT((Coordenadas!$C$43-Coordenadas!$C$147)^2+(Coordenadas!$D$43-Coordenadas!$D$147)^2)),0)</f>
        <v>0.485429819580705</v>
      </c>
    </row>
    <row r="110" customFormat="false" ht="15" hidden="false" customHeight="false" outlineLevel="0" collapsed="false">
      <c r="A110" s="0" t="s">
        <v>89</v>
      </c>
      <c r="B110" s="0" t="s">
        <v>198</v>
      </c>
      <c r="C110" s="17" t="n">
        <f aca="false">IF(SQRT((Coordenadas!$C$43-Coordenadas!$C$149)^2+(Coordenadas!$D$43-Coordenadas!$D$149)^2)&lt;=LEEME!$B$20,EXP(-LEEME!$B$19*SQRT((Coordenadas!$C$43-Coordenadas!$C$149)^2+(Coordenadas!$D$43-Coordenadas!$D$149)^2)),0)</f>
        <v>0.418849245981121</v>
      </c>
    </row>
    <row r="111" customFormat="false" ht="15" hidden="false" customHeight="false" outlineLevel="0" collapsed="false">
      <c r="A111" s="0" t="s">
        <v>89</v>
      </c>
      <c r="B111" s="0" t="s">
        <v>199</v>
      </c>
      <c r="C111" s="17" t="n">
        <f aca="false">IF(SQRT((Coordenadas!$C$43-Coordenadas!$C$150)^2+(Coordenadas!$D$43-Coordenadas!$D$150)^2)&lt;=LEEME!$B$20,EXP(-LEEME!$B$19*SQRT((Coordenadas!$C$43-Coordenadas!$C$150)^2+(Coordenadas!$D$43-Coordenadas!$D$150)^2)),0)</f>
        <v>0.422394762803294</v>
      </c>
    </row>
    <row r="112" customFormat="false" ht="15" hidden="false" customHeight="false" outlineLevel="0" collapsed="false">
      <c r="A112" s="0" t="s">
        <v>89</v>
      </c>
      <c r="B112" s="0" t="s">
        <v>210</v>
      </c>
      <c r="C112" s="17" t="n">
        <f aca="false">IF(SQRT((Coordenadas!$C$43-Coordenadas!$C$161)^2+(Coordenadas!$D$43-Coordenadas!$D$161)^2)&lt;=LEEME!$B$20,EXP(-LEEME!$B$19*SQRT((Coordenadas!$C$43-Coordenadas!$C$161)^2+(Coordenadas!$D$43-Coordenadas!$D$161)^2)),0)</f>
        <v>0.615506865051831</v>
      </c>
    </row>
    <row r="113" customFormat="false" ht="15" hidden="false" customHeight="false" outlineLevel="0" collapsed="false">
      <c r="A113" s="0" t="s">
        <v>90</v>
      </c>
      <c r="B113" s="0" t="s">
        <v>196</v>
      </c>
      <c r="C113" s="17" t="n">
        <f aca="false">IF(SQRT((Coordenadas!$C$44-Coordenadas!$C$147)^2+(Coordenadas!$D$44-Coordenadas!$D$147)^2)&lt;=LEEME!$B$20,EXP(-LEEME!$B$19*SQRT((Coordenadas!$C$44-Coordenadas!$C$147)^2+(Coordenadas!$D$44-Coordenadas!$D$147)^2)),0)</f>
        <v>0.603147374232497</v>
      </c>
    </row>
    <row r="114" customFormat="false" ht="15" hidden="false" customHeight="false" outlineLevel="0" collapsed="false">
      <c r="A114" s="0" t="s">
        <v>90</v>
      </c>
      <c r="B114" s="0" t="s">
        <v>210</v>
      </c>
      <c r="C114" s="17" t="n">
        <f aca="false">IF(SQRT((Coordenadas!$C$44-Coordenadas!$C$161)^2+(Coordenadas!$D$44-Coordenadas!$D$161)^2)&lt;=LEEME!$B$20,EXP(-LEEME!$B$19*SQRT((Coordenadas!$C$44-Coordenadas!$C$161)^2+(Coordenadas!$D$44-Coordenadas!$D$161)^2)),0)</f>
        <v>0.690524428186433</v>
      </c>
    </row>
    <row r="115" customFormat="false" ht="15" hidden="false" customHeight="false" outlineLevel="0" collapsed="false">
      <c r="A115" s="0" t="s">
        <v>91</v>
      </c>
      <c r="B115" s="0" t="s">
        <v>196</v>
      </c>
      <c r="C115" s="17" t="n">
        <f aca="false">IF(SQRT((Coordenadas!$C$45-Coordenadas!$C$147)^2+(Coordenadas!$D$45-Coordenadas!$D$147)^2)&lt;=LEEME!$B$20,EXP(-LEEME!$B$19*SQRT((Coordenadas!$C$45-Coordenadas!$C$147)^2+(Coordenadas!$D$45-Coordenadas!$D$147)^2)),0)</f>
        <v>0.612360889386249</v>
      </c>
    </row>
    <row r="116" customFormat="false" ht="15" hidden="false" customHeight="false" outlineLevel="0" collapsed="false">
      <c r="A116" s="0" t="s">
        <v>91</v>
      </c>
      <c r="B116" s="0" t="s">
        <v>210</v>
      </c>
      <c r="C116" s="17" t="n">
        <f aca="false">IF(SQRT((Coordenadas!$C$45-Coordenadas!$C$161)^2+(Coordenadas!$D$45-Coordenadas!$D$161)^2)&lt;=LEEME!$B$20,EXP(-LEEME!$B$19*SQRT((Coordenadas!$C$45-Coordenadas!$C$161)^2+(Coordenadas!$D$45-Coordenadas!$D$161)^2)),0)</f>
        <v>0.44957484218973</v>
      </c>
    </row>
    <row r="117" customFormat="false" ht="15" hidden="false" customHeight="false" outlineLevel="0" collapsed="false">
      <c r="A117" s="0" t="s">
        <v>92</v>
      </c>
      <c r="B117" s="0" t="s">
        <v>193</v>
      </c>
      <c r="C117" s="17" t="n">
        <f aca="false">IF(SQRT((Coordenadas!$C$46-Coordenadas!$C$144)^2+(Coordenadas!$D$46-Coordenadas!$D$144)^2)&lt;=LEEME!$B$20,EXP(-LEEME!$B$19*SQRT((Coordenadas!$C$46-Coordenadas!$C$144)^2+(Coordenadas!$D$46-Coordenadas!$D$144)^2)),0)</f>
        <v>0.605728599396183</v>
      </c>
    </row>
    <row r="118" customFormat="false" ht="15" hidden="false" customHeight="false" outlineLevel="0" collapsed="false">
      <c r="A118" s="0" t="s">
        <v>92</v>
      </c>
      <c r="B118" s="0" t="s">
        <v>198</v>
      </c>
      <c r="C118" s="17" t="n">
        <f aca="false">IF(SQRT((Coordenadas!$C$46-Coordenadas!$C$149)^2+(Coordenadas!$D$46-Coordenadas!$D$149)^2)&lt;=LEEME!$B$20,EXP(-LEEME!$B$19*SQRT((Coordenadas!$C$46-Coordenadas!$C$149)^2+(Coordenadas!$D$46-Coordenadas!$D$149)^2)),0)</f>
        <v>0.775678060076146</v>
      </c>
    </row>
    <row r="119" customFormat="false" ht="15" hidden="false" customHeight="false" outlineLevel="0" collapsed="false">
      <c r="A119" s="0" t="s">
        <v>92</v>
      </c>
      <c r="B119" s="0" t="s">
        <v>211</v>
      </c>
      <c r="C119" s="17" t="n">
        <f aca="false">IF(SQRT((Coordenadas!$C$46-Coordenadas!$C$162)^2+(Coordenadas!$D$46-Coordenadas!$D$162)^2)&lt;=LEEME!$B$20,EXP(-LEEME!$B$19*SQRT((Coordenadas!$C$46-Coordenadas!$C$162)^2+(Coordenadas!$D$46-Coordenadas!$D$162)^2)),0)</f>
        <v>0.422051977848795</v>
      </c>
    </row>
    <row r="120" customFormat="false" ht="15" hidden="false" customHeight="false" outlineLevel="0" collapsed="false">
      <c r="A120" s="0" t="s">
        <v>92</v>
      </c>
      <c r="B120" s="0" t="s">
        <v>212</v>
      </c>
      <c r="C120" s="17" t="n">
        <f aca="false">IF(SQRT((Coordenadas!$C$46-Coordenadas!$C$163)^2+(Coordenadas!$D$46-Coordenadas!$D$163)^2)&lt;=LEEME!$B$20,EXP(-LEEME!$B$19*SQRT((Coordenadas!$C$46-Coordenadas!$C$163)^2+(Coordenadas!$D$46-Coordenadas!$D$163)^2)),0)</f>
        <v>0.421471839146838</v>
      </c>
    </row>
    <row r="121" customFormat="false" ht="15" hidden="false" customHeight="false" outlineLevel="0" collapsed="false">
      <c r="A121" s="0" t="s">
        <v>93</v>
      </c>
      <c r="B121" s="0" t="s">
        <v>193</v>
      </c>
      <c r="C121" s="17" t="n">
        <f aca="false">IF(SQRT((Coordenadas!$C$47-Coordenadas!$C$144)^2+(Coordenadas!$D$47-Coordenadas!$D$144)^2)&lt;=LEEME!$B$20,EXP(-LEEME!$B$19*SQRT((Coordenadas!$C$47-Coordenadas!$C$144)^2+(Coordenadas!$D$47-Coordenadas!$D$144)^2)),0)</f>
        <v>0.707401077793577</v>
      </c>
    </row>
    <row r="122" customFormat="false" ht="15" hidden="false" customHeight="false" outlineLevel="0" collapsed="false">
      <c r="A122" s="0" t="s">
        <v>93</v>
      </c>
      <c r="B122" s="0" t="s">
        <v>198</v>
      </c>
      <c r="C122" s="17" t="n">
        <f aca="false">IF(SQRT((Coordenadas!$C$47-Coordenadas!$C$149)^2+(Coordenadas!$D$47-Coordenadas!$D$149)^2)&lt;=LEEME!$B$20,EXP(-LEEME!$B$19*SQRT((Coordenadas!$C$47-Coordenadas!$C$149)^2+(Coordenadas!$D$47-Coordenadas!$D$149)^2)),0)</f>
        <v>0.695341320053691</v>
      </c>
    </row>
    <row r="123" customFormat="false" ht="15" hidden="false" customHeight="false" outlineLevel="0" collapsed="false">
      <c r="A123" s="0" t="s">
        <v>93</v>
      </c>
      <c r="B123" s="0" t="s">
        <v>203</v>
      </c>
      <c r="C123" s="17" t="n">
        <f aca="false">IF(SQRT((Coordenadas!$C$47-Coordenadas!$C$154)^2+(Coordenadas!$D$47-Coordenadas!$D$154)^2)&lt;=LEEME!$B$20,EXP(-LEEME!$B$19*SQRT((Coordenadas!$C$47-Coordenadas!$C$154)^2+(Coordenadas!$D$47-Coordenadas!$D$154)^2)),0)</f>
        <v>0.444830607742212</v>
      </c>
    </row>
    <row r="124" customFormat="false" ht="15" hidden="false" customHeight="false" outlineLevel="0" collapsed="false">
      <c r="A124" s="0" t="s">
        <v>93</v>
      </c>
      <c r="B124" s="0" t="s">
        <v>209</v>
      </c>
      <c r="C124" s="17" t="n">
        <f aca="false">IF(SQRT((Coordenadas!$C$47-Coordenadas!$C$160)^2+(Coordenadas!$D$47-Coordenadas!$D$160)^2)&lt;=LEEME!$B$20,EXP(-LEEME!$B$19*SQRT((Coordenadas!$C$47-Coordenadas!$C$160)^2+(Coordenadas!$D$47-Coordenadas!$D$160)^2)),0)</f>
        <v>0.413561269663357</v>
      </c>
    </row>
    <row r="125" customFormat="false" ht="15" hidden="false" customHeight="false" outlineLevel="0" collapsed="false">
      <c r="A125" s="0" t="s">
        <v>93</v>
      </c>
      <c r="B125" s="0" t="s">
        <v>211</v>
      </c>
      <c r="C125" s="17" t="n">
        <f aca="false">IF(SQRT((Coordenadas!$C$47-Coordenadas!$C$162)^2+(Coordenadas!$D$47-Coordenadas!$D$162)^2)&lt;=LEEME!$B$20,EXP(-LEEME!$B$19*SQRT((Coordenadas!$C$47-Coordenadas!$C$162)^2+(Coordenadas!$D$47-Coordenadas!$D$162)^2)),0)</f>
        <v>0.390622640910713</v>
      </c>
    </row>
    <row r="126" customFormat="false" ht="15" hidden="false" customHeight="false" outlineLevel="0" collapsed="false">
      <c r="A126" s="0" t="s">
        <v>93</v>
      </c>
      <c r="B126" s="0" t="s">
        <v>212</v>
      </c>
      <c r="C126" s="17" t="n">
        <f aca="false">IF(SQRT((Coordenadas!$C$47-Coordenadas!$C$163)^2+(Coordenadas!$D$47-Coordenadas!$D$163)^2)&lt;=LEEME!$B$20,EXP(-LEEME!$B$19*SQRT((Coordenadas!$C$47-Coordenadas!$C$163)^2+(Coordenadas!$D$47-Coordenadas!$D$163)^2)),0)</f>
        <v>0.499263034196593</v>
      </c>
    </row>
    <row r="127" customFormat="false" ht="15" hidden="false" customHeight="false" outlineLevel="0" collapsed="false">
      <c r="A127" s="0" t="s">
        <v>94</v>
      </c>
      <c r="B127" s="0" t="s">
        <v>193</v>
      </c>
      <c r="C127" s="17" t="n">
        <f aca="false">IF(SQRT((Coordenadas!$C$48-Coordenadas!$C$144)^2+(Coordenadas!$D$48-Coordenadas!$D$144)^2)&lt;=LEEME!$B$20,EXP(-LEEME!$B$19*SQRT((Coordenadas!$C$48-Coordenadas!$C$144)^2+(Coordenadas!$D$48-Coordenadas!$D$144)^2)),0)</f>
        <v>0.542639508217093</v>
      </c>
    </row>
    <row r="128" customFormat="false" ht="15" hidden="false" customHeight="false" outlineLevel="0" collapsed="false">
      <c r="A128" s="0" t="s">
        <v>94</v>
      </c>
      <c r="B128" s="0" t="s">
        <v>198</v>
      </c>
      <c r="C128" s="17" t="n">
        <f aca="false">IF(SQRT((Coordenadas!$C$48-Coordenadas!$C$149)^2+(Coordenadas!$D$48-Coordenadas!$D$149)^2)&lt;=LEEME!$B$20,EXP(-LEEME!$B$19*SQRT((Coordenadas!$C$48-Coordenadas!$C$149)^2+(Coordenadas!$D$48-Coordenadas!$D$149)^2)),0)</f>
        <v>0.886184190759102</v>
      </c>
    </row>
    <row r="129" customFormat="false" ht="15" hidden="false" customHeight="false" outlineLevel="0" collapsed="false">
      <c r="A129" s="0" t="s">
        <v>94</v>
      </c>
      <c r="B129" s="0" t="s">
        <v>199</v>
      </c>
      <c r="C129" s="17" t="n">
        <f aca="false">IF(SQRT((Coordenadas!$C$48-Coordenadas!$C$150)^2+(Coordenadas!$D$48-Coordenadas!$D$150)^2)&lt;=LEEME!$B$20,EXP(-LEEME!$B$19*SQRT((Coordenadas!$C$48-Coordenadas!$C$150)^2+(Coordenadas!$D$48-Coordenadas!$D$150)^2)),0)</f>
        <v>0.414535613541245</v>
      </c>
    </row>
    <row r="130" customFormat="false" ht="15" hidden="false" customHeight="false" outlineLevel="0" collapsed="false">
      <c r="A130" s="0" t="s">
        <v>94</v>
      </c>
      <c r="B130" s="0" t="s">
        <v>203</v>
      </c>
      <c r="C130" s="17" t="n">
        <f aca="false">IF(SQRT((Coordenadas!$C$48-Coordenadas!$C$154)^2+(Coordenadas!$D$48-Coordenadas!$D$154)^2)&lt;=LEEME!$B$20,EXP(-LEEME!$B$19*SQRT((Coordenadas!$C$48-Coordenadas!$C$154)^2+(Coordenadas!$D$48-Coordenadas!$D$154)^2)),0)</f>
        <v>0.441718168945499</v>
      </c>
    </row>
    <row r="131" customFormat="false" ht="15" hidden="false" customHeight="false" outlineLevel="0" collapsed="false">
      <c r="A131" s="0" t="s">
        <v>94</v>
      </c>
      <c r="B131" s="0" t="s">
        <v>212</v>
      </c>
      <c r="C131" s="17" t="n">
        <f aca="false">IF(SQRT((Coordenadas!$C$48-Coordenadas!$C$163)^2+(Coordenadas!$D$48-Coordenadas!$D$163)^2)&lt;=LEEME!$B$20,EXP(-LEEME!$B$19*SQRT((Coordenadas!$C$48-Coordenadas!$C$163)^2+(Coordenadas!$D$48-Coordenadas!$D$163)^2)),0)</f>
        <v>0.38215150169711</v>
      </c>
    </row>
    <row r="132" customFormat="false" ht="15" hidden="false" customHeight="false" outlineLevel="0" collapsed="false">
      <c r="A132" s="0" t="s">
        <v>95</v>
      </c>
      <c r="B132" s="0" t="s">
        <v>196</v>
      </c>
      <c r="C132" s="17" t="n">
        <f aca="false">IF(SQRT((Coordenadas!$C$49-Coordenadas!$C$147)^2+(Coordenadas!$D$49-Coordenadas!$D$147)^2)&lt;=LEEME!$B$20,EXP(-LEEME!$B$19*SQRT((Coordenadas!$C$49-Coordenadas!$C$147)^2+(Coordenadas!$D$49-Coordenadas!$D$147)^2)),0)</f>
        <v>0.686671736539277</v>
      </c>
    </row>
    <row r="133" customFormat="false" ht="15" hidden="false" customHeight="false" outlineLevel="0" collapsed="false">
      <c r="A133" s="0" t="s">
        <v>95</v>
      </c>
      <c r="B133" s="0" t="s">
        <v>210</v>
      </c>
      <c r="C133" s="17" t="n">
        <f aca="false">IF(SQRT((Coordenadas!$C$49-Coordenadas!$C$161)^2+(Coordenadas!$D$49-Coordenadas!$D$161)^2)&lt;=LEEME!$B$20,EXP(-LEEME!$B$19*SQRT((Coordenadas!$C$49-Coordenadas!$C$161)^2+(Coordenadas!$D$49-Coordenadas!$D$161)^2)),0)</f>
        <v>0.498850166960865</v>
      </c>
    </row>
    <row r="134" customFormat="false" ht="15" hidden="false" customHeight="false" outlineLevel="0" collapsed="false">
      <c r="A134" s="0" t="s">
        <v>96</v>
      </c>
      <c r="B134" s="0" t="s">
        <v>193</v>
      </c>
      <c r="C134" s="17" t="n">
        <f aca="false">IF(SQRT((Coordenadas!$C$50-Coordenadas!$C$144)^2+(Coordenadas!$D$50-Coordenadas!$D$144)^2)&lt;=LEEME!$B$20,EXP(-LEEME!$B$19*SQRT((Coordenadas!$C$50-Coordenadas!$C$144)^2+(Coordenadas!$D$50-Coordenadas!$D$144)^2)),0)</f>
        <v>0.541687471362115</v>
      </c>
    </row>
    <row r="135" customFormat="false" ht="15" hidden="false" customHeight="false" outlineLevel="0" collapsed="false">
      <c r="A135" s="0" t="s">
        <v>96</v>
      </c>
      <c r="B135" s="0" t="s">
        <v>198</v>
      </c>
      <c r="C135" s="17" t="n">
        <f aca="false">IF(SQRT((Coordenadas!$C$50-Coordenadas!$C$149)^2+(Coordenadas!$D$50-Coordenadas!$D$149)^2)&lt;=LEEME!$B$20,EXP(-LEEME!$B$19*SQRT((Coordenadas!$C$50-Coordenadas!$C$149)^2+(Coordenadas!$D$50-Coordenadas!$D$149)^2)),0)</f>
        <v>0.710882793180616</v>
      </c>
    </row>
    <row r="136" customFormat="false" ht="15" hidden="false" customHeight="false" outlineLevel="0" collapsed="false">
      <c r="A136" s="0" t="s">
        <v>96</v>
      </c>
      <c r="B136" s="0" t="s">
        <v>211</v>
      </c>
      <c r="C136" s="17" t="n">
        <f aca="false">IF(SQRT((Coordenadas!$C$50-Coordenadas!$C$162)^2+(Coordenadas!$D$50-Coordenadas!$D$162)^2)&lt;=LEEME!$B$20,EXP(-LEEME!$B$19*SQRT((Coordenadas!$C$50-Coordenadas!$C$162)^2+(Coordenadas!$D$50-Coordenadas!$D$162)^2)),0)</f>
        <v>0.448292585394221</v>
      </c>
    </row>
    <row r="137" customFormat="false" ht="15" hidden="false" customHeight="false" outlineLevel="0" collapsed="false">
      <c r="A137" s="0" t="s">
        <v>96</v>
      </c>
      <c r="B137" s="0" t="s">
        <v>212</v>
      </c>
      <c r="C137" s="17" t="n">
        <f aca="false">IF(SQRT((Coordenadas!$C$50-Coordenadas!$C$163)^2+(Coordenadas!$D$50-Coordenadas!$D$163)^2)&lt;=LEEME!$B$20,EXP(-LEEME!$B$19*SQRT((Coordenadas!$C$50-Coordenadas!$C$163)^2+(Coordenadas!$D$50-Coordenadas!$D$163)^2)),0)</f>
        <v>0.380884525454168</v>
      </c>
    </row>
    <row r="138" customFormat="false" ht="15" hidden="false" customHeight="false" outlineLevel="0" collapsed="false">
      <c r="A138" s="0" t="s">
        <v>97</v>
      </c>
      <c r="B138" s="0" t="s">
        <v>193</v>
      </c>
      <c r="C138" s="17" t="n">
        <f aca="false">IF(SQRT((Coordenadas!$C$51-Coordenadas!$C$144)^2+(Coordenadas!$D$51-Coordenadas!$D$144)^2)&lt;=LEEME!$B$20,EXP(-LEEME!$B$19*SQRT((Coordenadas!$C$51-Coordenadas!$C$144)^2+(Coordenadas!$D$51-Coordenadas!$D$144)^2)),0)</f>
        <v>0.456636042434358</v>
      </c>
    </row>
    <row r="139" customFormat="false" ht="15" hidden="false" customHeight="false" outlineLevel="0" collapsed="false">
      <c r="A139" s="0" t="s">
        <v>97</v>
      </c>
      <c r="B139" s="0" t="s">
        <v>198</v>
      </c>
      <c r="C139" s="17" t="n">
        <f aca="false">IF(SQRT((Coordenadas!$C$51-Coordenadas!$C$149)^2+(Coordenadas!$D$51-Coordenadas!$D$149)^2)&lt;=LEEME!$B$20,EXP(-LEEME!$B$19*SQRT((Coordenadas!$C$51-Coordenadas!$C$149)^2+(Coordenadas!$D$51-Coordenadas!$D$149)^2)),0)</f>
        <v>0.863173651517865</v>
      </c>
    </row>
    <row r="140" customFormat="false" ht="15" hidden="false" customHeight="false" outlineLevel="0" collapsed="false">
      <c r="A140" s="0" t="s">
        <v>97</v>
      </c>
      <c r="B140" s="0" t="s">
        <v>199</v>
      </c>
      <c r="C140" s="17" t="n">
        <f aca="false">IF(SQRT((Coordenadas!$C$51-Coordenadas!$C$150)^2+(Coordenadas!$D$51-Coordenadas!$D$150)^2)&lt;=LEEME!$B$20,EXP(-LEEME!$B$19*SQRT((Coordenadas!$C$51-Coordenadas!$C$150)^2+(Coordenadas!$D$51-Coordenadas!$D$150)^2)),0)</f>
        <v>0.451531538760144</v>
      </c>
    </row>
    <row r="141" customFormat="false" ht="15" hidden="false" customHeight="false" outlineLevel="0" collapsed="false">
      <c r="A141" s="0" t="s">
        <v>98</v>
      </c>
      <c r="B141" s="0" t="s">
        <v>195</v>
      </c>
      <c r="C141" s="17" t="n">
        <f aca="false">IF(SQRT((Coordenadas!$C$52-Coordenadas!$C$146)^2+(Coordenadas!$D$52-Coordenadas!$D$146)^2)&lt;=LEEME!$B$20,EXP(-LEEME!$B$19*SQRT((Coordenadas!$C$52-Coordenadas!$C$146)^2+(Coordenadas!$D$52-Coordenadas!$D$146)^2)),0)</f>
        <v>0.518246073479164</v>
      </c>
    </row>
    <row r="142" customFormat="false" ht="15" hidden="false" customHeight="false" outlineLevel="0" collapsed="false">
      <c r="A142" s="0" t="s">
        <v>98</v>
      </c>
      <c r="B142" s="0" t="s">
        <v>204</v>
      </c>
      <c r="C142" s="17" t="n">
        <f aca="false">IF(SQRT((Coordenadas!$C$52-Coordenadas!$C$155)^2+(Coordenadas!$D$52-Coordenadas!$D$155)^2)&lt;=LEEME!$B$20,EXP(-LEEME!$B$19*SQRT((Coordenadas!$C$52-Coordenadas!$C$155)^2+(Coordenadas!$D$52-Coordenadas!$D$155)^2)),0)</f>
        <v>0.568725127022542</v>
      </c>
    </row>
    <row r="143" customFormat="false" ht="15" hidden="false" customHeight="false" outlineLevel="0" collapsed="false">
      <c r="A143" s="0" t="s">
        <v>98</v>
      </c>
      <c r="B143" s="0" t="s">
        <v>211</v>
      </c>
      <c r="C143" s="17" t="n">
        <f aca="false">IF(SQRT((Coordenadas!$C$52-Coordenadas!$C$162)^2+(Coordenadas!$D$52-Coordenadas!$D$162)^2)&lt;=LEEME!$B$20,EXP(-LEEME!$B$19*SQRT((Coordenadas!$C$52-Coordenadas!$C$162)^2+(Coordenadas!$D$52-Coordenadas!$D$162)^2)),0)</f>
        <v>0.598912226663912</v>
      </c>
    </row>
    <row r="144" customFormat="false" ht="15" hidden="false" customHeight="false" outlineLevel="0" collapsed="false">
      <c r="A144" s="0" t="s">
        <v>100</v>
      </c>
      <c r="B144" s="0" t="s">
        <v>195</v>
      </c>
      <c r="C144" s="17" t="n">
        <f aca="false">IF(SQRT((Coordenadas!$C$53-Coordenadas!$C$146)^2+(Coordenadas!$D$53-Coordenadas!$D$146)^2)&lt;=LEEME!$B$20,EXP(-LEEME!$B$19*SQRT((Coordenadas!$C$53-Coordenadas!$C$146)^2+(Coordenadas!$D$53-Coordenadas!$D$146)^2)),0)</f>
        <v>0.527436656101452</v>
      </c>
    </row>
    <row r="145" customFormat="false" ht="15" hidden="false" customHeight="false" outlineLevel="0" collapsed="false">
      <c r="A145" s="0" t="s">
        <v>100</v>
      </c>
      <c r="B145" s="0" t="s">
        <v>202</v>
      </c>
      <c r="C145" s="17" t="n">
        <f aca="false">IF(SQRT((Coordenadas!$C$53-Coordenadas!$C$153)^2+(Coordenadas!$D$53-Coordenadas!$D$153)^2)&lt;=LEEME!$B$20,EXP(-LEEME!$B$19*SQRT((Coordenadas!$C$53-Coordenadas!$C$153)^2+(Coordenadas!$D$53-Coordenadas!$D$153)^2)),0)</f>
        <v>0.384369427272042</v>
      </c>
    </row>
    <row r="146" customFormat="false" ht="15" hidden="false" customHeight="false" outlineLevel="0" collapsed="false">
      <c r="A146" s="0" t="s">
        <v>100</v>
      </c>
      <c r="B146" s="0" t="s">
        <v>204</v>
      </c>
      <c r="C146" s="17" t="n">
        <f aca="false">IF(SQRT((Coordenadas!$C$53-Coordenadas!$C$155)^2+(Coordenadas!$D$53-Coordenadas!$D$155)^2)&lt;=LEEME!$B$20,EXP(-LEEME!$B$19*SQRT((Coordenadas!$C$53-Coordenadas!$C$155)^2+(Coordenadas!$D$53-Coordenadas!$D$155)^2)),0)</f>
        <v>0.741065338636757</v>
      </c>
    </row>
    <row r="147" customFormat="false" ht="15" hidden="false" customHeight="false" outlineLevel="0" collapsed="false">
      <c r="A147" s="0" t="s">
        <v>100</v>
      </c>
      <c r="B147" s="0" t="s">
        <v>211</v>
      </c>
      <c r="C147" s="17" t="n">
        <f aca="false">IF(SQRT((Coordenadas!$C$53-Coordenadas!$C$162)^2+(Coordenadas!$D$53-Coordenadas!$D$162)^2)&lt;=LEEME!$B$20,EXP(-LEEME!$B$19*SQRT((Coordenadas!$C$53-Coordenadas!$C$162)^2+(Coordenadas!$D$53-Coordenadas!$D$162)^2)),0)</f>
        <v>0.576321376055751</v>
      </c>
    </row>
    <row r="148" customFormat="false" ht="15" hidden="false" customHeight="false" outlineLevel="0" collapsed="false">
      <c r="A148" s="0" t="s">
        <v>100</v>
      </c>
      <c r="B148" s="0" t="s">
        <v>212</v>
      </c>
      <c r="C148" s="17" t="n">
        <f aca="false">IF(SQRT((Coordenadas!$C$53-Coordenadas!$C$163)^2+(Coordenadas!$D$53-Coordenadas!$D$163)^2)&lt;=LEEME!$B$20,EXP(-LEEME!$B$19*SQRT((Coordenadas!$C$53-Coordenadas!$C$163)^2+(Coordenadas!$D$53-Coordenadas!$D$163)^2)),0)</f>
        <v>0.3778123666893</v>
      </c>
    </row>
    <row r="149" customFormat="false" ht="15" hidden="false" customHeight="false" outlineLevel="0" collapsed="false">
      <c r="A149" s="0" t="s">
        <v>101</v>
      </c>
      <c r="B149" s="0" t="s">
        <v>193</v>
      </c>
      <c r="C149" s="17" t="n">
        <f aca="false">IF(SQRT((Coordenadas!$C$54-Coordenadas!$C$144)^2+(Coordenadas!$D$54-Coordenadas!$D$144)^2)&lt;=LEEME!$B$20,EXP(-LEEME!$B$19*SQRT((Coordenadas!$C$54-Coordenadas!$C$144)^2+(Coordenadas!$D$54-Coordenadas!$D$144)^2)),0)</f>
        <v>0.398118776031209</v>
      </c>
    </row>
    <row r="150" customFormat="false" ht="15" hidden="false" customHeight="false" outlineLevel="0" collapsed="false">
      <c r="A150" s="0" t="s">
        <v>101</v>
      </c>
      <c r="B150" s="0" t="s">
        <v>195</v>
      </c>
      <c r="C150" s="17" t="n">
        <f aca="false">IF(SQRT((Coordenadas!$C$54-Coordenadas!$C$146)^2+(Coordenadas!$D$54-Coordenadas!$D$146)^2)&lt;=LEEME!$B$20,EXP(-LEEME!$B$19*SQRT((Coordenadas!$C$54-Coordenadas!$C$146)^2+(Coordenadas!$D$54-Coordenadas!$D$146)^2)),0)</f>
        <v>0.446194367833772</v>
      </c>
    </row>
    <row r="151" customFormat="false" ht="15" hidden="false" customHeight="false" outlineLevel="0" collapsed="false">
      <c r="A151" s="0" t="s">
        <v>101</v>
      </c>
      <c r="B151" s="0" t="s">
        <v>204</v>
      </c>
      <c r="C151" s="17" t="n">
        <f aca="false">IF(SQRT((Coordenadas!$C$54-Coordenadas!$C$155)^2+(Coordenadas!$D$54-Coordenadas!$D$155)^2)&lt;=LEEME!$B$20,EXP(-LEEME!$B$19*SQRT((Coordenadas!$C$54-Coordenadas!$C$155)^2+(Coordenadas!$D$54-Coordenadas!$D$155)^2)),0)</f>
        <v>0.80088650538178</v>
      </c>
    </row>
    <row r="152" customFormat="false" ht="15" hidden="false" customHeight="false" outlineLevel="0" collapsed="false">
      <c r="A152" s="0" t="s">
        <v>101</v>
      </c>
      <c r="B152" s="0" t="s">
        <v>211</v>
      </c>
      <c r="C152" s="17" t="n">
        <f aca="false">IF(SQRT((Coordenadas!$C$54-Coordenadas!$C$162)^2+(Coordenadas!$D$54-Coordenadas!$D$162)^2)&lt;=LEEME!$B$20,EXP(-LEEME!$B$19*SQRT((Coordenadas!$C$54-Coordenadas!$C$162)^2+(Coordenadas!$D$54-Coordenadas!$D$162)^2)),0)</f>
        <v>0.662118614865217</v>
      </c>
    </row>
    <row r="153" customFormat="false" ht="15" hidden="false" customHeight="false" outlineLevel="0" collapsed="false">
      <c r="A153" s="0" t="s">
        <v>101</v>
      </c>
      <c r="B153" s="0" t="s">
        <v>212</v>
      </c>
      <c r="C153" s="17" t="n">
        <f aca="false">IF(SQRT((Coordenadas!$C$54-Coordenadas!$C$163)^2+(Coordenadas!$D$54-Coordenadas!$D$163)^2)&lt;=LEEME!$B$20,EXP(-LEEME!$B$19*SQRT((Coordenadas!$C$54-Coordenadas!$C$163)^2+(Coordenadas!$D$54-Coordenadas!$D$163)^2)),0)</f>
        <v>0.43473370473833</v>
      </c>
    </row>
    <row r="154" customFormat="false" ht="15" hidden="false" customHeight="false" outlineLevel="0" collapsed="false">
      <c r="A154" s="0" t="s">
        <v>102</v>
      </c>
      <c r="B154" s="0" t="s">
        <v>195</v>
      </c>
      <c r="C154" s="17" t="n">
        <f aca="false">IF(SQRT((Coordenadas!$C$55-Coordenadas!$C$146)^2+(Coordenadas!$D$55-Coordenadas!$D$146)^2)&lt;=LEEME!$B$20,EXP(-LEEME!$B$19*SQRT((Coordenadas!$C$55-Coordenadas!$C$146)^2+(Coordenadas!$D$55-Coordenadas!$D$146)^2)),0)</f>
        <v>0.442306947062178</v>
      </c>
    </row>
    <row r="155" customFormat="false" ht="15" hidden="false" customHeight="false" outlineLevel="0" collapsed="false">
      <c r="A155" s="0" t="s">
        <v>102</v>
      </c>
      <c r="B155" s="0" t="s">
        <v>204</v>
      </c>
      <c r="C155" s="17" t="n">
        <f aca="false">IF(SQRT((Coordenadas!$C$55-Coordenadas!$C$155)^2+(Coordenadas!$D$55-Coordenadas!$D$155)^2)&lt;=LEEME!$B$20,EXP(-LEEME!$B$19*SQRT((Coordenadas!$C$55-Coordenadas!$C$155)^2+(Coordenadas!$D$55-Coordenadas!$D$155)^2)),0)</f>
        <v>0.578423703555261</v>
      </c>
    </row>
    <row r="156" customFormat="false" ht="15" hidden="false" customHeight="false" outlineLevel="0" collapsed="false">
      <c r="A156" s="0" t="s">
        <v>102</v>
      </c>
      <c r="B156" s="0" t="s">
        <v>211</v>
      </c>
      <c r="C156" s="17" t="n">
        <f aca="false">IF(SQRT((Coordenadas!$C$55-Coordenadas!$C$162)^2+(Coordenadas!$D$55-Coordenadas!$D$162)^2)&lt;=LEEME!$B$20,EXP(-LEEME!$B$19*SQRT((Coordenadas!$C$55-Coordenadas!$C$162)^2+(Coordenadas!$D$55-Coordenadas!$D$162)^2)),0)</f>
        <v>0.699233267497397</v>
      </c>
    </row>
    <row r="157" customFormat="false" ht="15" hidden="false" customHeight="false" outlineLevel="0" collapsed="false">
      <c r="A157" s="0" t="s">
        <v>103</v>
      </c>
      <c r="B157" s="0" t="s">
        <v>193</v>
      </c>
      <c r="C157" s="17" t="n">
        <f aca="false">IF(SQRT((Coordenadas!$C$56-Coordenadas!$C$144)^2+(Coordenadas!$D$56-Coordenadas!$D$144)^2)&lt;=LEEME!$B$20,EXP(-LEEME!$B$19*SQRT((Coordenadas!$C$56-Coordenadas!$C$144)^2+(Coordenadas!$D$56-Coordenadas!$D$144)^2)),0)</f>
        <v>0.464431138880865</v>
      </c>
    </row>
    <row r="158" customFormat="false" ht="15" hidden="false" customHeight="false" outlineLevel="0" collapsed="false">
      <c r="A158" s="0" t="s">
        <v>103</v>
      </c>
      <c r="B158" s="0" t="s">
        <v>204</v>
      </c>
      <c r="C158" s="17" t="n">
        <f aca="false">IF(SQRT((Coordenadas!$C$56-Coordenadas!$C$155)^2+(Coordenadas!$D$56-Coordenadas!$D$155)^2)&lt;=LEEME!$B$20,EXP(-LEEME!$B$19*SQRT((Coordenadas!$C$56-Coordenadas!$C$155)^2+(Coordenadas!$D$56-Coordenadas!$D$155)^2)),0)</f>
        <v>0.492216274982864</v>
      </c>
    </row>
    <row r="159" customFormat="false" ht="15" hidden="false" customHeight="false" outlineLevel="0" collapsed="false">
      <c r="A159" s="0" t="s">
        <v>103</v>
      </c>
      <c r="B159" s="0" t="s">
        <v>211</v>
      </c>
      <c r="C159" s="17" t="n">
        <f aca="false">IF(SQRT((Coordenadas!$C$56-Coordenadas!$C$162)^2+(Coordenadas!$D$56-Coordenadas!$D$162)^2)&lt;=LEEME!$B$20,EXP(-LEEME!$B$19*SQRT((Coordenadas!$C$56-Coordenadas!$C$162)^2+(Coordenadas!$D$56-Coordenadas!$D$162)^2)),0)</f>
        <v>0.859708273124989</v>
      </c>
    </row>
    <row r="160" customFormat="false" ht="15" hidden="false" customHeight="false" outlineLevel="0" collapsed="false">
      <c r="A160" s="0" t="s">
        <v>103</v>
      </c>
      <c r="B160" s="0" t="s">
        <v>212</v>
      </c>
      <c r="C160" s="17" t="n">
        <f aca="false">IF(SQRT((Coordenadas!$C$56-Coordenadas!$C$163)^2+(Coordenadas!$D$56-Coordenadas!$D$163)^2)&lt;=LEEME!$B$20,EXP(-LEEME!$B$19*SQRT((Coordenadas!$C$56-Coordenadas!$C$163)^2+(Coordenadas!$D$56-Coordenadas!$D$163)^2)),0)</f>
        <v>0.400494741187817</v>
      </c>
    </row>
    <row r="161" customFormat="false" ht="15" hidden="false" customHeight="false" outlineLevel="0" collapsed="false">
      <c r="A161" s="0" t="s">
        <v>104</v>
      </c>
      <c r="B161" s="0" t="s">
        <v>193</v>
      </c>
      <c r="C161" s="17" t="n">
        <f aca="false">IF(SQRT((Coordenadas!$C$57-Coordenadas!$C$144)^2+(Coordenadas!$D$57-Coordenadas!$D$144)^2)&lt;=LEEME!$B$20,EXP(-LEEME!$B$19*SQRT((Coordenadas!$C$57-Coordenadas!$C$144)^2+(Coordenadas!$D$57-Coordenadas!$D$144)^2)),0)</f>
        <v>0.379039077464387</v>
      </c>
    </row>
    <row r="162" customFormat="false" ht="15" hidden="false" customHeight="false" outlineLevel="0" collapsed="false">
      <c r="A162" s="0" t="s">
        <v>104</v>
      </c>
      <c r="B162" s="0" t="s">
        <v>195</v>
      </c>
      <c r="C162" s="17" t="n">
        <f aca="false">IF(SQRT((Coordenadas!$C$57-Coordenadas!$C$146)^2+(Coordenadas!$D$57-Coordenadas!$D$146)^2)&lt;=LEEME!$B$20,EXP(-LEEME!$B$19*SQRT((Coordenadas!$C$57-Coordenadas!$C$146)^2+(Coordenadas!$D$57-Coordenadas!$D$146)^2)),0)</f>
        <v>0.375076677406862</v>
      </c>
    </row>
    <row r="163" customFormat="false" ht="15" hidden="false" customHeight="false" outlineLevel="0" collapsed="false">
      <c r="A163" s="0" t="s">
        <v>104</v>
      </c>
      <c r="B163" s="0" t="s">
        <v>204</v>
      </c>
      <c r="C163" s="17" t="n">
        <f aca="false">IF(SQRT((Coordenadas!$C$57-Coordenadas!$C$155)^2+(Coordenadas!$D$57-Coordenadas!$D$155)^2)&lt;=LEEME!$B$20,EXP(-LEEME!$B$19*SQRT((Coordenadas!$C$57-Coordenadas!$C$155)^2+(Coordenadas!$D$57-Coordenadas!$D$155)^2)),0)</f>
        <v>0.550360986411492</v>
      </c>
    </row>
    <row r="164" customFormat="false" ht="15" hidden="false" customHeight="false" outlineLevel="0" collapsed="false">
      <c r="A164" s="0" t="s">
        <v>104</v>
      </c>
      <c r="B164" s="0" t="s">
        <v>211</v>
      </c>
      <c r="C164" s="17" t="n">
        <f aca="false">IF(SQRT((Coordenadas!$C$57-Coordenadas!$C$162)^2+(Coordenadas!$D$57-Coordenadas!$D$162)^2)&lt;=LEEME!$B$20,EXP(-LEEME!$B$19*SQRT((Coordenadas!$C$57-Coordenadas!$C$162)^2+(Coordenadas!$D$57-Coordenadas!$D$162)^2)),0)</f>
        <v>0.800301542587485</v>
      </c>
    </row>
    <row r="165" customFormat="false" ht="15" hidden="false" customHeight="false" outlineLevel="0" collapsed="false">
      <c r="A165" s="0" t="s">
        <v>105</v>
      </c>
      <c r="B165" s="0" t="s">
        <v>193</v>
      </c>
      <c r="C165" s="17" t="n">
        <f aca="false">IF(SQRT((Coordenadas!$C$58-Coordenadas!$C$144)^2+(Coordenadas!$D$58-Coordenadas!$D$144)^2)&lt;=LEEME!$B$20,EXP(-LEEME!$B$19*SQRT((Coordenadas!$C$58-Coordenadas!$C$144)^2+(Coordenadas!$D$58-Coordenadas!$D$144)^2)),0)</f>
        <v>0.507213880184563</v>
      </c>
    </row>
    <row r="166" customFormat="false" ht="15" hidden="false" customHeight="false" outlineLevel="0" collapsed="false">
      <c r="A166" s="0" t="s">
        <v>105</v>
      </c>
      <c r="B166" s="0" t="s">
        <v>204</v>
      </c>
      <c r="C166" s="17" t="n">
        <f aca="false">IF(SQRT((Coordenadas!$C$58-Coordenadas!$C$155)^2+(Coordenadas!$D$58-Coordenadas!$D$155)^2)&lt;=LEEME!$B$20,EXP(-LEEME!$B$19*SQRT((Coordenadas!$C$58-Coordenadas!$C$155)^2+(Coordenadas!$D$58-Coordenadas!$D$155)^2)),0)</f>
        <v>0.658735869853199</v>
      </c>
    </row>
    <row r="167" customFormat="false" ht="15" hidden="false" customHeight="false" outlineLevel="0" collapsed="false">
      <c r="A167" s="0" t="s">
        <v>105</v>
      </c>
      <c r="B167" s="0" t="s">
        <v>211</v>
      </c>
      <c r="C167" s="17" t="n">
        <f aca="false">IF(SQRT((Coordenadas!$C$58-Coordenadas!$C$162)^2+(Coordenadas!$D$58-Coordenadas!$D$162)^2)&lt;=LEEME!$B$20,EXP(-LEEME!$B$19*SQRT((Coordenadas!$C$58-Coordenadas!$C$162)^2+(Coordenadas!$D$58-Coordenadas!$D$162)^2)),0)</f>
        <v>0.853079542264726</v>
      </c>
    </row>
    <row r="168" customFormat="false" ht="15" hidden="false" customHeight="false" outlineLevel="0" collapsed="false">
      <c r="A168" s="0" t="s">
        <v>105</v>
      </c>
      <c r="B168" s="0" t="s">
        <v>212</v>
      </c>
      <c r="C168" s="17" t="n">
        <f aca="false">IF(SQRT((Coordenadas!$C$58-Coordenadas!$C$163)^2+(Coordenadas!$D$58-Coordenadas!$D$163)^2)&lt;=LEEME!$B$20,EXP(-LEEME!$B$19*SQRT((Coordenadas!$C$58-Coordenadas!$C$163)^2+(Coordenadas!$D$58-Coordenadas!$D$163)^2)),0)</f>
        <v>0.492502915978949</v>
      </c>
    </row>
    <row r="169" customFormat="false" ht="15" hidden="false" customHeight="false" outlineLevel="0" collapsed="false">
      <c r="A169" s="0" t="s">
        <v>106</v>
      </c>
      <c r="B169" s="0" t="s">
        <v>193</v>
      </c>
      <c r="C169" s="17" t="n">
        <f aca="false">IF(SQRT((Coordenadas!$C$59-Coordenadas!$C$144)^2+(Coordenadas!$D$59-Coordenadas!$D$144)^2)&lt;=LEEME!$B$20,EXP(-LEEME!$B$19*SQRT((Coordenadas!$C$59-Coordenadas!$C$144)^2+(Coordenadas!$D$59-Coordenadas!$D$144)^2)),0)</f>
        <v>0.422768838667969</v>
      </c>
    </row>
    <row r="170" customFormat="false" ht="15" hidden="false" customHeight="false" outlineLevel="0" collapsed="false">
      <c r="A170" s="0" t="s">
        <v>106</v>
      </c>
      <c r="B170" s="0" t="s">
        <v>204</v>
      </c>
      <c r="C170" s="17" t="n">
        <f aca="false">IF(SQRT((Coordenadas!$C$59-Coordenadas!$C$155)^2+(Coordenadas!$D$59-Coordenadas!$D$155)^2)&lt;=LEEME!$B$20,EXP(-LEEME!$B$19*SQRT((Coordenadas!$C$59-Coordenadas!$C$155)^2+(Coordenadas!$D$59-Coordenadas!$D$155)^2)),0)</f>
        <v>0.534140437083693</v>
      </c>
    </row>
    <row r="171" customFormat="false" ht="15" hidden="false" customHeight="false" outlineLevel="0" collapsed="false">
      <c r="A171" s="0" t="s">
        <v>106</v>
      </c>
      <c r="B171" s="0" t="s">
        <v>211</v>
      </c>
      <c r="C171" s="17" t="n">
        <f aca="false">IF(SQRT((Coordenadas!$C$59-Coordenadas!$C$162)^2+(Coordenadas!$D$59-Coordenadas!$D$162)^2)&lt;=LEEME!$B$20,EXP(-LEEME!$B$19*SQRT((Coordenadas!$C$59-Coordenadas!$C$162)^2+(Coordenadas!$D$59-Coordenadas!$D$162)^2)),0)</f>
        <v>0.888975126580328</v>
      </c>
    </row>
    <row r="172" customFormat="false" ht="15" hidden="false" customHeight="false" outlineLevel="0" collapsed="false">
      <c r="A172" s="0" t="s">
        <v>106</v>
      </c>
      <c r="B172" s="0" t="s">
        <v>212</v>
      </c>
      <c r="C172" s="17" t="n">
        <f aca="false">IF(SQRT((Coordenadas!$C$59-Coordenadas!$C$163)^2+(Coordenadas!$D$59-Coordenadas!$D$163)^2)&lt;=LEEME!$B$20,EXP(-LEEME!$B$19*SQRT((Coordenadas!$C$59-Coordenadas!$C$163)^2+(Coordenadas!$D$59-Coordenadas!$D$163)^2)),0)</f>
        <v>0.38469130001053</v>
      </c>
    </row>
    <row r="173" customFormat="false" ht="15" hidden="false" customHeight="false" outlineLevel="0" collapsed="false">
      <c r="A173" s="0" t="s">
        <v>107</v>
      </c>
      <c r="B173" s="0" t="s">
        <v>197</v>
      </c>
      <c r="C173" s="17" t="n">
        <f aca="false">IF(SQRT((Coordenadas!$C$60-Coordenadas!$C$148)^2+(Coordenadas!$D$60-Coordenadas!$D$148)^2)&lt;=LEEME!$B$20,EXP(-LEEME!$B$19*SQRT((Coordenadas!$C$60-Coordenadas!$C$148)^2+(Coordenadas!$D$60-Coordenadas!$D$148)^2)),0)</f>
        <v>0.371009874527209</v>
      </c>
    </row>
    <row r="174" customFormat="false" ht="15" hidden="false" customHeight="false" outlineLevel="0" collapsed="false">
      <c r="A174" s="0" t="s">
        <v>107</v>
      </c>
      <c r="B174" s="0" t="s">
        <v>202</v>
      </c>
      <c r="C174" s="17" t="n">
        <f aca="false">IF(SQRT((Coordenadas!$C$60-Coordenadas!$C$153)^2+(Coordenadas!$D$60-Coordenadas!$D$153)^2)&lt;=LEEME!$B$20,EXP(-LEEME!$B$19*SQRT((Coordenadas!$C$60-Coordenadas!$C$153)^2+(Coordenadas!$D$60-Coordenadas!$D$153)^2)),0)</f>
        <v>0.38133391429539</v>
      </c>
    </row>
    <row r="175" customFormat="false" ht="15" hidden="false" customHeight="false" outlineLevel="0" collapsed="false">
      <c r="A175" s="0" t="s">
        <v>107</v>
      </c>
      <c r="B175" s="0" t="s">
        <v>204</v>
      </c>
      <c r="C175" s="17" t="n">
        <f aca="false">IF(SQRT((Coordenadas!$C$60-Coordenadas!$C$155)^2+(Coordenadas!$D$60-Coordenadas!$D$155)^2)&lt;=LEEME!$B$20,EXP(-LEEME!$B$19*SQRT((Coordenadas!$C$60-Coordenadas!$C$155)^2+(Coordenadas!$D$60-Coordenadas!$D$155)^2)),0)</f>
        <v>0.444851201247692</v>
      </c>
    </row>
    <row r="176" customFormat="false" ht="15" hidden="false" customHeight="false" outlineLevel="0" collapsed="false">
      <c r="A176" s="0" t="s">
        <v>107</v>
      </c>
      <c r="B176" s="0" t="s">
        <v>206</v>
      </c>
      <c r="C176" s="17" t="n">
        <f aca="false">IF(SQRT((Coordenadas!$C$60-Coordenadas!$C$157)^2+(Coordenadas!$D$60-Coordenadas!$D$157)^2)&lt;=LEEME!$B$20,EXP(-LEEME!$B$19*SQRT((Coordenadas!$C$60-Coordenadas!$C$157)^2+(Coordenadas!$D$60-Coordenadas!$D$157)^2)),0)</f>
        <v>0.965262359891545</v>
      </c>
    </row>
    <row r="177" customFormat="false" ht="15" hidden="false" customHeight="false" outlineLevel="0" collapsed="false">
      <c r="A177" s="0" t="s">
        <v>107</v>
      </c>
      <c r="B177" s="0" t="s">
        <v>212</v>
      </c>
      <c r="C177" s="17" t="n">
        <f aca="false">IF(SQRT((Coordenadas!$C$60-Coordenadas!$C$163)^2+(Coordenadas!$D$60-Coordenadas!$D$163)^2)&lt;=LEEME!$B$20,EXP(-LEEME!$B$19*SQRT((Coordenadas!$C$60-Coordenadas!$C$163)^2+(Coordenadas!$D$60-Coordenadas!$D$163)^2)),0)</f>
        <v>0.49159226982007</v>
      </c>
    </row>
    <row r="178" customFormat="false" ht="15" hidden="false" customHeight="false" outlineLevel="0" collapsed="false">
      <c r="A178" s="0" t="s">
        <v>108</v>
      </c>
      <c r="B178" s="0" t="s">
        <v>197</v>
      </c>
      <c r="C178" s="17" t="n">
        <f aca="false">IF(SQRT((Coordenadas!$C$61-Coordenadas!$C$148)^2+(Coordenadas!$D$61-Coordenadas!$D$148)^2)&lt;=LEEME!$B$20,EXP(-LEEME!$B$19*SQRT((Coordenadas!$C$61-Coordenadas!$C$148)^2+(Coordenadas!$D$61-Coordenadas!$D$148)^2)),0)</f>
        <v>0.516763253712108</v>
      </c>
    </row>
    <row r="179" customFormat="false" ht="15" hidden="false" customHeight="false" outlineLevel="0" collapsed="false">
      <c r="A179" s="0" t="s">
        <v>108</v>
      </c>
      <c r="B179" s="0" t="s">
        <v>206</v>
      </c>
      <c r="C179" s="17" t="n">
        <f aca="false">IF(SQRT((Coordenadas!$C$61-Coordenadas!$C$157)^2+(Coordenadas!$D$61-Coordenadas!$D$157)^2)&lt;=LEEME!$B$20,EXP(-LEEME!$B$19*SQRT((Coordenadas!$C$61-Coordenadas!$C$157)^2+(Coordenadas!$D$61-Coordenadas!$D$157)^2)),0)</f>
        <v>0.716382095376395</v>
      </c>
    </row>
    <row r="180" customFormat="false" ht="15" hidden="false" customHeight="false" outlineLevel="0" collapsed="false">
      <c r="A180" s="0" t="s">
        <v>108</v>
      </c>
      <c r="B180" s="0" t="s">
        <v>207</v>
      </c>
      <c r="C180" s="17" t="n">
        <f aca="false">IF(SQRT((Coordenadas!$C$61-Coordenadas!$C$158)^2+(Coordenadas!$D$61-Coordenadas!$D$158)^2)&lt;=LEEME!$B$20,EXP(-LEEME!$B$19*SQRT((Coordenadas!$C$61-Coordenadas!$C$158)^2+(Coordenadas!$D$61-Coordenadas!$D$158)^2)),0)</f>
        <v>0.386873376067171</v>
      </c>
    </row>
    <row r="181" customFormat="false" ht="15" hidden="false" customHeight="false" outlineLevel="0" collapsed="false">
      <c r="A181" s="0" t="s">
        <v>108</v>
      </c>
      <c r="B181" s="0" t="s">
        <v>212</v>
      </c>
      <c r="C181" s="17" t="n">
        <f aca="false">IF(SQRT((Coordenadas!$C$61-Coordenadas!$C$163)^2+(Coordenadas!$D$61-Coordenadas!$D$163)^2)&lt;=LEEME!$B$20,EXP(-LEEME!$B$19*SQRT((Coordenadas!$C$61-Coordenadas!$C$163)^2+(Coordenadas!$D$61-Coordenadas!$D$163)^2)),0)</f>
        <v>0.387608093440329</v>
      </c>
    </row>
    <row r="182" customFormat="false" ht="15" hidden="false" customHeight="false" outlineLevel="0" collapsed="false">
      <c r="A182" s="0" t="s">
        <v>109</v>
      </c>
      <c r="B182" s="0" t="s">
        <v>194</v>
      </c>
      <c r="C182" s="17" t="n">
        <f aca="false">IF(SQRT((Coordenadas!$C$62-Coordenadas!$C$145)^2+(Coordenadas!$D$62-Coordenadas!$D$145)^2)&lt;=LEEME!$B$20,EXP(-LEEME!$B$19*SQRT((Coordenadas!$C$62-Coordenadas!$C$145)^2+(Coordenadas!$D$62-Coordenadas!$D$145)^2)),0)</f>
        <v>0.396509986149723</v>
      </c>
    </row>
    <row r="183" customFormat="false" ht="15" hidden="false" customHeight="false" outlineLevel="0" collapsed="false">
      <c r="A183" s="0" t="s">
        <v>109</v>
      </c>
      <c r="B183" s="0" t="s">
        <v>197</v>
      </c>
      <c r="C183" s="17" t="n">
        <f aca="false">IF(SQRT((Coordenadas!$C$62-Coordenadas!$C$148)^2+(Coordenadas!$D$62-Coordenadas!$D$148)^2)&lt;=LEEME!$B$20,EXP(-LEEME!$B$19*SQRT((Coordenadas!$C$62-Coordenadas!$C$148)^2+(Coordenadas!$D$62-Coordenadas!$D$148)^2)),0)</f>
        <v>0.664359716411013</v>
      </c>
    </row>
    <row r="184" customFormat="false" ht="15" hidden="false" customHeight="false" outlineLevel="0" collapsed="false">
      <c r="A184" s="0" t="s">
        <v>109</v>
      </c>
      <c r="B184" s="0" t="s">
        <v>206</v>
      </c>
      <c r="C184" s="17" t="n">
        <f aca="false">IF(SQRT((Coordenadas!$C$62-Coordenadas!$C$157)^2+(Coordenadas!$D$62-Coordenadas!$D$157)^2)&lt;=LEEME!$B$20,EXP(-LEEME!$B$19*SQRT((Coordenadas!$C$62-Coordenadas!$C$157)^2+(Coordenadas!$D$62-Coordenadas!$D$157)^2)),0)</f>
        <v>0.54301711259464</v>
      </c>
    </row>
    <row r="185" customFormat="false" ht="15" hidden="false" customHeight="false" outlineLevel="0" collapsed="false">
      <c r="A185" s="0" t="s">
        <v>109</v>
      </c>
      <c r="B185" s="0" t="s">
        <v>207</v>
      </c>
      <c r="C185" s="17" t="n">
        <f aca="false">IF(SQRT((Coordenadas!$C$62-Coordenadas!$C$158)^2+(Coordenadas!$D$62-Coordenadas!$D$158)^2)&lt;=LEEME!$B$20,EXP(-LEEME!$B$19*SQRT((Coordenadas!$C$62-Coordenadas!$C$158)^2+(Coordenadas!$D$62-Coordenadas!$D$158)^2)),0)</f>
        <v>0.409425402356871</v>
      </c>
    </row>
    <row r="186" customFormat="false" ht="15" hidden="false" customHeight="false" outlineLevel="0" collapsed="false">
      <c r="A186" s="0" t="s">
        <v>110</v>
      </c>
      <c r="B186" s="0" t="s">
        <v>197</v>
      </c>
      <c r="C186" s="17" t="n">
        <f aca="false">IF(SQRT((Coordenadas!$C$63-Coordenadas!$C$148)^2+(Coordenadas!$D$63-Coordenadas!$D$148)^2)&lt;=LEEME!$B$20,EXP(-LEEME!$B$19*SQRT((Coordenadas!$C$63-Coordenadas!$C$148)^2+(Coordenadas!$D$63-Coordenadas!$D$148)^2)),0)</f>
        <v>0.769538928261809</v>
      </c>
    </row>
    <row r="187" customFormat="false" ht="15" hidden="false" customHeight="false" outlineLevel="0" collapsed="false">
      <c r="A187" s="0" t="s">
        <v>110</v>
      </c>
      <c r="B187" s="0" t="s">
        <v>206</v>
      </c>
      <c r="C187" s="17" t="n">
        <f aca="false">IF(SQRT((Coordenadas!$C$63-Coordenadas!$C$157)^2+(Coordenadas!$D$63-Coordenadas!$D$157)^2)&lt;=LEEME!$B$20,EXP(-LEEME!$B$19*SQRT((Coordenadas!$C$63-Coordenadas!$C$157)^2+(Coordenadas!$D$63-Coordenadas!$D$157)^2)),0)</f>
        <v>0.474662624549688</v>
      </c>
    </row>
    <row r="188" customFormat="false" ht="15" hidden="false" customHeight="false" outlineLevel="0" collapsed="false">
      <c r="A188" s="0" t="s">
        <v>110</v>
      </c>
      <c r="B188" s="0" t="s">
        <v>207</v>
      </c>
      <c r="C188" s="17" t="n">
        <f aca="false">IF(SQRT((Coordenadas!$C$63-Coordenadas!$C$158)^2+(Coordenadas!$D$63-Coordenadas!$D$158)^2)&lt;=LEEME!$B$20,EXP(-LEEME!$B$19*SQRT((Coordenadas!$C$63-Coordenadas!$C$158)^2+(Coordenadas!$D$63-Coordenadas!$D$158)^2)),0)</f>
        <v>0.518009677274483</v>
      </c>
    </row>
    <row r="189" customFormat="false" ht="15" hidden="false" customHeight="false" outlineLevel="0" collapsed="false">
      <c r="A189" s="0" t="s">
        <v>111</v>
      </c>
      <c r="B189" s="0" t="s">
        <v>194</v>
      </c>
      <c r="C189" s="17" t="n">
        <f aca="false">IF(SQRT((Coordenadas!$C$64-Coordenadas!$C$145)^2+(Coordenadas!$D$64-Coordenadas!$D$145)^2)&lt;=LEEME!$B$20,EXP(-LEEME!$B$19*SQRT((Coordenadas!$C$64-Coordenadas!$C$145)^2+(Coordenadas!$D$64-Coordenadas!$D$145)^2)),0)</f>
        <v>0.427276699311826</v>
      </c>
    </row>
    <row r="190" customFormat="false" ht="15" hidden="false" customHeight="false" outlineLevel="0" collapsed="false">
      <c r="A190" s="0" t="s">
        <v>111</v>
      </c>
      <c r="B190" s="0" t="s">
        <v>197</v>
      </c>
      <c r="C190" s="17" t="n">
        <f aca="false">IF(SQRT((Coordenadas!$C$64-Coordenadas!$C$148)^2+(Coordenadas!$D$64-Coordenadas!$D$148)^2)&lt;=LEEME!$B$20,EXP(-LEEME!$B$19*SQRT((Coordenadas!$C$64-Coordenadas!$C$148)^2+(Coordenadas!$D$64-Coordenadas!$D$148)^2)),0)</f>
        <v>0.897478119536036</v>
      </c>
    </row>
    <row r="191" customFormat="false" ht="15" hidden="false" customHeight="false" outlineLevel="0" collapsed="false">
      <c r="A191" s="0" t="s">
        <v>111</v>
      </c>
      <c r="B191" s="0" t="s">
        <v>207</v>
      </c>
      <c r="C191" s="17" t="n">
        <f aca="false">IF(SQRT((Coordenadas!$C$64-Coordenadas!$C$158)^2+(Coordenadas!$D$64-Coordenadas!$D$158)^2)&lt;=LEEME!$B$20,EXP(-LEEME!$B$19*SQRT((Coordenadas!$C$64-Coordenadas!$C$158)^2+(Coordenadas!$D$64-Coordenadas!$D$158)^2)),0)</f>
        <v>0.438022628763344</v>
      </c>
    </row>
    <row r="192" customFormat="false" ht="15" hidden="false" customHeight="false" outlineLevel="0" collapsed="false">
      <c r="A192" s="0" t="s">
        <v>112</v>
      </c>
      <c r="B192" s="0" t="s">
        <v>197</v>
      </c>
      <c r="C192" s="17" t="n">
        <f aca="false">IF(SQRT((Coordenadas!$C$65-Coordenadas!$C$148)^2+(Coordenadas!$D$65-Coordenadas!$D$148)^2)&lt;=LEEME!$B$20,EXP(-LEEME!$B$19*SQRT((Coordenadas!$C$65-Coordenadas!$C$148)^2+(Coordenadas!$D$65-Coordenadas!$D$148)^2)),0)</f>
        <v>0.861861505695485</v>
      </c>
    </row>
    <row r="193" customFormat="false" ht="15" hidden="false" customHeight="false" outlineLevel="0" collapsed="false">
      <c r="A193" s="0" t="s">
        <v>112</v>
      </c>
      <c r="B193" s="0" t="s">
        <v>207</v>
      </c>
      <c r="C193" s="17" t="n">
        <f aca="false">IF(SQRT((Coordenadas!$C$65-Coordenadas!$C$158)^2+(Coordenadas!$D$65-Coordenadas!$D$158)^2)&lt;=LEEME!$B$20,EXP(-LEEME!$B$19*SQRT((Coordenadas!$C$65-Coordenadas!$C$158)^2+(Coordenadas!$D$65-Coordenadas!$D$158)^2)),0)</f>
        <v>0.523891231130149</v>
      </c>
    </row>
    <row r="194" customFormat="false" ht="15" hidden="false" customHeight="false" outlineLevel="0" collapsed="false">
      <c r="A194" s="0" t="s">
        <v>113</v>
      </c>
      <c r="B194" s="0" t="s">
        <v>197</v>
      </c>
      <c r="C194" s="17" t="n">
        <f aca="false">IF(SQRT((Coordenadas!$C$66-Coordenadas!$C$148)^2+(Coordenadas!$D$66-Coordenadas!$D$148)^2)&lt;=LEEME!$B$20,EXP(-LEEME!$B$19*SQRT((Coordenadas!$C$66-Coordenadas!$C$148)^2+(Coordenadas!$D$66-Coordenadas!$D$148)^2)),0)</f>
        <v>0.556013602502549</v>
      </c>
    </row>
    <row r="195" customFormat="false" ht="15" hidden="false" customHeight="false" outlineLevel="0" collapsed="false">
      <c r="A195" s="0" t="s">
        <v>113</v>
      </c>
      <c r="B195" s="0" t="s">
        <v>206</v>
      </c>
      <c r="C195" s="17" t="n">
        <f aca="false">IF(SQRT((Coordenadas!$C$66-Coordenadas!$C$157)^2+(Coordenadas!$D$66-Coordenadas!$D$157)^2)&lt;=LEEME!$B$20,EXP(-LEEME!$B$19*SQRT((Coordenadas!$C$66-Coordenadas!$C$157)^2+(Coordenadas!$D$66-Coordenadas!$D$157)^2)),0)</f>
        <v>0.637663578579032</v>
      </c>
    </row>
    <row r="196" customFormat="false" ht="15" hidden="false" customHeight="false" outlineLevel="0" collapsed="false">
      <c r="A196" s="0" t="s">
        <v>113</v>
      </c>
      <c r="B196" s="0" t="s">
        <v>207</v>
      </c>
      <c r="C196" s="17" t="n">
        <f aca="false">IF(SQRT((Coordenadas!$C$66-Coordenadas!$C$158)^2+(Coordenadas!$D$66-Coordenadas!$D$158)^2)&lt;=LEEME!$B$20,EXP(-LEEME!$B$19*SQRT((Coordenadas!$C$66-Coordenadas!$C$158)^2+(Coordenadas!$D$66-Coordenadas!$D$158)^2)),0)</f>
        <v>0.479301689846999</v>
      </c>
    </row>
    <row r="197" customFormat="false" ht="15" hidden="false" customHeight="false" outlineLevel="0" collapsed="false">
      <c r="A197" s="0" t="s">
        <v>113</v>
      </c>
      <c r="B197" s="0" t="s">
        <v>209</v>
      </c>
      <c r="C197" s="17" t="n">
        <f aca="false">IF(SQRT((Coordenadas!$C$66-Coordenadas!$C$160)^2+(Coordenadas!$D$66-Coordenadas!$D$160)^2)&lt;=LEEME!$B$20,EXP(-LEEME!$B$19*SQRT((Coordenadas!$C$66-Coordenadas!$C$160)^2+(Coordenadas!$D$66-Coordenadas!$D$160)^2)),0)</f>
        <v>0.395372152693828</v>
      </c>
    </row>
    <row r="198" customFormat="false" ht="15" hidden="false" customHeight="false" outlineLevel="0" collapsed="false">
      <c r="A198" s="0" t="s">
        <v>113</v>
      </c>
      <c r="B198" s="0" t="s">
        <v>212</v>
      </c>
      <c r="C198" s="17" t="n">
        <f aca="false">IF(SQRT((Coordenadas!$C$66-Coordenadas!$C$163)^2+(Coordenadas!$D$66-Coordenadas!$D$163)^2)&lt;=LEEME!$B$20,EXP(-LEEME!$B$19*SQRT((Coordenadas!$C$66-Coordenadas!$C$163)^2+(Coordenadas!$D$66-Coordenadas!$D$163)^2)),0)</f>
        <v>0.398118776031208</v>
      </c>
    </row>
    <row r="199" customFormat="false" ht="15" hidden="false" customHeight="false" outlineLevel="0" collapsed="false">
      <c r="A199" s="0" t="s">
        <v>114</v>
      </c>
      <c r="B199" s="0" t="s">
        <v>194</v>
      </c>
      <c r="C199" s="17" t="n">
        <f aca="false">IF(SQRT((Coordenadas!$C$67-Coordenadas!$C$145)^2+(Coordenadas!$D$67-Coordenadas!$D$145)^2)&lt;=LEEME!$B$20,EXP(-LEEME!$B$19*SQRT((Coordenadas!$C$67-Coordenadas!$C$145)^2+(Coordenadas!$D$67-Coordenadas!$D$145)^2)),0)</f>
        <v>0.39959416366145</v>
      </c>
    </row>
    <row r="200" customFormat="false" ht="15" hidden="false" customHeight="false" outlineLevel="0" collapsed="false">
      <c r="A200" s="0" t="s">
        <v>114</v>
      </c>
      <c r="B200" s="0" t="s">
        <v>197</v>
      </c>
      <c r="C200" s="17" t="n">
        <f aca="false">IF(SQRT((Coordenadas!$C$67-Coordenadas!$C$148)^2+(Coordenadas!$D$67-Coordenadas!$D$148)^2)&lt;=LEEME!$B$20,EXP(-LEEME!$B$19*SQRT((Coordenadas!$C$67-Coordenadas!$C$148)^2+(Coordenadas!$D$67-Coordenadas!$D$148)^2)),0)</f>
        <v>0.903047260006519</v>
      </c>
    </row>
    <row r="201" customFormat="false" ht="15" hidden="false" customHeight="false" outlineLevel="0" collapsed="false">
      <c r="A201" s="0" t="s">
        <v>114</v>
      </c>
      <c r="B201" s="0" t="s">
        <v>206</v>
      </c>
      <c r="C201" s="17" t="n">
        <f aca="false">IF(SQRT((Coordenadas!$C$67-Coordenadas!$C$157)^2+(Coordenadas!$D$67-Coordenadas!$D$157)^2)&lt;=LEEME!$B$20,EXP(-LEEME!$B$19*SQRT((Coordenadas!$C$67-Coordenadas!$C$157)^2+(Coordenadas!$D$67-Coordenadas!$D$157)^2)),0)</f>
        <v>0.409913155598227</v>
      </c>
    </row>
    <row r="202" customFormat="false" ht="15" hidden="false" customHeight="false" outlineLevel="0" collapsed="false">
      <c r="A202" s="0" t="s">
        <v>114</v>
      </c>
      <c r="B202" s="0" t="s">
        <v>207</v>
      </c>
      <c r="C202" s="17" t="n">
        <f aca="false">IF(SQRT((Coordenadas!$C$67-Coordenadas!$C$158)^2+(Coordenadas!$D$67-Coordenadas!$D$158)^2)&lt;=LEEME!$B$20,EXP(-LEEME!$B$19*SQRT((Coordenadas!$C$67-Coordenadas!$C$158)^2+(Coordenadas!$D$67-Coordenadas!$D$158)^2)),0)</f>
        <v>0.471040407693981</v>
      </c>
    </row>
    <row r="203" customFormat="false" ht="15" hidden="false" customHeight="false" outlineLevel="0" collapsed="false">
      <c r="A203" s="0" t="s">
        <v>115</v>
      </c>
      <c r="B203" s="0" t="s">
        <v>197</v>
      </c>
      <c r="C203" s="17" t="n">
        <f aca="false">IF(SQRT((Coordenadas!$C$68-Coordenadas!$C$148)^2+(Coordenadas!$D$68-Coordenadas!$D$148)^2)&lt;=LEEME!$B$20,EXP(-LEEME!$B$19*SQRT((Coordenadas!$C$68-Coordenadas!$C$148)^2+(Coordenadas!$D$68-Coordenadas!$D$148)^2)),0)</f>
        <v>0.396210178094599</v>
      </c>
    </row>
    <row r="204" customFormat="false" ht="15" hidden="false" customHeight="false" outlineLevel="0" collapsed="false">
      <c r="A204" s="0" t="s">
        <v>115</v>
      </c>
      <c r="B204" s="0" t="s">
        <v>202</v>
      </c>
      <c r="C204" s="17" t="n">
        <f aca="false">IF(SQRT((Coordenadas!$C$68-Coordenadas!$C$153)^2+(Coordenadas!$D$68-Coordenadas!$D$153)^2)&lt;=LEEME!$B$20,EXP(-LEEME!$B$19*SQRT((Coordenadas!$C$68-Coordenadas!$C$153)^2+(Coordenadas!$D$68-Coordenadas!$D$153)^2)),0)</f>
        <v>0.4512336208436</v>
      </c>
    </row>
    <row r="205" customFormat="false" ht="15" hidden="false" customHeight="false" outlineLevel="0" collapsed="false">
      <c r="A205" s="0" t="s">
        <v>115</v>
      </c>
      <c r="B205" s="0" t="s">
        <v>204</v>
      </c>
      <c r="C205" s="17" t="n">
        <f aca="false">IF(SQRT((Coordenadas!$C$68-Coordenadas!$C$155)^2+(Coordenadas!$D$68-Coordenadas!$D$155)^2)&lt;=LEEME!$B$20,EXP(-LEEME!$B$19*SQRT((Coordenadas!$C$68-Coordenadas!$C$155)^2+(Coordenadas!$D$68-Coordenadas!$D$155)^2)),0)</f>
        <v>0.371778541046174</v>
      </c>
    </row>
    <row r="206" customFormat="false" ht="15" hidden="false" customHeight="false" outlineLevel="0" collapsed="false">
      <c r="A206" s="0" t="s">
        <v>115</v>
      </c>
      <c r="B206" s="0" t="s">
        <v>206</v>
      </c>
      <c r="C206" s="17" t="n">
        <f aca="false">IF(SQRT((Coordenadas!$C$68-Coordenadas!$C$157)^2+(Coordenadas!$D$68-Coordenadas!$D$157)^2)&lt;=LEEME!$B$20,EXP(-LEEME!$B$19*SQRT((Coordenadas!$C$68-Coordenadas!$C$157)^2+(Coordenadas!$D$68-Coordenadas!$D$157)^2)),0)</f>
        <v>0.699184413564784</v>
      </c>
    </row>
    <row r="207" customFormat="false" ht="15" hidden="false" customHeight="false" outlineLevel="0" collapsed="false">
      <c r="A207" s="0" t="s">
        <v>116</v>
      </c>
      <c r="B207" s="0" t="s">
        <v>194</v>
      </c>
      <c r="C207" s="17" t="n">
        <f aca="false">IF(SQRT((Coordenadas!$C$69-Coordenadas!$C$145)^2+(Coordenadas!$D$69-Coordenadas!$D$145)^2)&lt;=LEEME!$B$20,EXP(-LEEME!$B$19*SQRT((Coordenadas!$C$69-Coordenadas!$C$145)^2+(Coordenadas!$D$69-Coordenadas!$D$145)^2)),0)</f>
        <v>0.521955442527026</v>
      </c>
    </row>
    <row r="208" customFormat="false" ht="15" hidden="false" customHeight="false" outlineLevel="0" collapsed="false">
      <c r="A208" s="0" t="s">
        <v>116</v>
      </c>
      <c r="B208" s="0" t="s">
        <v>197</v>
      </c>
      <c r="C208" s="17" t="n">
        <f aca="false">IF(SQRT((Coordenadas!$C$69-Coordenadas!$C$148)^2+(Coordenadas!$D$69-Coordenadas!$D$148)^2)&lt;=LEEME!$B$20,EXP(-LEEME!$B$19*SQRT((Coordenadas!$C$69-Coordenadas!$C$148)^2+(Coordenadas!$D$69-Coordenadas!$D$148)^2)),0)</f>
        <v>0.659546319229295</v>
      </c>
    </row>
    <row r="209" customFormat="false" ht="15" hidden="false" customHeight="false" outlineLevel="0" collapsed="false">
      <c r="A209" s="0" t="s">
        <v>116</v>
      </c>
      <c r="B209" s="0" t="s">
        <v>206</v>
      </c>
      <c r="C209" s="17" t="n">
        <f aca="false">IF(SQRT((Coordenadas!$C$69-Coordenadas!$C$157)^2+(Coordenadas!$D$69-Coordenadas!$D$157)^2)&lt;=LEEME!$B$20,EXP(-LEEME!$B$19*SQRT((Coordenadas!$C$69-Coordenadas!$C$157)^2+(Coordenadas!$D$69-Coordenadas!$D$157)^2)),0)</f>
        <v>0.433712169999626</v>
      </c>
    </row>
    <row r="210" customFormat="false" ht="15" hidden="false" customHeight="false" outlineLevel="0" collapsed="false">
      <c r="A210" s="0" t="s">
        <v>117</v>
      </c>
      <c r="B210" s="0" t="s">
        <v>194</v>
      </c>
      <c r="C210" s="17" t="n">
        <f aca="false">IF(SQRT((Coordenadas!$C$70-Coordenadas!$C$145)^2+(Coordenadas!$D$70-Coordenadas!$D$145)^2)&lt;=LEEME!$B$20,EXP(-LEEME!$B$19*SQRT((Coordenadas!$C$70-Coordenadas!$C$145)^2+(Coordenadas!$D$70-Coordenadas!$D$145)^2)),0)</f>
        <v>0.433952438345182</v>
      </c>
    </row>
    <row r="211" customFormat="false" ht="15" hidden="false" customHeight="false" outlineLevel="0" collapsed="false">
      <c r="A211" s="0" t="s">
        <v>117</v>
      </c>
      <c r="B211" s="0" t="s">
        <v>197</v>
      </c>
      <c r="C211" s="17" t="n">
        <f aca="false">IF(SQRT((Coordenadas!$C$70-Coordenadas!$C$148)^2+(Coordenadas!$D$70-Coordenadas!$D$148)^2)&lt;=LEEME!$B$20,EXP(-LEEME!$B$19*SQRT((Coordenadas!$C$70-Coordenadas!$C$148)^2+(Coordenadas!$D$70-Coordenadas!$D$148)^2)),0)</f>
        <v>0.529893765343091</v>
      </c>
    </row>
    <row r="212" customFormat="false" ht="15" hidden="false" customHeight="false" outlineLevel="0" collapsed="false">
      <c r="A212" s="0" t="s">
        <v>117</v>
      </c>
      <c r="B212" s="0" t="s">
        <v>206</v>
      </c>
      <c r="C212" s="17" t="n">
        <f aca="false">IF(SQRT((Coordenadas!$C$70-Coordenadas!$C$157)^2+(Coordenadas!$D$70-Coordenadas!$D$157)^2)&lt;=LEEME!$B$20,EXP(-LEEME!$B$19*SQRT((Coordenadas!$C$70-Coordenadas!$C$157)^2+(Coordenadas!$D$70-Coordenadas!$D$157)^2)),0)</f>
        <v>0.567569488548968</v>
      </c>
    </row>
    <row r="213" customFormat="false" ht="15" hidden="false" customHeight="false" outlineLevel="0" collapsed="false">
      <c r="A213" s="0" t="s">
        <v>118</v>
      </c>
      <c r="B213" s="0" t="s">
        <v>194</v>
      </c>
      <c r="C213" s="17" t="n">
        <f aca="false">IF(SQRT((Coordenadas!$C$71-Coordenadas!$C$145)^2+(Coordenadas!$D$71-Coordenadas!$D$145)^2)&lt;=LEEME!$B$20,EXP(-LEEME!$B$19*SQRT((Coordenadas!$C$71-Coordenadas!$C$145)^2+(Coordenadas!$D$71-Coordenadas!$D$145)^2)),0)</f>
        <v>0.54876590687185</v>
      </c>
    </row>
    <row r="214" customFormat="false" ht="15" hidden="false" customHeight="false" outlineLevel="0" collapsed="false">
      <c r="A214" s="0" t="s">
        <v>118</v>
      </c>
      <c r="B214" s="0" t="s">
        <v>197</v>
      </c>
      <c r="C214" s="17" t="n">
        <f aca="false">IF(SQRT((Coordenadas!$C$71-Coordenadas!$C$148)^2+(Coordenadas!$D$71-Coordenadas!$D$148)^2)&lt;=LEEME!$B$20,EXP(-LEEME!$B$19*SQRT((Coordenadas!$C$71-Coordenadas!$C$148)^2+(Coordenadas!$D$71-Coordenadas!$D$148)^2)),0)</f>
        <v>0.713188957873794</v>
      </c>
    </row>
    <row r="215" customFormat="false" ht="15" hidden="false" customHeight="false" outlineLevel="0" collapsed="false">
      <c r="A215" s="0" t="s">
        <v>119</v>
      </c>
      <c r="B215" s="0" t="s">
        <v>194</v>
      </c>
      <c r="C215" s="17" t="n">
        <f aca="false">IF(SQRT((Coordenadas!$C$72-Coordenadas!$C$145)^2+(Coordenadas!$D$72-Coordenadas!$D$145)^2)&lt;=LEEME!$B$20,EXP(-LEEME!$B$19*SQRT((Coordenadas!$C$72-Coordenadas!$C$145)^2+(Coordenadas!$D$72-Coordenadas!$D$145)^2)),0)</f>
        <v>0.476968898934701</v>
      </c>
    </row>
    <row r="216" customFormat="false" ht="15" hidden="false" customHeight="false" outlineLevel="0" collapsed="false">
      <c r="A216" s="0" t="s">
        <v>119</v>
      </c>
      <c r="B216" s="0" t="s">
        <v>197</v>
      </c>
      <c r="C216" s="17" t="n">
        <f aca="false">IF(SQRT((Coordenadas!$C$72-Coordenadas!$C$148)^2+(Coordenadas!$D$72-Coordenadas!$D$148)^2)&lt;=LEEME!$B$20,EXP(-LEEME!$B$19*SQRT((Coordenadas!$C$72-Coordenadas!$C$148)^2+(Coordenadas!$D$72-Coordenadas!$D$148)^2)),0)</f>
        <v>0.368745995059774</v>
      </c>
    </row>
    <row r="217" customFormat="false" ht="15" hidden="false" customHeight="false" outlineLevel="0" collapsed="false">
      <c r="A217" s="0" t="s">
        <v>119</v>
      </c>
      <c r="B217" s="0" t="s">
        <v>202</v>
      </c>
      <c r="C217" s="17" t="n">
        <f aca="false">IF(SQRT((Coordenadas!$C$72-Coordenadas!$C$153)^2+(Coordenadas!$D$72-Coordenadas!$D$153)^2)&lt;=LEEME!$B$20,EXP(-LEEME!$B$19*SQRT((Coordenadas!$C$72-Coordenadas!$C$153)^2+(Coordenadas!$D$72-Coordenadas!$D$153)^2)),0)</f>
        <v>0.458810461928974</v>
      </c>
    </row>
    <row r="218" customFormat="false" ht="15" hidden="false" customHeight="false" outlineLevel="0" collapsed="false">
      <c r="A218" s="0" t="s">
        <v>119</v>
      </c>
      <c r="B218" s="0" t="s">
        <v>206</v>
      </c>
      <c r="C218" s="17" t="n">
        <f aca="false">IF(SQRT((Coordenadas!$C$72-Coordenadas!$C$157)^2+(Coordenadas!$D$72-Coordenadas!$D$157)^2)&lt;=LEEME!$B$20,EXP(-LEEME!$B$19*SQRT((Coordenadas!$C$72-Coordenadas!$C$157)^2+(Coordenadas!$D$72-Coordenadas!$D$157)^2)),0)</f>
        <v>0.44435754419166</v>
      </c>
    </row>
    <row r="219" customFormat="false" ht="15" hidden="false" customHeight="false" outlineLevel="0" collapsed="false">
      <c r="A219" s="0" t="s">
        <v>120</v>
      </c>
      <c r="B219" s="0" t="s">
        <v>194</v>
      </c>
      <c r="C219" s="17" t="n">
        <f aca="false">IF(SQRT((Coordenadas!$C$73-Coordenadas!$C$145)^2+(Coordenadas!$D$73-Coordenadas!$D$145)^2)&lt;=LEEME!$B$20,EXP(-LEEME!$B$19*SQRT((Coordenadas!$C$73-Coordenadas!$C$145)^2+(Coordenadas!$D$73-Coordenadas!$D$145)^2)),0)</f>
        <v>0.631523952883198</v>
      </c>
    </row>
    <row r="220" customFormat="false" ht="15" hidden="false" customHeight="false" outlineLevel="0" collapsed="false">
      <c r="A220" s="0" t="s">
        <v>120</v>
      </c>
      <c r="B220" s="0" t="s">
        <v>197</v>
      </c>
      <c r="C220" s="17" t="n">
        <f aca="false">IF(SQRT((Coordenadas!$C$73-Coordenadas!$C$148)^2+(Coordenadas!$D$73-Coordenadas!$D$148)^2)&lt;=LEEME!$B$20,EXP(-LEEME!$B$19*SQRT((Coordenadas!$C$73-Coordenadas!$C$148)^2+(Coordenadas!$D$73-Coordenadas!$D$148)^2)),0)</f>
        <v>0.411325958441391</v>
      </c>
    </row>
    <row r="221" customFormat="false" ht="15" hidden="false" customHeight="false" outlineLevel="0" collapsed="false">
      <c r="A221" s="0" t="s">
        <v>120</v>
      </c>
      <c r="B221" s="0" t="s">
        <v>205</v>
      </c>
      <c r="C221" s="17" t="n">
        <f aca="false">IF(SQRT((Coordenadas!$C$73-Coordenadas!$C$156)^2+(Coordenadas!$D$73-Coordenadas!$D$156)^2)&lt;=LEEME!$B$20,EXP(-LEEME!$B$19*SQRT((Coordenadas!$C$73-Coordenadas!$C$156)^2+(Coordenadas!$D$73-Coordenadas!$D$156)^2)),0)</f>
        <v>0.377972548915459</v>
      </c>
    </row>
    <row r="222" customFormat="false" ht="15" hidden="false" customHeight="false" outlineLevel="0" collapsed="false">
      <c r="A222" s="0" t="s">
        <v>120</v>
      </c>
      <c r="B222" s="0" t="s">
        <v>206</v>
      </c>
      <c r="C222" s="17" t="n">
        <f aca="false">IF(SQRT((Coordenadas!$C$73-Coordenadas!$C$157)^2+(Coordenadas!$D$73-Coordenadas!$D$157)^2)&lt;=LEEME!$B$20,EXP(-LEEME!$B$19*SQRT((Coordenadas!$C$73-Coordenadas!$C$157)^2+(Coordenadas!$D$73-Coordenadas!$D$157)^2)),0)</f>
        <v>0.368224651833163</v>
      </c>
    </row>
    <row r="223" customFormat="false" ht="15" hidden="false" customHeight="false" outlineLevel="0" collapsed="false">
      <c r="A223" s="0" t="s">
        <v>121</v>
      </c>
      <c r="B223" s="0" t="s">
        <v>194</v>
      </c>
      <c r="C223" s="17" t="n">
        <f aca="false">IF(SQRT((Coordenadas!$C$74-Coordenadas!$C$145)^2+(Coordenadas!$D$74-Coordenadas!$D$145)^2)&lt;=LEEME!$B$20,EXP(-LEEME!$B$19*SQRT((Coordenadas!$C$74-Coordenadas!$C$145)^2+(Coordenadas!$D$74-Coordenadas!$D$145)^2)),0)</f>
        <v>0.620596344237876</v>
      </c>
    </row>
    <row r="224" customFormat="false" ht="15" hidden="false" customHeight="false" outlineLevel="0" collapsed="false">
      <c r="A224" s="0" t="s">
        <v>121</v>
      </c>
      <c r="B224" s="0" t="s">
        <v>197</v>
      </c>
      <c r="C224" s="17" t="n">
        <f aca="false">IF(SQRT((Coordenadas!$C$74-Coordenadas!$C$148)^2+(Coordenadas!$D$74-Coordenadas!$D$148)^2)&lt;=LEEME!$B$20,EXP(-LEEME!$B$19*SQRT((Coordenadas!$C$74-Coordenadas!$C$148)^2+(Coordenadas!$D$74-Coordenadas!$D$148)^2)),0)</f>
        <v>0.542839330138421</v>
      </c>
    </row>
    <row r="225" customFormat="false" ht="15" hidden="false" customHeight="false" outlineLevel="0" collapsed="false">
      <c r="A225" s="0" t="s">
        <v>121</v>
      </c>
      <c r="B225" s="0" t="s">
        <v>206</v>
      </c>
      <c r="C225" s="17" t="n">
        <f aca="false">IF(SQRT((Coordenadas!$C$74-Coordenadas!$C$157)^2+(Coordenadas!$D$74-Coordenadas!$D$157)^2)&lt;=LEEME!$B$20,EXP(-LEEME!$B$19*SQRT((Coordenadas!$C$74-Coordenadas!$C$157)^2+(Coordenadas!$D$74-Coordenadas!$D$157)^2)),0)</f>
        <v>0.394166974721568</v>
      </c>
    </row>
    <row r="226" customFormat="false" ht="15" hidden="false" customHeight="false" outlineLevel="0" collapsed="false">
      <c r="A226" s="0" t="s">
        <v>122</v>
      </c>
      <c r="B226" s="0" t="s">
        <v>194</v>
      </c>
      <c r="C226" s="17" t="n">
        <f aca="false">IF(SQRT((Coordenadas!$C$75-Coordenadas!$C$145)^2+(Coordenadas!$D$75-Coordenadas!$D$145)^2)&lt;=LEEME!$B$20,EXP(-LEEME!$B$19*SQRT((Coordenadas!$C$75-Coordenadas!$C$145)^2+(Coordenadas!$D$75-Coordenadas!$D$145)^2)),0)</f>
        <v>0.484792730594284</v>
      </c>
    </row>
    <row r="227" customFormat="false" ht="15" hidden="false" customHeight="false" outlineLevel="0" collapsed="false">
      <c r="A227" s="0" t="s">
        <v>122</v>
      </c>
      <c r="B227" s="0" t="s">
        <v>197</v>
      </c>
      <c r="C227" s="17" t="n">
        <f aca="false">IF(SQRT((Coordenadas!$C$75-Coordenadas!$C$148)^2+(Coordenadas!$D$75-Coordenadas!$D$148)^2)&lt;=LEEME!$B$20,EXP(-LEEME!$B$19*SQRT((Coordenadas!$C$75-Coordenadas!$C$148)^2+(Coordenadas!$D$75-Coordenadas!$D$148)^2)),0)</f>
        <v>0.455858402167416</v>
      </c>
    </row>
    <row r="228" customFormat="false" ht="15" hidden="false" customHeight="false" outlineLevel="0" collapsed="false">
      <c r="A228" s="0" t="s">
        <v>122</v>
      </c>
      <c r="B228" s="0" t="s">
        <v>202</v>
      </c>
      <c r="C228" s="17" t="n">
        <f aca="false">IF(SQRT((Coordenadas!$C$75-Coordenadas!$C$153)^2+(Coordenadas!$D$75-Coordenadas!$D$153)^2)&lt;=LEEME!$B$20,EXP(-LEEME!$B$19*SQRT((Coordenadas!$C$75-Coordenadas!$C$153)^2+(Coordenadas!$D$75-Coordenadas!$D$153)^2)),0)</f>
        <v>0.393211464140942</v>
      </c>
    </row>
    <row r="229" customFormat="false" ht="15" hidden="false" customHeight="false" outlineLevel="0" collapsed="false">
      <c r="A229" s="0" t="s">
        <v>122</v>
      </c>
      <c r="B229" s="0" t="s">
        <v>206</v>
      </c>
      <c r="C229" s="17" t="n">
        <f aca="false">IF(SQRT((Coordenadas!$C$75-Coordenadas!$C$157)^2+(Coordenadas!$D$75-Coordenadas!$D$157)^2)&lt;=LEEME!$B$20,EXP(-LEEME!$B$19*SQRT((Coordenadas!$C$75-Coordenadas!$C$157)^2+(Coordenadas!$D$75-Coordenadas!$D$157)^2)),0)</f>
        <v>0.499137290747437</v>
      </c>
    </row>
    <row r="230" customFormat="false" ht="15" hidden="false" customHeight="false" outlineLevel="0" collapsed="false">
      <c r="A230" s="0" t="s">
        <v>123</v>
      </c>
      <c r="B230" s="0" t="s">
        <v>194</v>
      </c>
      <c r="C230" s="17" t="n">
        <f aca="false">IF(SQRT((Coordenadas!$C$76-Coordenadas!$C$145)^2+(Coordenadas!$D$76-Coordenadas!$D$145)^2)&lt;=LEEME!$B$20,EXP(-LEEME!$B$19*SQRT((Coordenadas!$C$76-Coordenadas!$C$145)^2+(Coordenadas!$D$76-Coordenadas!$D$145)^2)),0)</f>
        <v>0.544893156970007</v>
      </c>
    </row>
    <row r="231" customFormat="false" ht="15" hidden="false" customHeight="false" outlineLevel="0" collapsed="false">
      <c r="A231" s="0" t="s">
        <v>123</v>
      </c>
      <c r="B231" s="0" t="s">
        <v>197</v>
      </c>
      <c r="C231" s="17" t="n">
        <f aca="false">IF(SQRT((Coordenadas!$C$76-Coordenadas!$C$148)^2+(Coordenadas!$D$76-Coordenadas!$D$148)^2)&lt;=LEEME!$B$20,EXP(-LEEME!$B$19*SQRT((Coordenadas!$C$76-Coordenadas!$C$148)^2+(Coordenadas!$D$76-Coordenadas!$D$148)^2)),0)</f>
        <v>0.383272173619664</v>
      </c>
    </row>
    <row r="232" customFormat="false" ht="15" hidden="false" customHeight="false" outlineLevel="0" collapsed="false">
      <c r="A232" s="0" t="s">
        <v>123</v>
      </c>
      <c r="B232" s="0" t="s">
        <v>202</v>
      </c>
      <c r="C232" s="17" t="n">
        <f aca="false">IF(SQRT((Coordenadas!$C$76-Coordenadas!$C$153)^2+(Coordenadas!$D$76-Coordenadas!$D$153)^2)&lt;=LEEME!$B$20,EXP(-LEEME!$B$19*SQRT((Coordenadas!$C$76-Coordenadas!$C$153)^2+(Coordenadas!$D$76-Coordenadas!$D$153)^2)),0)</f>
        <v>0.408516311275241</v>
      </c>
    </row>
    <row r="233" customFormat="false" ht="15" hidden="false" customHeight="false" outlineLevel="0" collapsed="false">
      <c r="A233" s="0" t="s">
        <v>123</v>
      </c>
      <c r="B233" s="0" t="s">
        <v>206</v>
      </c>
      <c r="C233" s="17" t="n">
        <f aca="false">IF(SQRT((Coordenadas!$C$76-Coordenadas!$C$157)^2+(Coordenadas!$D$76-Coordenadas!$D$157)^2)&lt;=LEEME!$B$20,EXP(-LEEME!$B$19*SQRT((Coordenadas!$C$76-Coordenadas!$C$157)^2+(Coordenadas!$D$76-Coordenadas!$D$157)^2)),0)</f>
        <v>0.402209319546448</v>
      </c>
    </row>
    <row r="234" customFormat="false" ht="15" hidden="false" customHeight="false" outlineLevel="0" collapsed="false">
      <c r="A234" s="0" t="s">
        <v>124</v>
      </c>
      <c r="B234" s="0" t="s">
        <v>194</v>
      </c>
      <c r="C234" s="17" t="n">
        <f aca="false">IF(SQRT((Coordenadas!$C$77-Coordenadas!$C$145)^2+(Coordenadas!$D$77-Coordenadas!$D$145)^2)&lt;=LEEME!$B$20,EXP(-LEEME!$B$19*SQRT((Coordenadas!$C$77-Coordenadas!$C$145)^2+(Coordenadas!$D$77-Coordenadas!$D$145)^2)),0)</f>
        <v>0.708348699587786</v>
      </c>
    </row>
    <row r="235" customFormat="false" ht="15" hidden="false" customHeight="false" outlineLevel="0" collapsed="false">
      <c r="A235" s="0" t="s">
        <v>124</v>
      </c>
      <c r="B235" s="0" t="s">
        <v>197</v>
      </c>
      <c r="C235" s="17" t="n">
        <f aca="false">IF(SQRT((Coordenadas!$C$77-Coordenadas!$C$148)^2+(Coordenadas!$D$77-Coordenadas!$D$148)^2)&lt;=LEEME!$B$20,EXP(-LEEME!$B$19*SQRT((Coordenadas!$C$77-Coordenadas!$C$148)^2+(Coordenadas!$D$77-Coordenadas!$D$148)^2)),0)</f>
        <v>0.433816033942688</v>
      </c>
    </row>
    <row r="236" customFormat="false" ht="15" hidden="false" customHeight="false" outlineLevel="0" collapsed="false">
      <c r="A236" s="0" t="s">
        <v>124</v>
      </c>
      <c r="B236" s="0" t="s">
        <v>205</v>
      </c>
      <c r="C236" s="17" t="n">
        <f aca="false">IF(SQRT((Coordenadas!$C$77-Coordenadas!$C$156)^2+(Coordenadas!$D$77-Coordenadas!$D$156)^2)&lt;=LEEME!$B$20,EXP(-LEEME!$B$19*SQRT((Coordenadas!$C$77-Coordenadas!$C$156)^2+(Coordenadas!$D$77-Coordenadas!$D$156)^2)),0)</f>
        <v>0.387199563667999</v>
      </c>
    </row>
    <row r="237" customFormat="false" ht="15" hidden="false" customHeight="false" outlineLevel="0" collapsed="false">
      <c r="A237" s="0" t="s">
        <v>125</v>
      </c>
      <c r="B237" s="0" t="s">
        <v>202</v>
      </c>
      <c r="C237" s="17" t="n">
        <f aca="false">IF(SQRT((Coordenadas!$C$78-Coordenadas!$C$153)^2+(Coordenadas!$D$78-Coordenadas!$D$153)^2)&lt;=LEEME!$B$20,EXP(-LEEME!$B$19*SQRT((Coordenadas!$C$78-Coordenadas!$C$153)^2+(Coordenadas!$D$78-Coordenadas!$D$153)^2)),0)</f>
        <v>0.676061262110658</v>
      </c>
    </row>
    <row r="238" customFormat="false" ht="15" hidden="false" customHeight="false" outlineLevel="0" collapsed="false">
      <c r="A238" s="0" t="s">
        <v>125</v>
      </c>
      <c r="B238" s="0" t="s">
        <v>204</v>
      </c>
      <c r="C238" s="17" t="n">
        <f aca="false">IF(SQRT((Coordenadas!$C$78-Coordenadas!$C$155)^2+(Coordenadas!$D$78-Coordenadas!$D$155)^2)&lt;=LEEME!$B$20,EXP(-LEEME!$B$19*SQRT((Coordenadas!$C$78-Coordenadas!$C$155)^2+(Coordenadas!$D$78-Coordenadas!$D$155)^2)),0)</f>
        <v>0.382887900456927</v>
      </c>
    </row>
    <row r="239" customFormat="false" ht="15" hidden="false" customHeight="false" outlineLevel="0" collapsed="false">
      <c r="A239" s="0" t="s">
        <v>125</v>
      </c>
      <c r="B239" s="0" t="s">
        <v>206</v>
      </c>
      <c r="C239" s="17" t="n">
        <f aca="false">IF(SQRT((Coordenadas!$C$78-Coordenadas!$C$157)^2+(Coordenadas!$D$78-Coordenadas!$D$157)^2)&lt;=LEEME!$B$20,EXP(-LEEME!$B$19*SQRT((Coordenadas!$C$78-Coordenadas!$C$157)^2+(Coordenadas!$D$78-Coordenadas!$D$157)^2)),0)</f>
        <v>0.502760736680642</v>
      </c>
    </row>
    <row r="240" customFormat="false" ht="15" hidden="false" customHeight="false" outlineLevel="0" collapsed="false">
      <c r="A240" s="0" t="s">
        <v>126</v>
      </c>
      <c r="B240" s="0" t="s">
        <v>194</v>
      </c>
      <c r="C240" s="17" t="n">
        <f aca="false">IF(SQRT((Coordenadas!$C$79-Coordenadas!$C$145)^2+(Coordenadas!$D$79-Coordenadas!$D$145)^2)&lt;=LEEME!$B$20,EXP(-LEEME!$B$19*SQRT((Coordenadas!$C$79-Coordenadas!$C$145)^2+(Coordenadas!$D$79-Coordenadas!$D$145)^2)),0)</f>
        <v>0.412504432179014</v>
      </c>
    </row>
    <row r="241" customFormat="false" ht="15" hidden="false" customHeight="false" outlineLevel="0" collapsed="false">
      <c r="A241" s="0" t="s">
        <v>126</v>
      </c>
      <c r="B241" s="0" t="s">
        <v>202</v>
      </c>
      <c r="C241" s="17" t="n">
        <f aca="false">IF(SQRT((Coordenadas!$C$79-Coordenadas!$C$153)^2+(Coordenadas!$D$79-Coordenadas!$D$153)^2)&lt;=LEEME!$B$20,EXP(-LEEME!$B$19*SQRT((Coordenadas!$C$79-Coordenadas!$C$153)^2+(Coordenadas!$D$79-Coordenadas!$D$153)^2)),0)</f>
        <v>0.548765906871849</v>
      </c>
    </row>
    <row r="242" customFormat="false" ht="15" hidden="false" customHeight="false" outlineLevel="0" collapsed="false">
      <c r="A242" s="0" t="s">
        <v>126</v>
      </c>
      <c r="B242" s="0" t="s">
        <v>206</v>
      </c>
      <c r="C242" s="17" t="n">
        <f aca="false">IF(SQRT((Coordenadas!$C$79-Coordenadas!$C$157)^2+(Coordenadas!$D$79-Coordenadas!$D$157)^2)&lt;=LEEME!$B$20,EXP(-LEEME!$B$19*SQRT((Coordenadas!$C$79-Coordenadas!$C$157)^2+(Coordenadas!$D$79-Coordenadas!$D$157)^2)),0)</f>
        <v>0.421593830556235</v>
      </c>
    </row>
    <row r="243" customFormat="false" ht="15" hidden="false" customHeight="false" outlineLevel="0" collapsed="false">
      <c r="A243" s="0" t="s">
        <v>127</v>
      </c>
      <c r="B243" s="0" t="s">
        <v>194</v>
      </c>
      <c r="C243" s="17" t="n">
        <f aca="false">IF(SQRT((Coordenadas!$C$80-Coordenadas!$C$145)^2+(Coordenadas!$D$80-Coordenadas!$D$145)^2)&lt;=LEEME!$B$20,EXP(-LEEME!$B$19*SQRT((Coordenadas!$C$80-Coordenadas!$C$145)^2+(Coordenadas!$D$80-Coordenadas!$D$145)^2)),0)</f>
        <v>0.375291951312823</v>
      </c>
    </row>
    <row r="244" customFormat="false" ht="15" hidden="false" customHeight="false" outlineLevel="0" collapsed="false">
      <c r="A244" s="0" t="s">
        <v>127</v>
      </c>
      <c r="B244" s="0" t="s">
        <v>202</v>
      </c>
      <c r="C244" s="17" t="n">
        <f aca="false">IF(SQRT((Coordenadas!$C$80-Coordenadas!$C$153)^2+(Coordenadas!$D$80-Coordenadas!$D$153)^2)&lt;=LEEME!$B$20,EXP(-LEEME!$B$19*SQRT((Coordenadas!$C$80-Coordenadas!$C$153)^2+(Coordenadas!$D$80-Coordenadas!$D$153)^2)),0)</f>
        <v>0.507840613946039</v>
      </c>
    </row>
    <row r="245" customFormat="false" ht="15" hidden="false" customHeight="false" outlineLevel="0" collapsed="false">
      <c r="A245" s="0" t="s">
        <v>127</v>
      </c>
      <c r="B245" s="0" t="s">
        <v>206</v>
      </c>
      <c r="C245" s="17" t="n">
        <f aca="false">IF(SQRT((Coordenadas!$C$80-Coordenadas!$C$157)^2+(Coordenadas!$D$80-Coordenadas!$D$157)^2)&lt;=LEEME!$B$20,EXP(-LEEME!$B$19*SQRT((Coordenadas!$C$80-Coordenadas!$C$157)^2+(Coordenadas!$D$80-Coordenadas!$D$157)^2)),0)</f>
        <v>0.5699253199209</v>
      </c>
    </row>
    <row r="246" customFormat="false" ht="15" hidden="false" customHeight="false" outlineLevel="0" collapsed="false">
      <c r="A246" s="0" t="s">
        <v>128</v>
      </c>
      <c r="B246" s="0" t="s">
        <v>194</v>
      </c>
      <c r="C246" s="17" t="n">
        <f aca="false">IF(SQRT((Coordenadas!$C$81-Coordenadas!$C$145)^2+(Coordenadas!$D$81-Coordenadas!$D$145)^2)&lt;=LEEME!$B$20,EXP(-LEEME!$B$19*SQRT((Coordenadas!$C$81-Coordenadas!$C$145)^2+(Coordenadas!$D$81-Coordenadas!$D$145)^2)),0)</f>
        <v>0.385377115042866</v>
      </c>
    </row>
    <row r="247" customFormat="false" ht="15" hidden="false" customHeight="false" outlineLevel="0" collapsed="false">
      <c r="A247" s="0" t="s">
        <v>128</v>
      </c>
      <c r="B247" s="0" t="s">
        <v>202</v>
      </c>
      <c r="C247" s="17" t="n">
        <f aca="false">IF(SQRT((Coordenadas!$C$81-Coordenadas!$C$153)^2+(Coordenadas!$D$81-Coordenadas!$D$153)^2)&lt;=LEEME!$B$20,EXP(-LEEME!$B$19*SQRT((Coordenadas!$C$81-Coordenadas!$C$153)^2+(Coordenadas!$D$81-Coordenadas!$D$153)^2)),0)</f>
        <v>0.556025443752866</v>
      </c>
    </row>
    <row r="248" customFormat="false" ht="15" hidden="false" customHeight="false" outlineLevel="0" collapsed="false">
      <c r="A248" s="0" t="s">
        <v>128</v>
      </c>
      <c r="B248" s="0" t="s">
        <v>206</v>
      </c>
      <c r="C248" s="17" t="n">
        <f aca="false">IF(SQRT((Coordenadas!$C$81-Coordenadas!$C$157)^2+(Coordenadas!$D$81-Coordenadas!$D$157)^2)&lt;=LEEME!$B$20,EXP(-LEEME!$B$19*SQRT((Coordenadas!$C$81-Coordenadas!$C$157)^2+(Coordenadas!$D$81-Coordenadas!$D$157)^2)),0)</f>
        <v>0.490780456818706</v>
      </c>
    </row>
    <row r="249" customFormat="false" ht="15" hidden="false" customHeight="false" outlineLevel="0" collapsed="false">
      <c r="A249" s="0" t="s">
        <v>129</v>
      </c>
      <c r="B249" s="0" t="s">
        <v>202</v>
      </c>
      <c r="C249" s="17" t="n">
        <f aca="false">IF(SQRT((Coordenadas!$C$82-Coordenadas!$C$153)^2+(Coordenadas!$D$82-Coordenadas!$D$153)^2)&lt;=LEEME!$B$20,EXP(-LEEME!$B$19*SQRT((Coordenadas!$C$82-Coordenadas!$C$153)^2+(Coordenadas!$D$82-Coordenadas!$D$153)^2)),0)</f>
        <v>0.731857229598678</v>
      </c>
    </row>
    <row r="250" customFormat="false" ht="15" hidden="false" customHeight="false" outlineLevel="0" collapsed="false">
      <c r="A250" s="0" t="s">
        <v>130</v>
      </c>
      <c r="B250" s="0" t="s">
        <v>194</v>
      </c>
      <c r="C250" s="17" t="n">
        <f aca="false">IF(SQRT((Coordenadas!$C$83-Coordenadas!$C$145)^2+(Coordenadas!$D$83-Coordenadas!$D$145)^2)&lt;=LEEME!$B$20,EXP(-LEEME!$B$19*SQRT((Coordenadas!$C$83-Coordenadas!$C$145)^2+(Coordenadas!$D$83-Coordenadas!$D$145)^2)),0)</f>
        <v>0.633769363916827</v>
      </c>
    </row>
    <row r="251" customFormat="false" ht="15" hidden="false" customHeight="false" outlineLevel="0" collapsed="false">
      <c r="A251" s="0" t="s">
        <v>130</v>
      </c>
      <c r="B251" s="0" t="s">
        <v>205</v>
      </c>
      <c r="C251" s="17" t="n">
        <f aca="false">IF(SQRT((Coordenadas!$C$83-Coordenadas!$C$156)^2+(Coordenadas!$D$83-Coordenadas!$D$156)^2)&lt;=LEEME!$B$20,EXP(-LEEME!$B$19*SQRT((Coordenadas!$C$83-Coordenadas!$C$156)^2+(Coordenadas!$D$83-Coordenadas!$D$156)^2)),0)</f>
        <v>0.500289831138214</v>
      </c>
    </row>
    <row r="252" customFormat="false" ht="15" hidden="false" customHeight="false" outlineLevel="0" collapsed="false">
      <c r="A252" s="0" t="s">
        <v>131</v>
      </c>
      <c r="B252" s="0" t="s">
        <v>194</v>
      </c>
      <c r="C252" s="17" t="n">
        <f aca="false">IF(SQRT((Coordenadas!$C$84-Coordenadas!$C$145)^2+(Coordenadas!$D$84-Coordenadas!$D$145)^2)&lt;=LEEME!$B$20,EXP(-LEEME!$B$19*SQRT((Coordenadas!$C$84-Coordenadas!$C$145)^2+(Coordenadas!$D$84-Coordenadas!$D$145)^2)),0)</f>
        <v>0.48194200023443</v>
      </c>
    </row>
    <row r="253" customFormat="false" ht="15" hidden="false" customHeight="false" outlineLevel="0" collapsed="false">
      <c r="A253" s="0" t="s">
        <v>131</v>
      </c>
      <c r="B253" s="0" t="s">
        <v>202</v>
      </c>
      <c r="C253" s="17" t="n">
        <f aca="false">IF(SQRT((Coordenadas!$C$84-Coordenadas!$C$153)^2+(Coordenadas!$D$84-Coordenadas!$D$153)^2)&lt;=LEEME!$B$20,EXP(-LEEME!$B$19*SQRT((Coordenadas!$C$84-Coordenadas!$C$153)^2+(Coordenadas!$D$84-Coordenadas!$D$153)^2)),0)</f>
        <v>0.446671819535834</v>
      </c>
    </row>
    <row r="254" customFormat="false" ht="15" hidden="false" customHeight="false" outlineLevel="0" collapsed="false">
      <c r="A254" s="0" t="s">
        <v>131</v>
      </c>
      <c r="B254" s="0" t="s">
        <v>205</v>
      </c>
      <c r="C254" s="17" t="n">
        <f aca="false">IF(SQRT((Coordenadas!$C$84-Coordenadas!$C$156)^2+(Coordenadas!$D$84-Coordenadas!$D$156)^2)&lt;=LEEME!$B$20,EXP(-LEEME!$B$19*SQRT((Coordenadas!$C$84-Coordenadas!$C$156)^2+(Coordenadas!$D$84-Coordenadas!$D$156)^2)),0)</f>
        <v>0.437327405493405</v>
      </c>
    </row>
    <row r="255" customFormat="false" ht="15" hidden="false" customHeight="false" outlineLevel="0" collapsed="false">
      <c r="A255" s="0" t="s">
        <v>132</v>
      </c>
      <c r="B255" s="0" t="s">
        <v>194</v>
      </c>
      <c r="C255" s="17" t="n">
        <f aca="false">IF(SQRT((Coordenadas!$C$85-Coordenadas!$C$145)^2+(Coordenadas!$D$85-Coordenadas!$D$145)^2)&lt;=LEEME!$B$20,EXP(-LEEME!$B$19*SQRT((Coordenadas!$C$85-Coordenadas!$C$145)^2+(Coordenadas!$D$85-Coordenadas!$D$145)^2)),0)</f>
        <v>0.380904256148134</v>
      </c>
    </row>
    <row r="256" customFormat="false" ht="15" hidden="false" customHeight="false" outlineLevel="0" collapsed="false">
      <c r="A256" s="0" t="s">
        <v>132</v>
      </c>
      <c r="B256" s="0" t="s">
        <v>202</v>
      </c>
      <c r="C256" s="17" t="n">
        <f aca="false">IF(SQRT((Coordenadas!$C$85-Coordenadas!$C$153)^2+(Coordenadas!$D$85-Coordenadas!$D$153)^2)&lt;=LEEME!$B$20,EXP(-LEEME!$B$19*SQRT((Coordenadas!$C$85-Coordenadas!$C$153)^2+(Coordenadas!$D$85-Coordenadas!$D$153)^2)),0)</f>
        <v>0.581967352783877</v>
      </c>
    </row>
    <row r="257" customFormat="false" ht="15" hidden="false" customHeight="false" outlineLevel="0" collapsed="false">
      <c r="A257" s="0" t="s">
        <v>133</v>
      </c>
      <c r="B257" s="0" t="s">
        <v>194</v>
      </c>
      <c r="C257" s="17" t="n">
        <f aca="false">IF(SQRT((Coordenadas!$C$86-Coordenadas!$C$145)^2+(Coordenadas!$D$86-Coordenadas!$D$145)^2)&lt;=LEEME!$B$20,EXP(-LEEME!$B$19*SQRT((Coordenadas!$C$86-Coordenadas!$C$145)^2+(Coordenadas!$D$86-Coordenadas!$D$145)^2)),0)</f>
        <v>0.792944414380852</v>
      </c>
    </row>
    <row r="258" customFormat="false" ht="15" hidden="false" customHeight="false" outlineLevel="0" collapsed="false">
      <c r="A258" s="0" t="s">
        <v>133</v>
      </c>
      <c r="B258" s="0" t="s">
        <v>205</v>
      </c>
      <c r="C258" s="17" t="n">
        <f aca="false">IF(SQRT((Coordenadas!$C$86-Coordenadas!$C$156)^2+(Coordenadas!$D$86-Coordenadas!$D$156)^2)&lt;=LEEME!$B$20,EXP(-LEEME!$B$19*SQRT((Coordenadas!$C$86-Coordenadas!$C$156)^2+(Coordenadas!$D$86-Coordenadas!$D$156)^2)),0)</f>
        <v>0.529560285691623</v>
      </c>
    </row>
    <row r="259" customFormat="false" ht="15" hidden="false" customHeight="false" outlineLevel="0" collapsed="false">
      <c r="A259" s="0" t="s">
        <v>134</v>
      </c>
      <c r="B259" s="0" t="s">
        <v>194</v>
      </c>
      <c r="C259" s="17" t="n">
        <f aca="false">IF(SQRT((Coordenadas!$C$87-Coordenadas!$C$145)^2+(Coordenadas!$D$87-Coordenadas!$D$145)^2)&lt;=LEEME!$B$20,EXP(-LEEME!$B$19*SQRT((Coordenadas!$C$87-Coordenadas!$C$145)^2+(Coordenadas!$D$87-Coordenadas!$D$145)^2)),0)</f>
        <v>0.51167039413042</v>
      </c>
    </row>
    <row r="260" customFormat="false" ht="15" hidden="false" customHeight="false" outlineLevel="0" collapsed="false">
      <c r="A260" s="0" t="s">
        <v>134</v>
      </c>
      <c r="B260" s="0" t="s">
        <v>202</v>
      </c>
      <c r="C260" s="17" t="n">
        <f aca="false">IF(SQRT((Coordenadas!$C$87-Coordenadas!$C$153)^2+(Coordenadas!$D$87-Coordenadas!$D$153)^2)&lt;=LEEME!$B$20,EXP(-LEEME!$B$19*SQRT((Coordenadas!$C$87-Coordenadas!$C$153)^2+(Coordenadas!$D$87-Coordenadas!$D$153)^2)),0)</f>
        <v>0.441826319111288</v>
      </c>
    </row>
    <row r="261" customFormat="false" ht="15" hidden="false" customHeight="false" outlineLevel="0" collapsed="false">
      <c r="A261" s="0" t="s">
        <v>134</v>
      </c>
      <c r="B261" s="0" t="s">
        <v>205</v>
      </c>
      <c r="C261" s="17" t="n">
        <f aca="false">IF(SQRT((Coordenadas!$C$87-Coordenadas!$C$156)^2+(Coordenadas!$D$87-Coordenadas!$D$156)^2)&lt;=LEEME!$B$20,EXP(-LEEME!$B$19*SQRT((Coordenadas!$C$87-Coordenadas!$C$156)^2+(Coordenadas!$D$87-Coordenadas!$D$156)^2)),0)</f>
        <v>0.403599894650055</v>
      </c>
    </row>
    <row r="262" customFormat="false" ht="15" hidden="false" customHeight="false" outlineLevel="0" collapsed="false">
      <c r="A262" s="0" t="s">
        <v>135</v>
      </c>
      <c r="B262" s="0" t="s">
        <v>193</v>
      </c>
      <c r="C262" s="17" t="n">
        <f aca="false">IF(SQRT((Coordenadas!$C$88-Coordenadas!$C$144)^2+(Coordenadas!$D$88-Coordenadas!$D$144)^2)&lt;=LEEME!$B$20,EXP(-LEEME!$B$19*SQRT((Coordenadas!$C$88-Coordenadas!$C$144)^2+(Coordenadas!$D$88-Coordenadas!$D$144)^2)),0)</f>
        <v>0.397740917894093</v>
      </c>
    </row>
    <row r="263" customFormat="false" ht="15" hidden="false" customHeight="false" outlineLevel="0" collapsed="false">
      <c r="A263" s="0" t="s">
        <v>135</v>
      </c>
      <c r="B263" s="0" t="s">
        <v>198</v>
      </c>
      <c r="C263" s="17" t="n">
        <f aca="false">IF(SQRT((Coordenadas!$C$88-Coordenadas!$C$149)^2+(Coordenadas!$D$88-Coordenadas!$D$149)^2)&lt;=LEEME!$B$20,EXP(-LEEME!$B$19*SQRT((Coordenadas!$C$88-Coordenadas!$C$149)^2+(Coordenadas!$D$88-Coordenadas!$D$149)^2)),0)</f>
        <v>0.704688089718713</v>
      </c>
    </row>
    <row r="264" customFormat="false" ht="15" hidden="false" customHeight="false" outlineLevel="0" collapsed="false">
      <c r="A264" s="0" t="s">
        <v>135</v>
      </c>
      <c r="B264" s="0" t="s">
        <v>199</v>
      </c>
      <c r="C264" s="17" t="n">
        <f aca="false">IF(SQRT((Coordenadas!$C$88-Coordenadas!$C$150)^2+(Coordenadas!$D$88-Coordenadas!$D$150)^2)&lt;=LEEME!$B$20,EXP(-LEEME!$B$19*SQRT((Coordenadas!$C$88-Coordenadas!$C$150)^2+(Coordenadas!$D$88-Coordenadas!$D$150)^2)),0)</f>
        <v>0.550441642082808</v>
      </c>
    </row>
    <row r="265" customFormat="false" ht="15" hidden="false" customHeight="false" outlineLevel="0" collapsed="false">
      <c r="A265" s="0" t="s">
        <v>135</v>
      </c>
      <c r="B265" s="0" t="s">
        <v>203</v>
      </c>
      <c r="C265" s="17" t="n">
        <f aca="false">IF(SQRT((Coordenadas!$C$88-Coordenadas!$C$154)^2+(Coordenadas!$D$88-Coordenadas!$D$154)^2)&lt;=LEEME!$B$20,EXP(-LEEME!$B$19*SQRT((Coordenadas!$C$88-Coordenadas!$C$154)^2+(Coordenadas!$D$88-Coordenadas!$D$154)^2)),0)</f>
        <v>0.481834736852437</v>
      </c>
    </row>
    <row r="266" customFormat="false" ht="15" hidden="false" customHeight="false" outlineLevel="0" collapsed="false">
      <c r="A266" s="0" t="s">
        <v>135</v>
      </c>
      <c r="B266" s="0" t="s">
        <v>208</v>
      </c>
      <c r="C266" s="17" t="n">
        <f aca="false">IF(SQRT((Coordenadas!$C$88-Coordenadas!$C$159)^2+(Coordenadas!$D$88-Coordenadas!$D$159)^2)&lt;=LEEME!$B$20,EXP(-LEEME!$B$19*SQRT((Coordenadas!$C$88-Coordenadas!$C$159)^2+(Coordenadas!$D$88-Coordenadas!$D$159)^2)),0)</f>
        <v>0.452663407390228</v>
      </c>
    </row>
    <row r="267" customFormat="false" ht="15" hidden="false" customHeight="false" outlineLevel="0" collapsed="false">
      <c r="A267" s="0" t="s">
        <v>136</v>
      </c>
      <c r="B267" s="0" t="s">
        <v>193</v>
      </c>
      <c r="C267" s="17" t="n">
        <f aca="false">IF(SQRT((Coordenadas!$C$89-Coordenadas!$C$144)^2+(Coordenadas!$D$89-Coordenadas!$D$144)^2)&lt;=LEEME!$B$20,EXP(-LEEME!$B$19*SQRT((Coordenadas!$C$89-Coordenadas!$C$144)^2+(Coordenadas!$D$89-Coordenadas!$D$144)^2)),0)</f>
        <v>0.396172735243406</v>
      </c>
    </row>
    <row r="268" customFormat="false" ht="15" hidden="false" customHeight="false" outlineLevel="0" collapsed="false">
      <c r="A268" s="0" t="s">
        <v>136</v>
      </c>
      <c r="B268" s="0" t="s">
        <v>198</v>
      </c>
      <c r="C268" s="17" t="n">
        <f aca="false">IF(SQRT((Coordenadas!$C$89-Coordenadas!$C$149)^2+(Coordenadas!$D$89-Coordenadas!$D$149)^2)&lt;=LEEME!$B$20,EXP(-LEEME!$B$19*SQRT((Coordenadas!$C$89-Coordenadas!$C$149)^2+(Coordenadas!$D$89-Coordenadas!$D$149)^2)),0)</f>
        <v>0.485404633507773</v>
      </c>
    </row>
    <row r="269" customFormat="false" ht="15" hidden="false" customHeight="false" outlineLevel="0" collapsed="false">
      <c r="A269" s="0" t="s">
        <v>136</v>
      </c>
      <c r="B269" s="0" t="s">
        <v>199</v>
      </c>
      <c r="C269" s="17" t="n">
        <f aca="false">IF(SQRT((Coordenadas!$C$89-Coordenadas!$C$150)^2+(Coordenadas!$D$89-Coordenadas!$D$150)^2)&lt;=LEEME!$B$20,EXP(-LEEME!$B$19*SQRT((Coordenadas!$C$89-Coordenadas!$C$150)^2+(Coordenadas!$D$89-Coordenadas!$D$150)^2)),0)</f>
        <v>0.372866684299409</v>
      </c>
    </row>
    <row r="270" customFormat="false" ht="15" hidden="false" customHeight="false" outlineLevel="0" collapsed="false">
      <c r="A270" s="0" t="s">
        <v>136</v>
      </c>
      <c r="B270" s="0" t="s">
        <v>203</v>
      </c>
      <c r="C270" s="17" t="n">
        <f aca="false">IF(SQRT((Coordenadas!$C$89-Coordenadas!$C$154)^2+(Coordenadas!$D$89-Coordenadas!$D$154)^2)&lt;=LEEME!$B$20,EXP(-LEEME!$B$19*SQRT((Coordenadas!$C$89-Coordenadas!$C$154)^2+(Coordenadas!$D$89-Coordenadas!$D$154)^2)),0)</f>
        <v>0.792092389615619</v>
      </c>
    </row>
    <row r="271" customFormat="false" ht="15" hidden="false" customHeight="false" outlineLevel="0" collapsed="false">
      <c r="A271" s="0" t="s">
        <v>136</v>
      </c>
      <c r="B271" s="0" t="s">
        <v>208</v>
      </c>
      <c r="C271" s="17" t="n">
        <f aca="false">IF(SQRT((Coordenadas!$C$89-Coordenadas!$C$159)^2+(Coordenadas!$D$89-Coordenadas!$D$159)^2)&lt;=LEEME!$B$20,EXP(-LEEME!$B$19*SQRT((Coordenadas!$C$89-Coordenadas!$C$159)^2+(Coordenadas!$D$89-Coordenadas!$D$159)^2)),0)</f>
        <v>0.54178689711802</v>
      </c>
    </row>
    <row r="272" customFormat="false" ht="15" hidden="false" customHeight="false" outlineLevel="0" collapsed="false">
      <c r="A272" s="0" t="s">
        <v>136</v>
      </c>
      <c r="B272" s="0" t="s">
        <v>209</v>
      </c>
      <c r="C272" s="17" t="n">
        <f aca="false">IF(SQRT((Coordenadas!$C$89-Coordenadas!$C$160)^2+(Coordenadas!$D$89-Coordenadas!$D$160)^2)&lt;=LEEME!$B$20,EXP(-LEEME!$B$19*SQRT((Coordenadas!$C$89-Coordenadas!$C$160)^2+(Coordenadas!$D$89-Coordenadas!$D$160)^2)),0)</f>
        <v>0.462195437701873</v>
      </c>
    </row>
    <row r="273" customFormat="false" ht="15" hidden="false" customHeight="false" outlineLevel="0" collapsed="false">
      <c r="A273" s="0" t="s">
        <v>137</v>
      </c>
      <c r="B273" s="0" t="s">
        <v>198</v>
      </c>
      <c r="C273" s="17" t="n">
        <f aca="false">IF(SQRT((Coordenadas!$C$90-Coordenadas!$C$149)^2+(Coordenadas!$D$90-Coordenadas!$D$149)^2)&lt;=LEEME!$B$20,EXP(-LEEME!$B$19*SQRT((Coordenadas!$C$90-Coordenadas!$C$149)^2+(Coordenadas!$D$90-Coordenadas!$D$149)^2)),0)</f>
        <v>0.731155319638067</v>
      </c>
    </row>
    <row r="274" customFormat="false" ht="15" hidden="false" customHeight="false" outlineLevel="0" collapsed="false">
      <c r="A274" s="0" t="s">
        <v>137</v>
      </c>
      <c r="B274" s="0" t="s">
        <v>199</v>
      </c>
      <c r="C274" s="17" t="n">
        <f aca="false">IF(SQRT((Coordenadas!$C$90-Coordenadas!$C$150)^2+(Coordenadas!$D$90-Coordenadas!$D$150)^2)&lt;=LEEME!$B$20,EXP(-LEEME!$B$19*SQRT((Coordenadas!$C$90-Coordenadas!$C$150)^2+(Coordenadas!$D$90-Coordenadas!$D$150)^2)),0)</f>
        <v>0.593096408596488</v>
      </c>
    </row>
    <row r="275" customFormat="false" ht="15" hidden="false" customHeight="false" outlineLevel="0" collapsed="false">
      <c r="A275" s="0" t="s">
        <v>138</v>
      </c>
      <c r="B275" s="0" t="s">
        <v>193</v>
      </c>
      <c r="C275" s="17" t="n">
        <f aca="false">IF(SQRT((Coordenadas!$C$91-Coordenadas!$C$144)^2+(Coordenadas!$D$91-Coordenadas!$D$144)^2)&lt;=LEEME!$B$20,EXP(-LEEME!$B$19*SQRT((Coordenadas!$C$91-Coordenadas!$C$144)^2+(Coordenadas!$D$91-Coordenadas!$D$144)^2)),0)</f>
        <v>0.424284707104892</v>
      </c>
    </row>
    <row r="276" customFormat="false" ht="15" hidden="false" customHeight="false" outlineLevel="0" collapsed="false">
      <c r="A276" s="0" t="s">
        <v>138</v>
      </c>
      <c r="B276" s="0" t="s">
        <v>198</v>
      </c>
      <c r="C276" s="17" t="n">
        <f aca="false">IF(SQRT((Coordenadas!$C$91-Coordenadas!$C$149)^2+(Coordenadas!$D$91-Coordenadas!$D$149)^2)&lt;=LEEME!$B$20,EXP(-LEEME!$B$19*SQRT((Coordenadas!$C$91-Coordenadas!$C$149)^2+(Coordenadas!$D$91-Coordenadas!$D$149)^2)),0)</f>
        <v>0.629473532005463</v>
      </c>
    </row>
    <row r="277" customFormat="false" ht="15" hidden="false" customHeight="false" outlineLevel="0" collapsed="false">
      <c r="A277" s="0" t="s">
        <v>138</v>
      </c>
      <c r="B277" s="0" t="s">
        <v>199</v>
      </c>
      <c r="C277" s="17" t="n">
        <f aca="false">IF(SQRT((Coordenadas!$C$91-Coordenadas!$C$150)^2+(Coordenadas!$D$91-Coordenadas!$D$150)^2)&lt;=LEEME!$B$20,EXP(-LEEME!$B$19*SQRT((Coordenadas!$C$91-Coordenadas!$C$150)^2+(Coordenadas!$D$91-Coordenadas!$D$150)^2)),0)</f>
        <v>0.462983004771266</v>
      </c>
    </row>
    <row r="278" customFormat="false" ht="15" hidden="false" customHeight="false" outlineLevel="0" collapsed="false">
      <c r="A278" s="0" t="s">
        <v>138</v>
      </c>
      <c r="B278" s="0" t="s">
        <v>203</v>
      </c>
      <c r="C278" s="17" t="n">
        <f aca="false">IF(SQRT((Coordenadas!$C$91-Coordenadas!$C$154)^2+(Coordenadas!$D$91-Coordenadas!$D$154)^2)&lt;=LEEME!$B$20,EXP(-LEEME!$B$19*SQRT((Coordenadas!$C$91-Coordenadas!$C$154)^2+(Coordenadas!$D$91-Coordenadas!$D$154)^2)),0)</f>
        <v>0.59866411682785</v>
      </c>
    </row>
    <row r="279" customFormat="false" ht="15" hidden="false" customHeight="false" outlineLevel="0" collapsed="false">
      <c r="A279" s="0" t="s">
        <v>138</v>
      </c>
      <c r="B279" s="0" t="s">
        <v>208</v>
      </c>
      <c r="C279" s="17" t="n">
        <f aca="false">IF(SQRT((Coordenadas!$C$91-Coordenadas!$C$159)^2+(Coordenadas!$D$91-Coordenadas!$D$159)^2)&lt;=LEEME!$B$20,EXP(-LEEME!$B$19*SQRT((Coordenadas!$C$91-Coordenadas!$C$159)^2+(Coordenadas!$D$91-Coordenadas!$D$159)^2)),0)</f>
        <v>0.493513707422941</v>
      </c>
    </row>
    <row r="280" customFormat="false" ht="15" hidden="false" customHeight="false" outlineLevel="0" collapsed="false">
      <c r="A280" s="0" t="s">
        <v>138</v>
      </c>
      <c r="B280" s="0" t="s">
        <v>209</v>
      </c>
      <c r="C280" s="17" t="n">
        <f aca="false">IF(SQRT((Coordenadas!$C$91-Coordenadas!$C$160)^2+(Coordenadas!$D$91-Coordenadas!$D$160)^2)&lt;=LEEME!$B$20,EXP(-LEEME!$B$19*SQRT((Coordenadas!$C$91-Coordenadas!$C$160)^2+(Coordenadas!$D$91-Coordenadas!$D$160)^2)),0)</f>
        <v>0.383307146606455</v>
      </c>
    </row>
    <row r="281" customFormat="false" ht="15" hidden="false" customHeight="false" outlineLevel="0" collapsed="false">
      <c r="A281" s="0" t="s">
        <v>139</v>
      </c>
      <c r="B281" s="0" t="s">
        <v>193</v>
      </c>
      <c r="C281" s="17" t="n">
        <f aca="false">IF(SQRT((Coordenadas!$C$92-Coordenadas!$C$144)^2+(Coordenadas!$D$92-Coordenadas!$D$144)^2)&lt;=LEEME!$B$20,EXP(-LEEME!$B$19*SQRT((Coordenadas!$C$92-Coordenadas!$C$144)^2+(Coordenadas!$D$92-Coordenadas!$D$144)^2)),0)</f>
        <v>0.391957092097854</v>
      </c>
    </row>
    <row r="282" customFormat="false" ht="15" hidden="false" customHeight="false" outlineLevel="0" collapsed="false">
      <c r="A282" s="0" t="s">
        <v>139</v>
      </c>
      <c r="B282" s="0" t="s">
        <v>198</v>
      </c>
      <c r="C282" s="17" t="n">
        <f aca="false">IF(SQRT((Coordenadas!$C$92-Coordenadas!$C$149)^2+(Coordenadas!$D$92-Coordenadas!$D$149)^2)&lt;=LEEME!$B$20,EXP(-LEEME!$B$19*SQRT((Coordenadas!$C$92-Coordenadas!$C$149)^2+(Coordenadas!$D$92-Coordenadas!$D$149)^2)),0)</f>
        <v>0.752940348730725</v>
      </c>
    </row>
    <row r="283" customFormat="false" ht="15" hidden="false" customHeight="false" outlineLevel="0" collapsed="false">
      <c r="A283" s="0" t="s">
        <v>139</v>
      </c>
      <c r="B283" s="0" t="s">
        <v>199</v>
      </c>
      <c r="C283" s="17" t="n">
        <f aca="false">IF(SQRT((Coordenadas!$C$92-Coordenadas!$C$150)^2+(Coordenadas!$D$92-Coordenadas!$D$150)^2)&lt;=LEEME!$B$20,EXP(-LEEME!$B$19*SQRT((Coordenadas!$C$92-Coordenadas!$C$150)^2+(Coordenadas!$D$92-Coordenadas!$D$150)^2)),0)</f>
        <v>0.574486425291385</v>
      </c>
    </row>
    <row r="284" customFormat="false" ht="15" hidden="false" customHeight="false" outlineLevel="0" collapsed="false">
      <c r="A284" s="0" t="s">
        <v>139</v>
      </c>
      <c r="B284" s="0" t="s">
        <v>203</v>
      </c>
      <c r="C284" s="17" t="n">
        <f aca="false">IF(SQRT((Coordenadas!$C$92-Coordenadas!$C$154)^2+(Coordenadas!$D$92-Coordenadas!$D$154)^2)&lt;=LEEME!$B$20,EXP(-LEEME!$B$19*SQRT((Coordenadas!$C$92-Coordenadas!$C$154)^2+(Coordenadas!$D$92-Coordenadas!$D$154)^2)),0)</f>
        <v>0.421045468162099</v>
      </c>
    </row>
    <row r="285" customFormat="false" ht="15" hidden="false" customHeight="false" outlineLevel="0" collapsed="false">
      <c r="A285" s="0" t="s">
        <v>139</v>
      </c>
      <c r="B285" s="0" t="s">
        <v>208</v>
      </c>
      <c r="C285" s="17" t="n">
        <f aca="false">IF(SQRT((Coordenadas!$C$92-Coordenadas!$C$159)^2+(Coordenadas!$D$92-Coordenadas!$D$159)^2)&lt;=LEEME!$B$20,EXP(-LEEME!$B$19*SQRT((Coordenadas!$C$92-Coordenadas!$C$159)^2+(Coordenadas!$D$92-Coordenadas!$D$159)^2)),0)</f>
        <v>0.403199972710869</v>
      </c>
    </row>
    <row r="286" customFormat="false" ht="15" hidden="false" customHeight="false" outlineLevel="0" collapsed="false">
      <c r="A286" s="0" t="s">
        <v>140</v>
      </c>
      <c r="B286" s="0" t="s">
        <v>198</v>
      </c>
      <c r="C286" s="17" t="n">
        <f aca="false">IF(SQRT((Coordenadas!$C$93-Coordenadas!$C$149)^2+(Coordenadas!$D$93-Coordenadas!$D$149)^2)&lt;=LEEME!$B$20,EXP(-LEEME!$B$19*SQRT((Coordenadas!$C$93-Coordenadas!$C$149)^2+(Coordenadas!$D$93-Coordenadas!$D$149)^2)),0)</f>
        <v>0.443947096660068</v>
      </c>
    </row>
    <row r="287" customFormat="false" ht="15" hidden="false" customHeight="false" outlineLevel="0" collapsed="false">
      <c r="A287" s="0" t="s">
        <v>140</v>
      </c>
      <c r="B287" s="0" t="s">
        <v>199</v>
      </c>
      <c r="C287" s="17" t="n">
        <f aca="false">IF(SQRT((Coordenadas!$C$93-Coordenadas!$C$150)^2+(Coordenadas!$D$93-Coordenadas!$D$150)^2)&lt;=LEEME!$B$20,EXP(-LEEME!$B$19*SQRT((Coordenadas!$C$93-Coordenadas!$C$150)^2+(Coordenadas!$D$93-Coordenadas!$D$150)^2)),0)</f>
        <v>0.428416879577457</v>
      </c>
    </row>
    <row r="288" customFormat="false" ht="15" hidden="false" customHeight="false" outlineLevel="0" collapsed="false">
      <c r="A288" s="0" t="s">
        <v>140</v>
      </c>
      <c r="B288" s="0" t="s">
        <v>203</v>
      </c>
      <c r="C288" s="17" t="n">
        <f aca="false">IF(SQRT((Coordenadas!$C$93-Coordenadas!$C$154)^2+(Coordenadas!$D$93-Coordenadas!$D$154)^2)&lt;=LEEME!$B$20,EXP(-LEEME!$B$19*SQRT((Coordenadas!$C$93-Coordenadas!$C$154)^2+(Coordenadas!$D$93-Coordenadas!$D$154)^2)),0)</f>
        <v>0.672595856376341</v>
      </c>
    </row>
    <row r="289" customFormat="false" ht="15" hidden="false" customHeight="false" outlineLevel="0" collapsed="false">
      <c r="A289" s="0" t="s">
        <v>140</v>
      </c>
      <c r="B289" s="0" t="s">
        <v>208</v>
      </c>
      <c r="C289" s="17" t="n">
        <f aca="false">IF(SQRT((Coordenadas!$C$93-Coordenadas!$C$159)^2+(Coordenadas!$D$93-Coordenadas!$D$159)^2)&lt;=LEEME!$B$20,EXP(-LEEME!$B$19*SQRT((Coordenadas!$C$93-Coordenadas!$C$159)^2+(Coordenadas!$D$93-Coordenadas!$D$159)^2)),0)</f>
        <v>0.681981202264816</v>
      </c>
    </row>
    <row r="290" customFormat="false" ht="15" hidden="false" customHeight="false" outlineLevel="0" collapsed="false">
      <c r="A290" s="0" t="s">
        <v>140</v>
      </c>
      <c r="B290" s="0" t="s">
        <v>209</v>
      </c>
      <c r="C290" s="17" t="n">
        <f aca="false">IF(SQRT((Coordenadas!$C$93-Coordenadas!$C$160)^2+(Coordenadas!$D$93-Coordenadas!$D$160)^2)&lt;=LEEME!$B$20,EXP(-LEEME!$B$19*SQRT((Coordenadas!$C$93-Coordenadas!$C$160)^2+(Coordenadas!$D$93-Coordenadas!$D$160)^2)),0)</f>
        <v>0.37097713663875</v>
      </c>
    </row>
    <row r="291" customFormat="false" ht="15" hidden="false" customHeight="false" outlineLevel="0" collapsed="false">
      <c r="A291" s="0" t="s">
        <v>141</v>
      </c>
      <c r="B291" s="0" t="s">
        <v>198</v>
      </c>
      <c r="C291" s="17" t="n">
        <f aca="false">IF(SQRT((Coordenadas!$C$94-Coordenadas!$C$149)^2+(Coordenadas!$D$94-Coordenadas!$D$149)^2)&lt;=LEEME!$B$20,EXP(-LEEME!$B$19*SQRT((Coordenadas!$C$94-Coordenadas!$C$149)^2+(Coordenadas!$D$94-Coordenadas!$D$149)^2)),0)</f>
        <v>0.510936739650298</v>
      </c>
    </row>
    <row r="292" customFormat="false" ht="15" hidden="false" customHeight="false" outlineLevel="0" collapsed="false">
      <c r="A292" s="0" t="s">
        <v>141</v>
      </c>
      <c r="B292" s="0" t="s">
        <v>199</v>
      </c>
      <c r="C292" s="17" t="n">
        <f aca="false">IF(SQRT((Coordenadas!$C$94-Coordenadas!$C$150)^2+(Coordenadas!$D$94-Coordenadas!$D$150)^2)&lt;=LEEME!$B$20,EXP(-LEEME!$B$19*SQRT((Coordenadas!$C$94-Coordenadas!$C$150)^2+(Coordenadas!$D$94-Coordenadas!$D$150)^2)),0)</f>
        <v>0.620255164872193</v>
      </c>
    </row>
    <row r="293" customFormat="false" ht="15" hidden="false" customHeight="false" outlineLevel="0" collapsed="false">
      <c r="A293" s="0" t="s">
        <v>141</v>
      </c>
      <c r="B293" s="0" t="s">
        <v>203</v>
      </c>
      <c r="C293" s="17" t="n">
        <f aca="false">IF(SQRT((Coordenadas!$C$94-Coordenadas!$C$154)^2+(Coordenadas!$D$94-Coordenadas!$D$154)^2)&lt;=LEEME!$B$20,EXP(-LEEME!$B$19*SQRT((Coordenadas!$C$94-Coordenadas!$C$154)^2+(Coordenadas!$D$94-Coordenadas!$D$154)^2)),0)</f>
        <v>0.478277793865568</v>
      </c>
    </row>
    <row r="294" customFormat="false" ht="15" hidden="false" customHeight="false" outlineLevel="0" collapsed="false">
      <c r="A294" s="0" t="s">
        <v>141</v>
      </c>
      <c r="B294" s="0" t="s">
        <v>208</v>
      </c>
      <c r="C294" s="17" t="n">
        <f aca="false">IF(SQRT((Coordenadas!$C$94-Coordenadas!$C$159)^2+(Coordenadas!$D$94-Coordenadas!$D$159)^2)&lt;=LEEME!$B$20,EXP(-LEEME!$B$19*SQRT((Coordenadas!$C$94-Coordenadas!$C$159)^2+(Coordenadas!$D$94-Coordenadas!$D$159)^2)),0)</f>
        <v>0.597631158549301</v>
      </c>
    </row>
    <row r="295" customFormat="false" ht="15" hidden="false" customHeight="false" outlineLevel="0" collapsed="false">
      <c r="A295" s="0" t="s">
        <v>142</v>
      </c>
      <c r="B295" s="0" t="s">
        <v>198</v>
      </c>
      <c r="C295" s="17" t="n">
        <f aca="false">IF(SQRT((Coordenadas!$C$95-Coordenadas!$C$149)^2+(Coordenadas!$D$95-Coordenadas!$D$149)^2)&lt;=LEEME!$B$20,EXP(-LEEME!$B$19*SQRT((Coordenadas!$C$95-Coordenadas!$C$149)^2+(Coordenadas!$D$95-Coordenadas!$D$149)^2)),0)</f>
        <v>0.407884191652688</v>
      </c>
    </row>
    <row r="296" customFormat="false" ht="15" hidden="false" customHeight="false" outlineLevel="0" collapsed="false">
      <c r="A296" s="0" t="s">
        <v>142</v>
      </c>
      <c r="B296" s="0" t="s">
        <v>199</v>
      </c>
      <c r="C296" s="17" t="n">
        <f aca="false">IF(SQRT((Coordenadas!$C$95-Coordenadas!$C$150)^2+(Coordenadas!$D$95-Coordenadas!$D$150)^2)&lt;=LEEME!$B$20,EXP(-LEEME!$B$19*SQRT((Coordenadas!$C$95-Coordenadas!$C$150)^2+(Coordenadas!$D$95-Coordenadas!$D$150)^2)),0)</f>
        <v>0.834230371785623</v>
      </c>
    </row>
    <row r="297" customFormat="false" ht="15" hidden="false" customHeight="false" outlineLevel="0" collapsed="false">
      <c r="A297" s="0" t="s">
        <v>142</v>
      </c>
      <c r="B297" s="0" t="s">
        <v>208</v>
      </c>
      <c r="C297" s="17" t="n">
        <f aca="false">IF(SQRT((Coordenadas!$C$95-Coordenadas!$C$159)^2+(Coordenadas!$D$95-Coordenadas!$D$159)^2)&lt;=LEEME!$B$20,EXP(-LEEME!$B$19*SQRT((Coordenadas!$C$95-Coordenadas!$C$159)^2+(Coordenadas!$D$95-Coordenadas!$D$159)^2)),0)</f>
        <v>0.485094261127689</v>
      </c>
    </row>
    <row r="298" customFormat="false" ht="15" hidden="false" customHeight="false" outlineLevel="0" collapsed="false">
      <c r="A298" s="0" t="s">
        <v>143</v>
      </c>
      <c r="B298" s="0" t="s">
        <v>198</v>
      </c>
      <c r="C298" s="17" t="n">
        <f aca="false">IF(SQRT((Coordenadas!$C$96-Coordenadas!$C$149)^2+(Coordenadas!$D$96-Coordenadas!$D$149)^2)&lt;=LEEME!$B$20,EXP(-LEEME!$B$19*SQRT((Coordenadas!$C$96-Coordenadas!$C$149)^2+(Coordenadas!$D$96-Coordenadas!$D$149)^2)),0)</f>
        <v>0.377676562386101</v>
      </c>
    </row>
    <row r="299" customFormat="false" ht="15" hidden="false" customHeight="false" outlineLevel="0" collapsed="false">
      <c r="A299" s="0" t="s">
        <v>143</v>
      </c>
      <c r="B299" s="0" t="s">
        <v>199</v>
      </c>
      <c r="C299" s="17" t="n">
        <f aca="false">IF(SQRT((Coordenadas!$C$96-Coordenadas!$C$150)^2+(Coordenadas!$D$96-Coordenadas!$D$150)^2)&lt;=LEEME!$B$20,EXP(-LEEME!$B$19*SQRT((Coordenadas!$C$96-Coordenadas!$C$150)^2+(Coordenadas!$D$96-Coordenadas!$D$150)^2)),0)</f>
        <v>0.587925874289641</v>
      </c>
    </row>
    <row r="300" customFormat="false" ht="15" hidden="false" customHeight="false" outlineLevel="0" collapsed="false">
      <c r="A300" s="0" t="s">
        <v>143</v>
      </c>
      <c r="B300" s="0" t="s">
        <v>203</v>
      </c>
      <c r="C300" s="17" t="n">
        <f aca="false">IF(SQRT((Coordenadas!$C$96-Coordenadas!$C$154)^2+(Coordenadas!$D$96-Coordenadas!$D$154)^2)&lt;=LEEME!$B$20,EXP(-LEEME!$B$19*SQRT((Coordenadas!$C$96-Coordenadas!$C$154)^2+(Coordenadas!$D$96-Coordenadas!$D$154)^2)),0)</f>
        <v>0.415538530554048</v>
      </c>
    </row>
    <row r="301" customFormat="false" ht="15" hidden="false" customHeight="false" outlineLevel="0" collapsed="false">
      <c r="A301" s="0" t="s">
        <v>143</v>
      </c>
      <c r="B301" s="0" t="s">
        <v>208</v>
      </c>
      <c r="C301" s="17" t="n">
        <f aca="false">IF(SQRT((Coordenadas!$C$96-Coordenadas!$C$159)^2+(Coordenadas!$D$96-Coordenadas!$D$159)^2)&lt;=LEEME!$B$20,EXP(-LEEME!$B$19*SQRT((Coordenadas!$C$96-Coordenadas!$C$159)^2+(Coordenadas!$D$96-Coordenadas!$D$159)^2)),0)</f>
        <v>0.699820527602386</v>
      </c>
    </row>
    <row r="302" customFormat="false" ht="15" hidden="false" customHeight="false" outlineLevel="0" collapsed="false">
      <c r="A302" s="0" t="s">
        <v>144</v>
      </c>
      <c r="B302" s="0" t="s">
        <v>198</v>
      </c>
      <c r="C302" s="17" t="n">
        <f aca="false">IF(SQRT((Coordenadas!$C$97-Coordenadas!$C$149)^2+(Coordenadas!$D$97-Coordenadas!$D$149)^2)&lt;=LEEME!$B$20,EXP(-LEEME!$B$19*SQRT((Coordenadas!$C$97-Coordenadas!$C$149)^2+(Coordenadas!$D$97-Coordenadas!$D$149)^2)),0)</f>
        <v>0.581390329814852</v>
      </c>
    </row>
    <row r="303" customFormat="false" ht="15" hidden="false" customHeight="false" outlineLevel="0" collapsed="false">
      <c r="A303" s="0" t="s">
        <v>144</v>
      </c>
      <c r="B303" s="0" t="s">
        <v>199</v>
      </c>
      <c r="C303" s="17" t="n">
        <f aca="false">IF(SQRT((Coordenadas!$C$97-Coordenadas!$C$150)^2+(Coordenadas!$D$97-Coordenadas!$D$150)^2)&lt;=LEEME!$B$20,EXP(-LEEME!$B$19*SQRT((Coordenadas!$C$97-Coordenadas!$C$150)^2+(Coordenadas!$D$97-Coordenadas!$D$150)^2)),0)</f>
        <v>0.747330827105824</v>
      </c>
    </row>
    <row r="304" customFormat="false" ht="15" hidden="false" customHeight="false" outlineLevel="0" collapsed="false">
      <c r="A304" s="0" t="s">
        <v>144</v>
      </c>
      <c r="B304" s="0" t="s">
        <v>208</v>
      </c>
      <c r="C304" s="17" t="n">
        <f aca="false">IF(SQRT((Coordenadas!$C$97-Coordenadas!$C$159)^2+(Coordenadas!$D$97-Coordenadas!$D$159)^2)&lt;=LEEME!$B$20,EXP(-LEEME!$B$19*SQRT((Coordenadas!$C$97-Coordenadas!$C$159)^2+(Coordenadas!$D$97-Coordenadas!$D$159)^2)),0)</f>
        <v>0.378069696092294</v>
      </c>
    </row>
    <row r="305" customFormat="false" ht="15" hidden="false" customHeight="false" outlineLevel="0" collapsed="false">
      <c r="A305" s="0" t="s">
        <v>144</v>
      </c>
      <c r="B305" s="0" t="s">
        <v>210</v>
      </c>
      <c r="C305" s="17" t="n">
        <f aca="false">IF(SQRT((Coordenadas!$C$97-Coordenadas!$C$161)^2+(Coordenadas!$D$97-Coordenadas!$D$161)^2)&lt;=LEEME!$B$20,EXP(-LEEME!$B$19*SQRT((Coordenadas!$C$97-Coordenadas!$C$161)^2+(Coordenadas!$D$97-Coordenadas!$D$161)^2)),0)</f>
        <v>0.39133039738921</v>
      </c>
    </row>
    <row r="306" customFormat="false" ht="15" hidden="false" customHeight="false" outlineLevel="0" collapsed="false">
      <c r="A306" s="0" t="s">
        <v>145</v>
      </c>
      <c r="B306" s="0" t="s">
        <v>198</v>
      </c>
      <c r="C306" s="17" t="n">
        <f aca="false">IF(SQRT((Coordenadas!$C$98-Coordenadas!$C$149)^2+(Coordenadas!$D$98-Coordenadas!$D$149)^2)&lt;=LEEME!$B$20,EXP(-LEEME!$B$19*SQRT((Coordenadas!$C$98-Coordenadas!$C$149)^2+(Coordenadas!$D$98-Coordenadas!$D$149)^2)),0)</f>
        <v>0.543172798284875</v>
      </c>
    </row>
    <row r="307" customFormat="false" ht="15" hidden="false" customHeight="false" outlineLevel="0" collapsed="false">
      <c r="A307" s="0" t="s">
        <v>145</v>
      </c>
      <c r="B307" s="0" t="s">
        <v>199</v>
      </c>
      <c r="C307" s="17" t="n">
        <f aca="false">IF(SQRT((Coordenadas!$C$98-Coordenadas!$C$150)^2+(Coordenadas!$D$98-Coordenadas!$D$150)^2)&lt;=LEEME!$B$20,EXP(-LEEME!$B$19*SQRT((Coordenadas!$C$98-Coordenadas!$C$150)^2+(Coordenadas!$D$98-Coordenadas!$D$150)^2)),0)</f>
        <v>0.803893244148284</v>
      </c>
    </row>
    <row r="308" customFormat="false" ht="15" hidden="false" customHeight="false" outlineLevel="0" collapsed="false">
      <c r="A308" s="0" t="s">
        <v>145</v>
      </c>
      <c r="B308" s="0" t="s">
        <v>208</v>
      </c>
      <c r="C308" s="17" t="n">
        <f aca="false">IF(SQRT((Coordenadas!$C$98-Coordenadas!$C$159)^2+(Coordenadas!$D$98-Coordenadas!$D$159)^2)&lt;=LEEME!$B$20,EXP(-LEEME!$B$19*SQRT((Coordenadas!$C$98-Coordenadas!$C$159)^2+(Coordenadas!$D$98-Coordenadas!$D$159)^2)),0)</f>
        <v>0.439220146081364</v>
      </c>
    </row>
    <row r="309" customFormat="false" ht="15" hidden="false" customHeight="false" outlineLevel="0" collapsed="false">
      <c r="A309" s="0" t="s">
        <v>146</v>
      </c>
      <c r="B309" s="0" t="s">
        <v>199</v>
      </c>
      <c r="C309" s="17" t="n">
        <f aca="false">IF(SQRT((Coordenadas!$C$99-Coordenadas!$C$150)^2+(Coordenadas!$D$99-Coordenadas!$D$150)^2)&lt;=LEEME!$B$20,EXP(-LEEME!$B$19*SQRT((Coordenadas!$C$99-Coordenadas!$C$150)^2+(Coordenadas!$D$99-Coordenadas!$D$150)^2)),0)</f>
        <v>0.770459571395374</v>
      </c>
    </row>
    <row r="310" customFormat="false" ht="15" hidden="false" customHeight="false" outlineLevel="0" collapsed="false">
      <c r="A310" s="0" t="s">
        <v>146</v>
      </c>
      <c r="B310" s="0" t="s">
        <v>208</v>
      </c>
      <c r="C310" s="17" t="n">
        <f aca="false">IF(SQRT((Coordenadas!$C$99-Coordenadas!$C$159)^2+(Coordenadas!$D$99-Coordenadas!$D$159)^2)&lt;=LEEME!$B$20,EXP(-LEEME!$B$19*SQRT((Coordenadas!$C$99-Coordenadas!$C$159)^2+(Coordenadas!$D$99-Coordenadas!$D$159)^2)),0)</f>
        <v>0.387858755642255</v>
      </c>
    </row>
    <row r="311" customFormat="false" ht="15" hidden="false" customHeight="false" outlineLevel="0" collapsed="false">
      <c r="A311" s="0" t="s">
        <v>146</v>
      </c>
      <c r="B311" s="0" t="s">
        <v>210</v>
      </c>
      <c r="C311" s="17" t="n">
        <f aca="false">IF(SQRT((Coordenadas!$C$99-Coordenadas!$C$161)^2+(Coordenadas!$D$99-Coordenadas!$D$161)^2)&lt;=LEEME!$B$20,EXP(-LEEME!$B$19*SQRT((Coordenadas!$C$99-Coordenadas!$C$161)^2+(Coordenadas!$D$99-Coordenadas!$D$161)^2)),0)</f>
        <v>0.375004974855219</v>
      </c>
    </row>
    <row r="312" customFormat="false" ht="15" hidden="false" customHeight="false" outlineLevel="0" collapsed="false">
      <c r="A312" s="0" t="s">
        <v>147</v>
      </c>
      <c r="B312" s="0" t="s">
        <v>198</v>
      </c>
      <c r="C312" s="17" t="n">
        <f aca="false">IF(SQRT((Coordenadas!$C$100-Coordenadas!$C$149)^2+(Coordenadas!$D$100-Coordenadas!$D$149)^2)&lt;=LEEME!$B$20,EXP(-LEEME!$B$19*SQRT((Coordenadas!$C$100-Coordenadas!$C$149)^2+(Coordenadas!$D$100-Coordenadas!$D$149)^2)),0)</f>
        <v>0.410189137662086</v>
      </c>
    </row>
    <row r="313" customFormat="false" ht="15" hidden="false" customHeight="false" outlineLevel="0" collapsed="false">
      <c r="A313" s="0" t="s">
        <v>147</v>
      </c>
      <c r="B313" s="0" t="s">
        <v>199</v>
      </c>
      <c r="C313" s="17" t="n">
        <f aca="false">IF(SQRT((Coordenadas!$C$100-Coordenadas!$C$150)^2+(Coordenadas!$D$100-Coordenadas!$D$150)^2)&lt;=LEEME!$B$20,EXP(-LEEME!$B$19*SQRT((Coordenadas!$C$100-Coordenadas!$C$150)^2+(Coordenadas!$D$100-Coordenadas!$D$150)^2)),0)</f>
        <v>0.9271279196819</v>
      </c>
    </row>
    <row r="314" customFormat="false" ht="15" hidden="false" customHeight="false" outlineLevel="0" collapsed="false">
      <c r="A314" s="0" t="s">
        <v>147</v>
      </c>
      <c r="B314" s="0" t="s">
        <v>208</v>
      </c>
      <c r="C314" s="17" t="n">
        <f aca="false">IF(SQRT((Coordenadas!$C$100-Coordenadas!$C$159)^2+(Coordenadas!$D$100-Coordenadas!$D$159)^2)&lt;=LEEME!$B$20,EXP(-LEEME!$B$19*SQRT((Coordenadas!$C$100-Coordenadas!$C$159)^2+(Coordenadas!$D$100-Coordenadas!$D$159)^2)),0)</f>
        <v>0.416059728569264</v>
      </c>
    </row>
    <row r="315" customFormat="false" ht="15" hidden="false" customHeight="false" outlineLevel="0" collapsed="false">
      <c r="A315" s="0" t="s">
        <v>147</v>
      </c>
      <c r="B315" s="0" t="s">
        <v>210</v>
      </c>
      <c r="C315" s="17" t="n">
        <f aca="false">IF(SQRT((Coordenadas!$C$100-Coordenadas!$C$161)^2+(Coordenadas!$D$100-Coordenadas!$D$161)^2)&lt;=LEEME!$B$20,EXP(-LEEME!$B$19*SQRT((Coordenadas!$C$100-Coordenadas!$C$161)^2+(Coordenadas!$D$100-Coordenadas!$D$161)^2)),0)</f>
        <v>0.377327805196668</v>
      </c>
    </row>
    <row r="316" customFormat="false" ht="15" hidden="false" customHeight="false" outlineLevel="0" collapsed="false">
      <c r="A316" s="0" t="s">
        <v>148</v>
      </c>
      <c r="B316" s="0" t="s">
        <v>193</v>
      </c>
      <c r="C316" s="17" t="n">
        <f aca="false">IF(SQRT((Coordenadas!$C$101-Coordenadas!$C$144)^2+(Coordenadas!$D$101-Coordenadas!$D$144)^2)&lt;=LEEME!$B$20,EXP(-LEEME!$B$19*SQRT((Coordenadas!$C$101-Coordenadas!$C$144)^2+(Coordenadas!$D$101-Coordenadas!$D$144)^2)),0)</f>
        <v>0.902056934484507</v>
      </c>
    </row>
    <row r="317" customFormat="false" ht="15" hidden="false" customHeight="false" outlineLevel="0" collapsed="false">
      <c r="A317" s="0" t="s">
        <v>148</v>
      </c>
      <c r="B317" s="0" t="s">
        <v>198</v>
      </c>
      <c r="C317" s="17" t="n">
        <f aca="false">IF(SQRT((Coordenadas!$C$101-Coordenadas!$C$149)^2+(Coordenadas!$D$101-Coordenadas!$D$149)^2)&lt;=LEEME!$B$20,EXP(-LEEME!$B$19*SQRT((Coordenadas!$C$101-Coordenadas!$C$149)^2+(Coordenadas!$D$101-Coordenadas!$D$149)^2)),0)</f>
        <v>0.495444572346112</v>
      </c>
    </row>
    <row r="318" customFormat="false" ht="15" hidden="false" customHeight="false" outlineLevel="0" collapsed="false">
      <c r="A318" s="0" t="s">
        <v>148</v>
      </c>
      <c r="B318" s="0" t="s">
        <v>203</v>
      </c>
      <c r="C318" s="17" t="n">
        <f aca="false">IF(SQRT((Coordenadas!$C$101-Coordenadas!$C$154)^2+(Coordenadas!$D$101-Coordenadas!$D$154)^2)&lt;=LEEME!$B$20,EXP(-LEEME!$B$19*SQRT((Coordenadas!$C$101-Coordenadas!$C$154)^2+(Coordenadas!$D$101-Coordenadas!$D$154)^2)),0)</f>
        <v>0.413795604198002</v>
      </c>
    </row>
    <row r="319" customFormat="false" ht="15" hidden="false" customHeight="false" outlineLevel="0" collapsed="false">
      <c r="A319" s="0" t="s">
        <v>148</v>
      </c>
      <c r="B319" s="0" t="s">
        <v>204</v>
      </c>
      <c r="C319" s="17" t="n">
        <f aca="false">IF(SQRT((Coordenadas!$C$101-Coordenadas!$C$155)^2+(Coordenadas!$D$101-Coordenadas!$D$155)^2)&lt;=LEEME!$B$20,EXP(-LEEME!$B$19*SQRT((Coordenadas!$C$101-Coordenadas!$C$155)^2+(Coordenadas!$D$101-Coordenadas!$D$155)^2)),0)</f>
        <v>0.394781882298378</v>
      </c>
    </row>
    <row r="320" customFormat="false" ht="15" hidden="false" customHeight="false" outlineLevel="0" collapsed="false">
      <c r="A320" s="0" t="s">
        <v>148</v>
      </c>
      <c r="B320" s="0" t="s">
        <v>209</v>
      </c>
      <c r="C320" s="17" t="n">
        <f aca="false">IF(SQRT((Coordenadas!$C$101-Coordenadas!$C$160)^2+(Coordenadas!$D$101-Coordenadas!$D$160)^2)&lt;=LEEME!$B$20,EXP(-LEEME!$B$19*SQRT((Coordenadas!$C$101-Coordenadas!$C$160)^2+(Coordenadas!$D$101-Coordenadas!$D$160)^2)),0)</f>
        <v>0.49306869139524</v>
      </c>
    </row>
    <row r="321" customFormat="false" ht="15" hidden="false" customHeight="false" outlineLevel="0" collapsed="false">
      <c r="A321" s="0" t="s">
        <v>148</v>
      </c>
      <c r="B321" s="0" t="s">
        <v>211</v>
      </c>
      <c r="C321" s="17" t="n">
        <f aca="false">IF(SQRT((Coordenadas!$C$101-Coordenadas!$C$162)^2+(Coordenadas!$D$101-Coordenadas!$D$162)^2)&lt;=LEEME!$B$20,EXP(-LEEME!$B$19*SQRT((Coordenadas!$C$101-Coordenadas!$C$162)^2+(Coordenadas!$D$101-Coordenadas!$D$162)^2)),0)</f>
        <v>0.426680900679435</v>
      </c>
    </row>
    <row r="322" customFormat="false" ht="15" hidden="false" customHeight="false" outlineLevel="0" collapsed="false">
      <c r="A322" s="0" t="s">
        <v>148</v>
      </c>
      <c r="B322" s="0" t="s">
        <v>212</v>
      </c>
      <c r="C322" s="17" t="n">
        <f aca="false">IF(SQRT((Coordenadas!$C$101-Coordenadas!$C$163)^2+(Coordenadas!$D$101-Coordenadas!$D$163)^2)&lt;=LEEME!$B$20,EXP(-LEEME!$B$19*SQRT((Coordenadas!$C$101-Coordenadas!$C$163)^2+(Coordenadas!$D$101-Coordenadas!$D$163)^2)),0)</f>
        <v>0.699526663470321</v>
      </c>
    </row>
    <row r="323" customFormat="false" ht="15" hidden="false" customHeight="false" outlineLevel="0" collapsed="false">
      <c r="A323" s="0" t="s">
        <v>149</v>
      </c>
      <c r="B323" s="0" t="s">
        <v>193</v>
      </c>
      <c r="C323" s="17" t="n">
        <f aca="false">IF(SQRT((Coordenadas!$C$102-Coordenadas!$C$144)^2+(Coordenadas!$D$102-Coordenadas!$D$144)^2)&lt;=LEEME!$B$20,EXP(-LEEME!$B$19*SQRT((Coordenadas!$C$102-Coordenadas!$C$144)^2+(Coordenadas!$D$102-Coordenadas!$D$144)^2)),0)</f>
        <v>0.698234340553302</v>
      </c>
    </row>
    <row r="324" customFormat="false" ht="15" hidden="false" customHeight="false" outlineLevel="0" collapsed="false">
      <c r="A324" s="0" t="s">
        <v>149</v>
      </c>
      <c r="B324" s="0" t="s">
        <v>198</v>
      </c>
      <c r="C324" s="17" t="n">
        <f aca="false">IF(SQRT((Coordenadas!$C$102-Coordenadas!$C$149)^2+(Coordenadas!$D$102-Coordenadas!$D$149)^2)&lt;=LEEME!$B$20,EXP(-LEEME!$B$19*SQRT((Coordenadas!$C$102-Coordenadas!$C$149)^2+(Coordenadas!$D$102-Coordenadas!$D$149)^2)),0)</f>
        <v>0.54222937124057</v>
      </c>
    </row>
    <row r="325" customFormat="false" ht="15" hidden="false" customHeight="false" outlineLevel="0" collapsed="false">
      <c r="A325" s="0" t="s">
        <v>149</v>
      </c>
      <c r="B325" s="0" t="s">
        <v>203</v>
      </c>
      <c r="C325" s="17" t="n">
        <f aca="false">IF(SQRT((Coordenadas!$C$102-Coordenadas!$C$154)^2+(Coordenadas!$D$102-Coordenadas!$D$154)^2)&lt;=LEEME!$B$20,EXP(-LEEME!$B$19*SQRT((Coordenadas!$C$102-Coordenadas!$C$154)^2+(Coordenadas!$D$102-Coordenadas!$D$154)^2)),0)</f>
        <v>0.540344415712868</v>
      </c>
    </row>
    <row r="326" customFormat="false" ht="15" hidden="false" customHeight="false" outlineLevel="0" collapsed="false">
      <c r="A326" s="0" t="s">
        <v>149</v>
      </c>
      <c r="B326" s="0" t="s">
        <v>209</v>
      </c>
      <c r="C326" s="17" t="n">
        <f aca="false">IF(SQRT((Coordenadas!$C$102-Coordenadas!$C$160)^2+(Coordenadas!$D$102-Coordenadas!$D$160)^2)&lt;=LEEME!$B$20,EXP(-LEEME!$B$19*SQRT((Coordenadas!$C$102-Coordenadas!$C$160)^2+(Coordenadas!$D$102-Coordenadas!$D$160)^2)),0)</f>
        <v>0.556025443752866</v>
      </c>
    </row>
    <row r="327" customFormat="false" ht="15" hidden="false" customHeight="false" outlineLevel="0" collapsed="false">
      <c r="A327" s="0" t="s">
        <v>149</v>
      </c>
      <c r="B327" s="0" t="s">
        <v>212</v>
      </c>
      <c r="C327" s="17" t="n">
        <f aca="false">IF(SQRT((Coordenadas!$C$102-Coordenadas!$C$163)^2+(Coordenadas!$D$102-Coordenadas!$D$163)^2)&lt;=LEEME!$B$20,EXP(-LEEME!$B$19*SQRT((Coordenadas!$C$102-Coordenadas!$C$163)^2+(Coordenadas!$D$102-Coordenadas!$D$163)^2)),0)</f>
        <v>0.559705388785609</v>
      </c>
    </row>
    <row r="328" customFormat="false" ht="15" hidden="false" customHeight="false" outlineLevel="0" collapsed="false">
      <c r="A328" s="0" t="s">
        <v>150</v>
      </c>
      <c r="B328" s="0" t="s">
        <v>193</v>
      </c>
      <c r="C328" s="17" t="n">
        <f aca="false">IF(SQRT((Coordenadas!$C$103-Coordenadas!$C$144)^2+(Coordenadas!$D$103-Coordenadas!$D$144)^2)&lt;=LEEME!$B$20,EXP(-LEEME!$B$19*SQRT((Coordenadas!$C$103-Coordenadas!$C$144)^2+(Coordenadas!$D$103-Coordenadas!$D$144)^2)),0)</f>
        <v>0.551759646855152</v>
      </c>
    </row>
    <row r="329" customFormat="false" ht="15" hidden="false" customHeight="false" outlineLevel="0" collapsed="false">
      <c r="A329" s="0" t="s">
        <v>150</v>
      </c>
      <c r="B329" s="0" t="s">
        <v>198</v>
      </c>
      <c r="C329" s="17" t="n">
        <f aca="false">IF(SQRT((Coordenadas!$C$103-Coordenadas!$C$149)^2+(Coordenadas!$D$103-Coordenadas!$D$149)^2)&lt;=LEEME!$B$20,EXP(-LEEME!$B$19*SQRT((Coordenadas!$C$103-Coordenadas!$C$149)^2+(Coordenadas!$D$103-Coordenadas!$D$149)^2)),0)</f>
        <v>0.620791564919129</v>
      </c>
    </row>
    <row r="330" customFormat="false" ht="15" hidden="false" customHeight="false" outlineLevel="0" collapsed="false">
      <c r="A330" s="0" t="s">
        <v>150</v>
      </c>
      <c r="B330" s="0" t="s">
        <v>203</v>
      </c>
      <c r="C330" s="17" t="n">
        <f aca="false">IF(SQRT((Coordenadas!$C$103-Coordenadas!$C$154)^2+(Coordenadas!$D$103-Coordenadas!$D$154)^2)&lt;=LEEME!$B$20,EXP(-LEEME!$B$19*SQRT((Coordenadas!$C$103-Coordenadas!$C$154)^2+(Coordenadas!$D$103-Coordenadas!$D$154)^2)),0)</f>
        <v>0.621035858488495</v>
      </c>
    </row>
    <row r="331" customFormat="false" ht="15" hidden="false" customHeight="false" outlineLevel="0" collapsed="false">
      <c r="A331" s="0" t="s">
        <v>150</v>
      </c>
      <c r="B331" s="0" t="s">
        <v>208</v>
      </c>
      <c r="C331" s="17" t="n">
        <f aca="false">IF(SQRT((Coordenadas!$C$103-Coordenadas!$C$159)^2+(Coordenadas!$D$103-Coordenadas!$D$159)^2)&lt;=LEEME!$B$20,EXP(-LEEME!$B$19*SQRT((Coordenadas!$C$103-Coordenadas!$C$159)^2+(Coordenadas!$D$103-Coordenadas!$D$159)^2)),0)</f>
        <v>0.394399981446335</v>
      </c>
    </row>
    <row r="332" customFormat="false" ht="15" hidden="false" customHeight="false" outlineLevel="0" collapsed="false">
      <c r="A332" s="0" t="s">
        <v>150</v>
      </c>
      <c r="B332" s="0" t="s">
        <v>209</v>
      </c>
      <c r="C332" s="17" t="n">
        <f aca="false">IF(SQRT((Coordenadas!$C$103-Coordenadas!$C$160)^2+(Coordenadas!$D$103-Coordenadas!$D$160)^2)&lt;=LEEME!$B$20,EXP(-LEEME!$B$19*SQRT((Coordenadas!$C$103-Coordenadas!$C$160)^2+(Coordenadas!$D$103-Coordenadas!$D$160)^2)),0)</f>
        <v>0.482727570044187</v>
      </c>
    </row>
    <row r="333" customFormat="false" ht="15" hidden="false" customHeight="false" outlineLevel="0" collapsed="false">
      <c r="A333" s="0" t="s">
        <v>150</v>
      </c>
      <c r="B333" s="0" t="s">
        <v>212</v>
      </c>
      <c r="C333" s="17" t="n">
        <f aca="false">IF(SQRT((Coordenadas!$C$103-Coordenadas!$C$163)^2+(Coordenadas!$D$103-Coordenadas!$D$163)^2)&lt;=LEEME!$B$20,EXP(-LEEME!$B$19*SQRT((Coordenadas!$C$103-Coordenadas!$C$163)^2+(Coordenadas!$D$103-Coordenadas!$D$163)^2)),0)</f>
        <v>0.42315593180276</v>
      </c>
    </row>
    <row r="334" customFormat="false" ht="15" hidden="false" customHeight="false" outlineLevel="0" collapsed="false">
      <c r="A334" s="0" t="s">
        <v>151</v>
      </c>
      <c r="B334" s="0" t="s">
        <v>195</v>
      </c>
      <c r="C334" s="17" t="n">
        <f aca="false">IF(SQRT((Coordenadas!$C$104-Coordenadas!$C$146)^2+(Coordenadas!$D$104-Coordenadas!$D$146)^2)&lt;=LEEME!$B$20,EXP(-LEEME!$B$19*SQRT((Coordenadas!$C$104-Coordenadas!$C$146)^2+(Coordenadas!$D$104-Coordenadas!$D$146)^2)),0)</f>
        <v>0.814200972971465</v>
      </c>
    </row>
    <row r="335" customFormat="false" ht="15" hidden="false" customHeight="false" outlineLevel="0" collapsed="false">
      <c r="A335" s="0" t="s">
        <v>151</v>
      </c>
      <c r="B335" s="0" t="s">
        <v>202</v>
      </c>
      <c r="C335" s="17" t="n">
        <f aca="false">IF(SQRT((Coordenadas!$C$104-Coordenadas!$C$153)^2+(Coordenadas!$D$104-Coordenadas!$D$153)^2)&lt;=LEEME!$B$20,EXP(-LEEME!$B$19*SQRT((Coordenadas!$C$104-Coordenadas!$C$153)^2+(Coordenadas!$D$104-Coordenadas!$D$153)^2)),0)</f>
        <v>0.369111352607377</v>
      </c>
    </row>
    <row r="336" customFormat="false" ht="15" hidden="false" customHeight="false" outlineLevel="0" collapsed="false">
      <c r="A336" s="0" t="s">
        <v>152</v>
      </c>
      <c r="B336" s="0" t="s">
        <v>195</v>
      </c>
      <c r="C336" s="17" t="n">
        <f aca="false">IF(SQRT((Coordenadas!$C$105-Coordenadas!$C$146)^2+(Coordenadas!$D$105-Coordenadas!$D$146)^2)&lt;=LEEME!$B$20,EXP(-LEEME!$B$19*SQRT((Coordenadas!$C$105-Coordenadas!$C$146)^2+(Coordenadas!$D$105-Coordenadas!$D$146)^2)),0)</f>
        <v>0.550995562826877</v>
      </c>
    </row>
    <row r="337" customFormat="false" ht="15" hidden="false" customHeight="false" outlineLevel="0" collapsed="false">
      <c r="A337" s="0" t="s">
        <v>152</v>
      </c>
      <c r="B337" s="0" t="s">
        <v>202</v>
      </c>
      <c r="C337" s="17" t="n">
        <f aca="false">IF(SQRT((Coordenadas!$C$105-Coordenadas!$C$153)^2+(Coordenadas!$D$105-Coordenadas!$D$153)^2)&lt;=LEEME!$B$20,EXP(-LEEME!$B$19*SQRT((Coordenadas!$C$105-Coordenadas!$C$153)^2+(Coordenadas!$D$105-Coordenadas!$D$153)^2)),0)</f>
        <v>0.745544140555237</v>
      </c>
    </row>
    <row r="338" customFormat="false" ht="15" hidden="false" customHeight="false" outlineLevel="0" collapsed="false">
      <c r="A338" s="0" t="s">
        <v>152</v>
      </c>
      <c r="B338" s="0" t="s">
        <v>204</v>
      </c>
      <c r="C338" s="17" t="n">
        <f aca="false">IF(SQRT((Coordenadas!$C$105-Coordenadas!$C$155)^2+(Coordenadas!$D$105-Coordenadas!$D$155)^2)&lt;=LEEME!$B$20,EXP(-LEEME!$B$19*SQRT((Coordenadas!$C$105-Coordenadas!$C$155)^2+(Coordenadas!$D$105-Coordenadas!$D$155)^2)),0)</f>
        <v>0.498653002804378</v>
      </c>
    </row>
    <row r="339" customFormat="false" ht="15" hidden="false" customHeight="false" outlineLevel="0" collapsed="false">
      <c r="A339" s="0" t="s">
        <v>152</v>
      </c>
      <c r="B339" s="0" t="s">
        <v>206</v>
      </c>
      <c r="C339" s="17" t="n">
        <f aca="false">IF(SQRT((Coordenadas!$C$105-Coordenadas!$C$157)^2+(Coordenadas!$D$105-Coordenadas!$D$157)^2)&lt;=LEEME!$B$20,EXP(-LEEME!$B$19*SQRT((Coordenadas!$C$105-Coordenadas!$C$157)^2+(Coordenadas!$D$105-Coordenadas!$D$157)^2)),0)</f>
        <v>0.382887900456927</v>
      </c>
    </row>
    <row r="340" customFormat="false" ht="15" hidden="false" customHeight="false" outlineLevel="0" collapsed="false">
      <c r="A340" s="0" t="s">
        <v>153</v>
      </c>
      <c r="B340" s="0" t="s">
        <v>195</v>
      </c>
      <c r="C340" s="17" t="n">
        <f aca="false">IF(SQRT((Coordenadas!$C$106-Coordenadas!$C$146)^2+(Coordenadas!$D$106-Coordenadas!$D$146)^2)&lt;=LEEME!$B$20,EXP(-LEEME!$B$19*SQRT((Coordenadas!$C$106-Coordenadas!$C$146)^2+(Coordenadas!$D$106-Coordenadas!$D$146)^2)),0)</f>
        <v>0.45332126068741</v>
      </c>
    </row>
    <row r="341" customFormat="false" ht="15" hidden="false" customHeight="false" outlineLevel="0" collapsed="false">
      <c r="A341" s="0" t="s">
        <v>153</v>
      </c>
      <c r="B341" s="0" t="s">
        <v>202</v>
      </c>
      <c r="C341" s="17" t="n">
        <f aca="false">IF(SQRT((Coordenadas!$C$106-Coordenadas!$C$153)^2+(Coordenadas!$D$106-Coordenadas!$D$153)^2)&lt;=LEEME!$B$20,EXP(-LEEME!$B$19*SQRT((Coordenadas!$C$106-Coordenadas!$C$153)^2+(Coordenadas!$D$106-Coordenadas!$D$153)^2)),0)</f>
        <v>0.613033138363592</v>
      </c>
    </row>
    <row r="342" customFormat="false" ht="15" hidden="false" customHeight="false" outlineLevel="0" collapsed="false">
      <c r="A342" s="0" t="s">
        <v>153</v>
      </c>
      <c r="B342" s="0" t="s">
        <v>204</v>
      </c>
      <c r="C342" s="17" t="n">
        <f aca="false">IF(SQRT((Coordenadas!$C$106-Coordenadas!$C$155)^2+(Coordenadas!$D$106-Coordenadas!$D$155)^2)&lt;=LEEME!$B$20,EXP(-LEEME!$B$19*SQRT((Coordenadas!$C$106-Coordenadas!$C$155)^2+(Coordenadas!$D$106-Coordenadas!$D$155)^2)),0)</f>
        <v>0.620970684412566</v>
      </c>
    </row>
    <row r="343" customFormat="false" ht="15" hidden="false" customHeight="false" outlineLevel="0" collapsed="false">
      <c r="A343" s="0" t="s">
        <v>153</v>
      </c>
      <c r="B343" s="0" t="s">
        <v>206</v>
      </c>
      <c r="C343" s="17" t="n">
        <f aca="false">IF(SQRT((Coordenadas!$C$106-Coordenadas!$C$157)^2+(Coordenadas!$D$106-Coordenadas!$D$157)^2)&lt;=LEEME!$B$20,EXP(-LEEME!$B$19*SQRT((Coordenadas!$C$106-Coordenadas!$C$157)^2+(Coordenadas!$D$106-Coordenadas!$D$157)^2)),0)</f>
        <v>0.501812455039642</v>
      </c>
    </row>
    <row r="344" customFormat="false" ht="15" hidden="false" customHeight="false" outlineLevel="0" collapsed="false">
      <c r="A344" s="0" t="s">
        <v>153</v>
      </c>
      <c r="B344" s="0" t="s">
        <v>212</v>
      </c>
      <c r="C344" s="17" t="n">
        <f aca="false">IF(SQRT((Coordenadas!$C$106-Coordenadas!$C$163)^2+(Coordenadas!$D$106-Coordenadas!$D$163)^2)&lt;=LEEME!$B$20,EXP(-LEEME!$B$19*SQRT((Coordenadas!$C$106-Coordenadas!$C$163)^2+(Coordenadas!$D$106-Coordenadas!$D$163)^2)),0)</f>
        <v>0.378546450319712</v>
      </c>
    </row>
    <row r="345" customFormat="false" ht="15" hidden="false" customHeight="false" outlineLevel="0" collapsed="false">
      <c r="A345" s="0" t="s">
        <v>154</v>
      </c>
      <c r="B345" s="0" t="s">
        <v>195</v>
      </c>
      <c r="C345" s="17" t="n">
        <f aca="false">IF(SQRT((Coordenadas!$C$107-Coordenadas!$C$146)^2+(Coordenadas!$D$107-Coordenadas!$D$146)^2)&lt;=LEEME!$B$20,EXP(-LEEME!$B$19*SQRT((Coordenadas!$C$107-Coordenadas!$C$146)^2+(Coordenadas!$D$107-Coordenadas!$D$146)^2)),0)</f>
        <v>0.745290434264606</v>
      </c>
    </row>
    <row r="346" customFormat="false" ht="15" hidden="false" customHeight="false" outlineLevel="0" collapsed="false">
      <c r="A346" s="0" t="s">
        <v>154</v>
      </c>
      <c r="B346" s="0" t="s">
        <v>204</v>
      </c>
      <c r="C346" s="17" t="n">
        <f aca="false">IF(SQRT((Coordenadas!$C$107-Coordenadas!$C$155)^2+(Coordenadas!$D$107-Coordenadas!$D$155)^2)&lt;=LEEME!$B$20,EXP(-LEEME!$B$19*SQRT((Coordenadas!$C$107-Coordenadas!$C$155)^2+(Coordenadas!$D$107-Coordenadas!$D$155)^2)),0)</f>
        <v>0.421831933099474</v>
      </c>
    </row>
    <row r="347" customFormat="false" ht="15" hidden="false" customHeight="false" outlineLevel="0" collapsed="false">
      <c r="A347" s="0" t="s">
        <v>154</v>
      </c>
      <c r="B347" s="0" t="s">
        <v>211</v>
      </c>
      <c r="C347" s="17" t="n">
        <f aca="false">IF(SQRT((Coordenadas!$C$107-Coordenadas!$C$162)^2+(Coordenadas!$D$107-Coordenadas!$D$162)^2)&lt;=LEEME!$B$20,EXP(-LEEME!$B$19*SQRT((Coordenadas!$C$107-Coordenadas!$C$162)^2+(Coordenadas!$D$107-Coordenadas!$D$162)^2)),0)</f>
        <v>0.379332344130377</v>
      </c>
    </row>
    <row r="348" customFormat="false" ht="15" hidden="false" customHeight="false" outlineLevel="0" collapsed="false">
      <c r="A348" s="0" t="s">
        <v>155</v>
      </c>
      <c r="B348" s="0" t="s">
        <v>195</v>
      </c>
      <c r="C348" s="17" t="n">
        <f aca="false">IF(SQRT((Coordenadas!$C$108-Coordenadas!$C$146)^2+(Coordenadas!$D$108-Coordenadas!$D$146)^2)&lt;=LEEME!$B$20,EXP(-LEEME!$B$19*SQRT((Coordenadas!$C$108-Coordenadas!$C$146)^2+(Coordenadas!$D$108-Coordenadas!$D$146)^2)),0)</f>
        <v>0.859708273124989</v>
      </c>
    </row>
    <row r="349" customFormat="false" ht="15" hidden="false" customHeight="false" outlineLevel="0" collapsed="false">
      <c r="A349" s="0" t="s">
        <v>155</v>
      </c>
      <c r="B349" s="0" t="s">
        <v>202</v>
      </c>
      <c r="C349" s="17" t="n">
        <f aca="false">IF(SQRT((Coordenadas!$C$108-Coordenadas!$C$153)^2+(Coordenadas!$D$108-Coordenadas!$D$153)^2)&lt;=LEEME!$B$20,EXP(-LEEME!$B$19*SQRT((Coordenadas!$C$108-Coordenadas!$C$153)^2+(Coordenadas!$D$108-Coordenadas!$D$153)^2)),0)</f>
        <v>0.486507336982072</v>
      </c>
    </row>
    <row r="350" customFormat="false" ht="15" hidden="false" customHeight="false" outlineLevel="0" collapsed="false">
      <c r="A350" s="0" t="s">
        <v>155</v>
      </c>
      <c r="B350" s="0" t="s">
        <v>204</v>
      </c>
      <c r="C350" s="17" t="n">
        <f aca="false">IF(SQRT((Coordenadas!$C$108-Coordenadas!$C$155)^2+(Coordenadas!$D$108-Coordenadas!$D$155)^2)&lt;=LEEME!$B$20,EXP(-LEEME!$B$19*SQRT((Coordenadas!$C$108-Coordenadas!$C$155)^2+(Coordenadas!$D$108-Coordenadas!$D$155)^2)),0)</f>
        <v>0.475061142282219</v>
      </c>
    </row>
    <row r="351" customFormat="false" ht="15" hidden="false" customHeight="false" outlineLevel="0" collapsed="false">
      <c r="A351" s="0" t="s">
        <v>156</v>
      </c>
      <c r="B351" s="0" t="s">
        <v>195</v>
      </c>
      <c r="C351" s="17" t="n">
        <f aca="false">IF(SQRT((Coordenadas!$C$109-Coordenadas!$C$146)^2+(Coordenadas!$D$109-Coordenadas!$D$146)^2)&lt;=LEEME!$B$20,EXP(-LEEME!$B$19*SQRT((Coordenadas!$C$109-Coordenadas!$C$146)^2+(Coordenadas!$D$109-Coordenadas!$D$146)^2)),0)</f>
        <v>0.74823131793012</v>
      </c>
    </row>
    <row r="352" customFormat="false" ht="15" hidden="false" customHeight="false" outlineLevel="0" collapsed="false">
      <c r="A352" s="0" t="s">
        <v>156</v>
      </c>
      <c r="B352" s="0" t="s">
        <v>202</v>
      </c>
      <c r="C352" s="17" t="n">
        <f aca="false">IF(SQRT((Coordenadas!$C$109-Coordenadas!$C$153)^2+(Coordenadas!$D$109-Coordenadas!$D$153)^2)&lt;=LEEME!$B$20,EXP(-LEEME!$B$19*SQRT((Coordenadas!$C$109-Coordenadas!$C$153)^2+(Coordenadas!$D$109-Coordenadas!$D$153)^2)),0)</f>
        <v>0.472256363872402</v>
      </c>
    </row>
    <row r="353" customFormat="false" ht="15" hidden="false" customHeight="false" outlineLevel="0" collapsed="false">
      <c r="A353" s="0" t="s">
        <v>156</v>
      </c>
      <c r="B353" s="0" t="s">
        <v>204</v>
      </c>
      <c r="C353" s="17" t="n">
        <f aca="false">IF(SQRT((Coordenadas!$C$109-Coordenadas!$C$155)^2+(Coordenadas!$D$109-Coordenadas!$D$155)^2)&lt;=LEEME!$B$20,EXP(-LEEME!$B$19*SQRT((Coordenadas!$C$109-Coordenadas!$C$155)^2+(Coordenadas!$D$109-Coordenadas!$D$155)^2)),0)</f>
        <v>0.552352025026027</v>
      </c>
    </row>
    <row r="354" customFormat="false" ht="15" hidden="false" customHeight="false" outlineLevel="0" collapsed="false">
      <c r="A354" s="0" t="s">
        <v>156</v>
      </c>
      <c r="B354" s="0" t="s">
        <v>211</v>
      </c>
      <c r="C354" s="17" t="n">
        <f aca="false">IF(SQRT((Coordenadas!$C$109-Coordenadas!$C$162)^2+(Coordenadas!$D$109-Coordenadas!$D$162)^2)&lt;=LEEME!$B$20,EXP(-LEEME!$B$19*SQRT((Coordenadas!$C$109-Coordenadas!$C$162)^2+(Coordenadas!$D$109-Coordenadas!$D$162)^2)),0)</f>
        <v>0.406112811250892</v>
      </c>
    </row>
    <row r="355" customFormat="false" ht="15" hidden="false" customHeight="false" outlineLevel="0" collapsed="false">
      <c r="A355" s="0" t="s">
        <v>157</v>
      </c>
      <c r="B355" s="0" t="s">
        <v>195</v>
      </c>
      <c r="C355" s="17" t="n">
        <f aca="false">IF(SQRT((Coordenadas!$C$110-Coordenadas!$C$146)^2+(Coordenadas!$D$110-Coordenadas!$D$146)^2)&lt;=LEEME!$B$20,EXP(-LEEME!$B$19*SQRT((Coordenadas!$C$110-Coordenadas!$C$146)^2+(Coordenadas!$D$110-Coordenadas!$D$146)^2)),0)</f>
        <v>0.652695949187405</v>
      </c>
    </row>
    <row r="356" customFormat="false" ht="15" hidden="false" customHeight="false" outlineLevel="0" collapsed="false">
      <c r="A356" s="0" t="s">
        <v>157</v>
      </c>
      <c r="B356" s="0" t="s">
        <v>202</v>
      </c>
      <c r="C356" s="17" t="n">
        <f aca="false">IF(SQRT((Coordenadas!$C$110-Coordenadas!$C$153)^2+(Coordenadas!$D$110-Coordenadas!$D$153)^2)&lt;=LEEME!$B$20,EXP(-LEEME!$B$19*SQRT((Coordenadas!$C$110-Coordenadas!$C$153)^2+(Coordenadas!$D$110-Coordenadas!$D$153)^2)),0)</f>
        <v>0.391711389705438</v>
      </c>
    </row>
    <row r="357" customFormat="false" ht="15" hidden="false" customHeight="false" outlineLevel="0" collapsed="false">
      <c r="A357" s="0" t="s">
        <v>157</v>
      </c>
      <c r="B357" s="0" t="s">
        <v>204</v>
      </c>
      <c r="C357" s="17" t="n">
        <f aca="false">IF(SQRT((Coordenadas!$C$110-Coordenadas!$C$155)^2+(Coordenadas!$D$110-Coordenadas!$D$155)^2)&lt;=LEEME!$B$20,EXP(-LEEME!$B$19*SQRT((Coordenadas!$C$110-Coordenadas!$C$155)^2+(Coordenadas!$D$110-Coordenadas!$D$155)^2)),0)</f>
        <v>0.59026368071302</v>
      </c>
    </row>
    <row r="358" customFormat="false" ht="15" hidden="false" customHeight="false" outlineLevel="0" collapsed="false">
      <c r="A358" s="0" t="s">
        <v>157</v>
      </c>
      <c r="B358" s="0" t="s">
        <v>211</v>
      </c>
      <c r="C358" s="17" t="n">
        <f aca="false">IF(SQRT((Coordenadas!$C$110-Coordenadas!$C$162)^2+(Coordenadas!$D$110-Coordenadas!$D$162)^2)&lt;=LEEME!$B$20,EXP(-LEEME!$B$19*SQRT((Coordenadas!$C$110-Coordenadas!$C$162)^2+(Coordenadas!$D$110-Coordenadas!$D$162)^2)),0)</f>
        <v>0.488338669171973</v>
      </c>
    </row>
    <row r="359" customFormat="false" ht="15" hidden="false" customHeight="false" outlineLevel="0" collapsed="false">
      <c r="A359" s="0" t="s">
        <v>158</v>
      </c>
      <c r="B359" s="0" t="s">
        <v>195</v>
      </c>
      <c r="C359" s="17" t="n">
        <f aca="false">IF(SQRT((Coordenadas!$C$111-Coordenadas!$C$146)^2+(Coordenadas!$D$111-Coordenadas!$D$146)^2)&lt;=LEEME!$B$20,EXP(-LEEME!$B$19*SQRT((Coordenadas!$C$111-Coordenadas!$C$146)^2+(Coordenadas!$D$111-Coordenadas!$D$146)^2)),0)</f>
        <v>0.563734995437452</v>
      </c>
    </row>
    <row r="360" customFormat="false" ht="15" hidden="false" customHeight="false" outlineLevel="0" collapsed="false">
      <c r="A360" s="0" t="s">
        <v>158</v>
      </c>
      <c r="B360" s="0" t="s">
        <v>202</v>
      </c>
      <c r="C360" s="17" t="n">
        <f aca="false">IF(SQRT((Coordenadas!$C$111-Coordenadas!$C$153)^2+(Coordenadas!$D$111-Coordenadas!$D$153)^2)&lt;=LEEME!$B$20,EXP(-LEEME!$B$19*SQRT((Coordenadas!$C$111-Coordenadas!$C$153)^2+(Coordenadas!$D$111-Coordenadas!$D$153)^2)),0)</f>
        <v>0.529092242263563</v>
      </c>
    </row>
    <row r="361" customFormat="false" ht="15" hidden="false" customHeight="false" outlineLevel="0" collapsed="false">
      <c r="A361" s="0" t="s">
        <v>158</v>
      </c>
      <c r="B361" s="0" t="s">
        <v>204</v>
      </c>
      <c r="C361" s="17" t="n">
        <f aca="false">IF(SQRT((Coordenadas!$C$111-Coordenadas!$C$155)^2+(Coordenadas!$D$111-Coordenadas!$D$155)^2)&lt;=LEEME!$B$20,EXP(-LEEME!$B$19*SQRT((Coordenadas!$C$111-Coordenadas!$C$155)^2+(Coordenadas!$D$111-Coordenadas!$D$155)^2)),0)</f>
        <v>0.687931849244846</v>
      </c>
    </row>
    <row r="362" customFormat="false" ht="15" hidden="false" customHeight="false" outlineLevel="0" collapsed="false">
      <c r="A362" s="0" t="s">
        <v>158</v>
      </c>
      <c r="B362" s="0" t="s">
        <v>206</v>
      </c>
      <c r="C362" s="17" t="n">
        <f aca="false">IF(SQRT((Coordenadas!$C$111-Coordenadas!$C$157)^2+(Coordenadas!$D$111-Coordenadas!$D$157)^2)&lt;=LEEME!$B$20,EXP(-LEEME!$B$19*SQRT((Coordenadas!$C$111-Coordenadas!$C$157)^2+(Coordenadas!$D$111-Coordenadas!$D$157)^2)),0)</f>
        <v>0.398291760648813</v>
      </c>
    </row>
    <row r="363" customFormat="false" ht="15" hidden="false" customHeight="false" outlineLevel="0" collapsed="false">
      <c r="A363" s="0" t="s">
        <v>158</v>
      </c>
      <c r="B363" s="0" t="s">
        <v>211</v>
      </c>
      <c r="C363" s="17" t="n">
        <f aca="false">IF(SQRT((Coordenadas!$C$111-Coordenadas!$C$162)^2+(Coordenadas!$D$111-Coordenadas!$D$162)^2)&lt;=LEEME!$B$20,EXP(-LEEME!$B$19*SQRT((Coordenadas!$C$111-Coordenadas!$C$162)^2+(Coordenadas!$D$111-Coordenadas!$D$162)^2)),0)</f>
        <v>0.429557358210739</v>
      </c>
    </row>
    <row r="364" customFormat="false" ht="15" hidden="false" customHeight="false" outlineLevel="0" collapsed="false">
      <c r="A364" s="0" t="s">
        <v>159</v>
      </c>
      <c r="B364" s="0" t="s">
        <v>195</v>
      </c>
      <c r="C364" s="17" t="n">
        <f aca="false">IF(SQRT((Coordenadas!$C$112-Coordenadas!$C$146)^2+(Coordenadas!$D$112-Coordenadas!$D$146)^2)&lt;=LEEME!$B$20,EXP(-LEEME!$B$19*SQRT((Coordenadas!$C$112-Coordenadas!$C$146)^2+(Coordenadas!$D$112-Coordenadas!$D$146)^2)),0)</f>
        <v>0.825605948706767</v>
      </c>
    </row>
    <row r="365" customFormat="false" ht="15" hidden="false" customHeight="false" outlineLevel="0" collapsed="false">
      <c r="A365" s="0" t="s">
        <v>159</v>
      </c>
      <c r="B365" s="0" t="s">
        <v>202</v>
      </c>
      <c r="C365" s="17" t="n">
        <f aca="false">IF(SQRT((Coordenadas!$C$112-Coordenadas!$C$153)^2+(Coordenadas!$D$112-Coordenadas!$D$153)^2)&lt;=LEEME!$B$20,EXP(-LEEME!$B$19*SQRT((Coordenadas!$C$112-Coordenadas!$C$153)^2+(Coordenadas!$D$112-Coordenadas!$D$153)^2)),0)</f>
        <v>0.398335031306492</v>
      </c>
    </row>
    <row r="366" customFormat="false" ht="15" hidden="false" customHeight="false" outlineLevel="0" collapsed="false">
      <c r="A366" s="0" t="s">
        <v>159</v>
      </c>
      <c r="B366" s="0" t="s">
        <v>204</v>
      </c>
      <c r="C366" s="17" t="n">
        <f aca="false">IF(SQRT((Coordenadas!$C$112-Coordenadas!$C$155)^2+(Coordenadas!$D$112-Coordenadas!$D$155)^2)&lt;=LEEME!$B$20,EXP(-LEEME!$B$19*SQRT((Coordenadas!$C$112-Coordenadas!$C$155)^2+(Coordenadas!$D$112-Coordenadas!$D$155)^2)),0)</f>
        <v>0.461001229044728</v>
      </c>
    </row>
    <row r="367" customFormat="false" ht="15" hidden="false" customHeight="false" outlineLevel="0" collapsed="false">
      <c r="A367" s="0" t="s">
        <v>159</v>
      </c>
      <c r="B367" s="0" t="s">
        <v>211</v>
      </c>
      <c r="C367" s="17" t="n">
        <f aca="false">IF(SQRT((Coordenadas!$C$112-Coordenadas!$C$162)^2+(Coordenadas!$D$112-Coordenadas!$D$162)^2)&lt;=LEEME!$B$20,EXP(-LEEME!$B$19*SQRT((Coordenadas!$C$112-Coordenadas!$C$162)^2+(Coordenadas!$D$112-Coordenadas!$D$162)^2)),0)</f>
        <v>0.380608514041871</v>
      </c>
    </row>
    <row r="368" customFormat="false" ht="15" hidden="false" customHeight="false" outlineLevel="0" collapsed="false">
      <c r="A368" s="0" t="s">
        <v>160</v>
      </c>
      <c r="B368" s="0" t="s">
        <v>195</v>
      </c>
      <c r="C368" s="17" t="n">
        <f aca="false">IF(SQRT((Coordenadas!$C$113-Coordenadas!$C$146)^2+(Coordenadas!$D$113-Coordenadas!$D$146)^2)&lt;=LEEME!$B$20,EXP(-LEEME!$B$19*SQRT((Coordenadas!$C$113-Coordenadas!$C$146)^2+(Coordenadas!$D$113-Coordenadas!$D$146)^2)),0)</f>
        <v>0.754038475116677</v>
      </c>
    </row>
    <row r="369" customFormat="false" ht="15" hidden="false" customHeight="false" outlineLevel="0" collapsed="false">
      <c r="A369" s="0" t="s">
        <v>160</v>
      </c>
      <c r="B369" s="0" t="s">
        <v>202</v>
      </c>
      <c r="C369" s="17" t="n">
        <f aca="false">IF(SQRT((Coordenadas!$C$113-Coordenadas!$C$153)^2+(Coordenadas!$D$113-Coordenadas!$D$153)^2)&lt;=LEEME!$B$20,EXP(-LEEME!$B$19*SQRT((Coordenadas!$C$113-Coordenadas!$C$153)^2+(Coordenadas!$D$113-Coordenadas!$D$153)^2)),0)</f>
        <v>0.583004714565679</v>
      </c>
    </row>
    <row r="370" customFormat="false" ht="15" hidden="false" customHeight="false" outlineLevel="0" collapsed="false">
      <c r="A370" s="0" t="s">
        <v>160</v>
      </c>
      <c r="B370" s="0" t="s">
        <v>204</v>
      </c>
      <c r="C370" s="17" t="n">
        <f aca="false">IF(SQRT((Coordenadas!$C$113-Coordenadas!$C$155)^2+(Coordenadas!$D$113-Coordenadas!$D$155)^2)&lt;=LEEME!$B$20,EXP(-LEEME!$B$19*SQRT((Coordenadas!$C$113-Coordenadas!$C$155)^2+(Coordenadas!$D$113-Coordenadas!$D$155)^2)),0)</f>
        <v>0.418867295597214</v>
      </c>
    </row>
    <row r="371" customFormat="false" ht="15" hidden="false" customHeight="false" outlineLevel="0" collapsed="false">
      <c r="A371" s="0" t="s">
        <v>161</v>
      </c>
      <c r="B371" s="0" t="s">
        <v>193</v>
      </c>
      <c r="C371" s="17" t="n">
        <f aca="false">IF(SQRT((Coordenadas!$C$114-Coordenadas!$C$144)^2+(Coordenadas!$D$114-Coordenadas!$D$144)^2)&lt;=LEEME!$B$20,EXP(-LEEME!$B$19*SQRT((Coordenadas!$C$114-Coordenadas!$C$144)^2+(Coordenadas!$D$114-Coordenadas!$D$144)^2)),0)</f>
        <v>0.389689955763512</v>
      </c>
    </row>
    <row r="372" customFormat="false" ht="15" hidden="false" customHeight="false" outlineLevel="0" collapsed="false">
      <c r="A372" s="0" t="s">
        <v>161</v>
      </c>
      <c r="B372" s="0" t="s">
        <v>195</v>
      </c>
      <c r="C372" s="17" t="n">
        <f aca="false">IF(SQRT((Coordenadas!$C$114-Coordenadas!$C$146)^2+(Coordenadas!$D$114-Coordenadas!$D$146)^2)&lt;=LEEME!$B$20,EXP(-LEEME!$B$19*SQRT((Coordenadas!$C$114-Coordenadas!$C$146)^2+(Coordenadas!$D$114-Coordenadas!$D$146)^2)),0)</f>
        <v>0.442530733884869</v>
      </c>
    </row>
    <row r="373" customFormat="false" ht="15" hidden="false" customHeight="false" outlineLevel="0" collapsed="false">
      <c r="A373" s="0" t="s">
        <v>161</v>
      </c>
      <c r="B373" s="0" t="s">
        <v>202</v>
      </c>
      <c r="C373" s="17" t="n">
        <f aca="false">IF(SQRT((Coordenadas!$C$114-Coordenadas!$C$153)^2+(Coordenadas!$D$114-Coordenadas!$D$153)^2)&lt;=LEEME!$B$20,EXP(-LEEME!$B$19*SQRT((Coordenadas!$C$114-Coordenadas!$C$153)^2+(Coordenadas!$D$114-Coordenadas!$D$153)^2)),0)</f>
        <v>0.419047883750312</v>
      </c>
    </row>
    <row r="374" customFormat="false" ht="15" hidden="false" customHeight="false" outlineLevel="0" collapsed="false">
      <c r="A374" s="0" t="s">
        <v>161</v>
      </c>
      <c r="B374" s="0" t="s">
        <v>204</v>
      </c>
      <c r="C374" s="17" t="n">
        <f aca="false">IF(SQRT((Coordenadas!$C$114-Coordenadas!$C$155)^2+(Coordenadas!$D$114-Coordenadas!$D$155)^2)&lt;=LEEME!$B$20,EXP(-LEEME!$B$19*SQRT((Coordenadas!$C$114-Coordenadas!$C$155)^2+(Coordenadas!$D$114-Coordenadas!$D$155)^2)),0)</f>
        <v>0.918512284401457</v>
      </c>
    </row>
    <row r="375" customFormat="false" ht="15" hidden="false" customHeight="false" outlineLevel="0" collapsed="false">
      <c r="A375" s="0" t="s">
        <v>161</v>
      </c>
      <c r="B375" s="0" t="s">
        <v>206</v>
      </c>
      <c r="C375" s="17" t="n">
        <f aca="false">IF(SQRT((Coordenadas!$C$114-Coordenadas!$C$157)^2+(Coordenadas!$D$114-Coordenadas!$D$157)^2)&lt;=LEEME!$B$20,EXP(-LEEME!$B$19*SQRT((Coordenadas!$C$114-Coordenadas!$C$157)^2+(Coordenadas!$D$114-Coordenadas!$D$157)^2)),0)</f>
        <v>0.444611076140171</v>
      </c>
    </row>
    <row r="376" customFormat="false" ht="15" hidden="false" customHeight="false" outlineLevel="0" collapsed="false">
      <c r="A376" s="0" t="s">
        <v>161</v>
      </c>
      <c r="B376" s="0" t="s">
        <v>211</v>
      </c>
      <c r="C376" s="17" t="n">
        <f aca="false">IF(SQRT((Coordenadas!$C$114-Coordenadas!$C$162)^2+(Coordenadas!$D$114-Coordenadas!$D$162)^2)&lt;=LEEME!$B$20,EXP(-LEEME!$B$19*SQRT((Coordenadas!$C$114-Coordenadas!$C$162)^2+(Coordenadas!$D$114-Coordenadas!$D$162)^2)),0)</f>
        <v>0.53577592184242</v>
      </c>
    </row>
    <row r="377" customFormat="false" ht="15" hidden="false" customHeight="false" outlineLevel="0" collapsed="false">
      <c r="A377" s="0" t="s">
        <v>161</v>
      </c>
      <c r="B377" s="0" t="s">
        <v>212</v>
      </c>
      <c r="C377" s="17" t="n">
        <f aca="false">IF(SQRT((Coordenadas!$C$114-Coordenadas!$C$163)^2+(Coordenadas!$D$114-Coordenadas!$D$163)^2)&lt;=LEEME!$B$20,EXP(-LEEME!$B$19*SQRT((Coordenadas!$C$114-Coordenadas!$C$163)^2+(Coordenadas!$D$114-Coordenadas!$D$163)^2)),0)</f>
        <v>0.468591568358567</v>
      </c>
    </row>
    <row r="378" customFormat="false" ht="15" hidden="false" customHeight="false" outlineLevel="0" collapsed="false">
      <c r="A378" s="0" t="s">
        <v>162</v>
      </c>
      <c r="B378" s="0" t="s">
        <v>195</v>
      </c>
      <c r="C378" s="17" t="n">
        <f aca="false">IF(SQRT((Coordenadas!$C$115-Coordenadas!$C$146)^2+(Coordenadas!$D$115-Coordenadas!$D$146)^2)&lt;=LEEME!$B$20,EXP(-LEEME!$B$19*SQRT((Coordenadas!$C$115-Coordenadas!$C$146)^2+(Coordenadas!$D$115-Coordenadas!$D$146)^2)),0)</f>
        <v>0.422253903382591</v>
      </c>
    </row>
    <row r="379" customFormat="false" ht="15" hidden="false" customHeight="false" outlineLevel="0" collapsed="false">
      <c r="A379" s="0" t="s">
        <v>162</v>
      </c>
      <c r="B379" s="0" t="s">
        <v>202</v>
      </c>
      <c r="C379" s="17" t="n">
        <f aca="false">IF(SQRT((Coordenadas!$C$115-Coordenadas!$C$153)^2+(Coordenadas!$D$115-Coordenadas!$D$153)^2)&lt;=LEEME!$B$20,EXP(-LEEME!$B$19*SQRT((Coordenadas!$C$115-Coordenadas!$C$153)^2+(Coordenadas!$D$115-Coordenadas!$D$153)^2)),0)</f>
        <v>0.487115954425706</v>
      </c>
    </row>
    <row r="380" customFormat="false" ht="15" hidden="false" customHeight="false" outlineLevel="0" collapsed="false">
      <c r="A380" s="0" t="s">
        <v>162</v>
      </c>
      <c r="B380" s="0" t="s">
        <v>204</v>
      </c>
      <c r="C380" s="17" t="n">
        <f aca="false">IF(SQRT((Coordenadas!$C$115-Coordenadas!$C$155)^2+(Coordenadas!$D$115-Coordenadas!$D$155)^2)&lt;=LEEME!$B$20,EXP(-LEEME!$B$19*SQRT((Coordenadas!$C$115-Coordenadas!$C$155)^2+(Coordenadas!$D$115-Coordenadas!$D$155)^2)),0)</f>
        <v>0.769502212755624</v>
      </c>
    </row>
    <row r="381" customFormat="false" ht="15" hidden="false" customHeight="false" outlineLevel="0" collapsed="false">
      <c r="A381" s="0" t="s">
        <v>162</v>
      </c>
      <c r="B381" s="0" t="s">
        <v>206</v>
      </c>
      <c r="C381" s="17" t="n">
        <f aca="false">IF(SQRT((Coordenadas!$C$115-Coordenadas!$C$157)^2+(Coordenadas!$D$115-Coordenadas!$D$157)^2)&lt;=LEEME!$B$20,EXP(-LEEME!$B$19*SQRT((Coordenadas!$C$115-Coordenadas!$C$157)^2+(Coordenadas!$D$115-Coordenadas!$D$157)^2)),0)</f>
        <v>0.521915306711832</v>
      </c>
    </row>
    <row r="382" customFormat="false" ht="15" hidden="false" customHeight="false" outlineLevel="0" collapsed="false">
      <c r="A382" s="0" t="s">
        <v>162</v>
      </c>
      <c r="B382" s="0" t="s">
        <v>211</v>
      </c>
      <c r="C382" s="17" t="n">
        <f aca="false">IF(SQRT((Coordenadas!$C$115-Coordenadas!$C$162)^2+(Coordenadas!$D$115-Coordenadas!$D$162)^2)&lt;=LEEME!$B$20,EXP(-LEEME!$B$19*SQRT((Coordenadas!$C$115-Coordenadas!$C$162)^2+(Coordenadas!$D$115-Coordenadas!$D$162)^2)),0)</f>
        <v>0.439989031362438</v>
      </c>
    </row>
    <row r="383" customFormat="false" ht="15" hidden="false" customHeight="false" outlineLevel="0" collapsed="false">
      <c r="A383" s="0" t="s">
        <v>162</v>
      </c>
      <c r="B383" s="0" t="s">
        <v>212</v>
      </c>
      <c r="C383" s="17" t="n">
        <f aca="false">IF(SQRT((Coordenadas!$C$115-Coordenadas!$C$163)^2+(Coordenadas!$D$115-Coordenadas!$D$163)^2)&lt;=LEEME!$B$20,EXP(-LEEME!$B$19*SQRT((Coordenadas!$C$115-Coordenadas!$C$163)^2+(Coordenadas!$D$115-Coordenadas!$D$163)^2)),0)</f>
        <v>0.462675111940094</v>
      </c>
    </row>
    <row r="384" customFormat="false" ht="15" hidden="false" customHeight="false" outlineLevel="0" collapsed="false">
      <c r="A384" s="0" t="s">
        <v>163</v>
      </c>
      <c r="B384" s="0" t="s">
        <v>193</v>
      </c>
      <c r="C384" s="17" t="n">
        <f aca="false">IF(SQRT((Coordenadas!$C$116-Coordenadas!$C$144)^2+(Coordenadas!$D$116-Coordenadas!$D$144)^2)&lt;=LEEME!$B$20,EXP(-LEEME!$B$19*SQRT((Coordenadas!$C$116-Coordenadas!$C$144)^2+(Coordenadas!$D$116-Coordenadas!$D$144)^2)),0)</f>
        <v>0.589928062278919</v>
      </c>
    </row>
    <row r="385" customFormat="false" ht="15" hidden="false" customHeight="false" outlineLevel="0" collapsed="false">
      <c r="A385" s="0" t="s">
        <v>163</v>
      </c>
      <c r="B385" s="0" t="s">
        <v>204</v>
      </c>
      <c r="C385" s="17" t="n">
        <f aca="false">IF(SQRT((Coordenadas!$C$116-Coordenadas!$C$155)^2+(Coordenadas!$D$116-Coordenadas!$D$155)^2)&lt;=LEEME!$B$20,EXP(-LEEME!$B$19*SQRT((Coordenadas!$C$116-Coordenadas!$C$155)^2+(Coordenadas!$D$116-Coordenadas!$D$155)^2)),0)</f>
        <v>0.704461723111193</v>
      </c>
    </row>
    <row r="386" customFormat="false" ht="15" hidden="false" customHeight="false" outlineLevel="0" collapsed="false">
      <c r="A386" s="0" t="s">
        <v>163</v>
      </c>
      <c r="B386" s="0" t="s">
        <v>206</v>
      </c>
      <c r="C386" s="17" t="n">
        <f aca="false">IF(SQRT((Coordenadas!$C$116-Coordenadas!$C$157)^2+(Coordenadas!$D$116-Coordenadas!$D$157)^2)&lt;=LEEME!$B$20,EXP(-LEEME!$B$19*SQRT((Coordenadas!$C$116-Coordenadas!$C$157)^2+(Coordenadas!$D$116-Coordenadas!$D$157)^2)),0)</f>
        <v>0.409746607235046</v>
      </c>
    </row>
    <row r="387" customFormat="false" ht="15" hidden="false" customHeight="false" outlineLevel="0" collapsed="false">
      <c r="A387" s="0" t="s">
        <v>163</v>
      </c>
      <c r="B387" s="0" t="s">
        <v>211</v>
      </c>
      <c r="C387" s="17" t="n">
        <f aca="false">IF(SQRT((Coordenadas!$C$116-Coordenadas!$C$162)^2+(Coordenadas!$D$116-Coordenadas!$D$162)^2)&lt;=LEEME!$B$20,EXP(-LEEME!$B$19*SQRT((Coordenadas!$C$116-Coordenadas!$C$162)^2+(Coordenadas!$D$116-Coordenadas!$D$162)^2)),0)</f>
        <v>0.670634516623703</v>
      </c>
    </row>
    <row r="388" customFormat="false" ht="15" hidden="false" customHeight="false" outlineLevel="0" collapsed="false">
      <c r="A388" s="0" t="s">
        <v>163</v>
      </c>
      <c r="B388" s="0" t="s">
        <v>212</v>
      </c>
      <c r="C388" s="17" t="n">
        <f aca="false">IF(SQRT((Coordenadas!$C$116-Coordenadas!$C$163)^2+(Coordenadas!$D$116-Coordenadas!$D$163)^2)&lt;=LEEME!$B$20,EXP(-LEEME!$B$19*SQRT((Coordenadas!$C$116-Coordenadas!$C$163)^2+(Coordenadas!$D$116-Coordenadas!$D$163)^2)),0)</f>
        <v>0.625701631701219</v>
      </c>
    </row>
    <row r="389" customFormat="false" ht="15" hidden="false" customHeight="false" outlineLevel="0" collapsed="false">
      <c r="A389" s="0" t="s">
        <v>164</v>
      </c>
      <c r="B389" s="0" t="s">
        <v>202</v>
      </c>
      <c r="C389" s="17" t="n">
        <f aca="false">IF(SQRT((Coordenadas!$C$117-Coordenadas!$C$153)^2+(Coordenadas!$D$117-Coordenadas!$D$153)^2)&lt;=LEEME!$B$20,EXP(-LEEME!$B$19*SQRT((Coordenadas!$C$117-Coordenadas!$C$153)^2+(Coordenadas!$D$117-Coordenadas!$D$153)^2)),0)</f>
        <v>0.469420073942273</v>
      </c>
    </row>
    <row r="390" customFormat="false" ht="15" hidden="false" customHeight="false" outlineLevel="0" collapsed="false">
      <c r="A390" s="0" t="s">
        <v>164</v>
      </c>
      <c r="B390" s="0" t="s">
        <v>204</v>
      </c>
      <c r="C390" s="17" t="n">
        <f aca="false">IF(SQRT((Coordenadas!$C$117-Coordenadas!$C$155)^2+(Coordenadas!$D$117-Coordenadas!$D$155)^2)&lt;=LEEME!$B$20,EXP(-LEEME!$B$19*SQRT((Coordenadas!$C$117-Coordenadas!$C$155)^2+(Coordenadas!$D$117-Coordenadas!$D$155)^2)),0)</f>
        <v>0.63798270695884</v>
      </c>
    </row>
    <row r="391" customFormat="false" ht="15" hidden="false" customHeight="false" outlineLevel="0" collapsed="false">
      <c r="A391" s="0" t="s">
        <v>164</v>
      </c>
      <c r="B391" s="0" t="s">
        <v>206</v>
      </c>
      <c r="C391" s="17" t="n">
        <f aca="false">IF(SQRT((Coordenadas!$C$117-Coordenadas!$C$157)^2+(Coordenadas!$D$117-Coordenadas!$D$157)^2)&lt;=LEEME!$B$20,EXP(-LEEME!$B$19*SQRT((Coordenadas!$C$117-Coordenadas!$C$157)^2+(Coordenadas!$D$117-Coordenadas!$D$157)^2)),0)</f>
        <v>0.667719328581077</v>
      </c>
    </row>
    <row r="392" customFormat="false" ht="15" hidden="false" customHeight="false" outlineLevel="0" collapsed="false">
      <c r="A392" s="0" t="s">
        <v>164</v>
      </c>
      <c r="B392" s="0" t="s">
        <v>211</v>
      </c>
      <c r="C392" s="17" t="n">
        <f aca="false">IF(SQRT((Coordenadas!$C$117-Coordenadas!$C$162)^2+(Coordenadas!$D$117-Coordenadas!$D$162)^2)&lt;=LEEME!$B$20,EXP(-LEEME!$B$19*SQRT((Coordenadas!$C$117-Coordenadas!$C$162)^2+(Coordenadas!$D$117-Coordenadas!$D$162)^2)),0)</f>
        <v>0.374451408326278</v>
      </c>
    </row>
    <row r="393" customFormat="false" ht="15" hidden="false" customHeight="false" outlineLevel="0" collapsed="false">
      <c r="A393" s="0" t="s">
        <v>164</v>
      </c>
      <c r="B393" s="0" t="s">
        <v>212</v>
      </c>
      <c r="C393" s="17" t="n">
        <f aca="false">IF(SQRT((Coordenadas!$C$117-Coordenadas!$C$163)^2+(Coordenadas!$D$117-Coordenadas!$D$163)^2)&lt;=LEEME!$B$20,EXP(-LEEME!$B$19*SQRT((Coordenadas!$C$117-Coordenadas!$C$163)^2+(Coordenadas!$D$117-Coordenadas!$D$163)^2)),0)</f>
        <v>0.503759342695689</v>
      </c>
    </row>
    <row r="394" customFormat="false" ht="15" hidden="false" customHeight="false" outlineLevel="0" collapsed="false">
      <c r="A394" s="0" t="s">
        <v>165</v>
      </c>
      <c r="B394" s="0" t="s">
        <v>193</v>
      </c>
      <c r="C394" s="17" t="n">
        <f aca="false">IF(SQRT((Coordenadas!$C$118-Coordenadas!$C$144)^2+(Coordenadas!$D$118-Coordenadas!$D$144)^2)&lt;=LEEME!$B$20,EXP(-LEEME!$B$19*SQRT((Coordenadas!$C$118-Coordenadas!$C$144)^2+(Coordenadas!$D$118-Coordenadas!$D$144)^2)),0)</f>
        <v>0.455532255666294</v>
      </c>
    </row>
    <row r="395" customFormat="false" ht="15" hidden="false" customHeight="false" outlineLevel="0" collapsed="false">
      <c r="A395" s="0" t="s">
        <v>165</v>
      </c>
      <c r="B395" s="0" t="s">
        <v>202</v>
      </c>
      <c r="C395" s="17" t="n">
        <f aca="false">IF(SQRT((Coordenadas!$C$118-Coordenadas!$C$153)^2+(Coordenadas!$D$118-Coordenadas!$D$153)^2)&lt;=LEEME!$B$20,EXP(-LEEME!$B$19*SQRT((Coordenadas!$C$118-Coordenadas!$C$153)^2+(Coordenadas!$D$118-Coordenadas!$D$153)^2)),0)</f>
        <v>0.387021109883356</v>
      </c>
    </row>
    <row r="396" customFormat="false" ht="15" hidden="false" customHeight="false" outlineLevel="0" collapsed="false">
      <c r="A396" s="0" t="s">
        <v>165</v>
      </c>
      <c r="B396" s="0" t="s">
        <v>204</v>
      </c>
      <c r="C396" s="17" t="n">
        <f aca="false">IF(SQRT((Coordenadas!$C$118-Coordenadas!$C$155)^2+(Coordenadas!$D$118-Coordenadas!$D$155)^2)&lt;=LEEME!$B$20,EXP(-LEEME!$B$19*SQRT((Coordenadas!$C$118-Coordenadas!$C$155)^2+(Coordenadas!$D$118-Coordenadas!$D$155)^2)),0)</f>
        <v>0.815494353805281</v>
      </c>
    </row>
    <row r="397" customFormat="false" ht="15" hidden="false" customHeight="false" outlineLevel="0" collapsed="false">
      <c r="A397" s="0" t="s">
        <v>165</v>
      </c>
      <c r="B397" s="0" t="s">
        <v>206</v>
      </c>
      <c r="C397" s="17" t="n">
        <f aca="false">IF(SQRT((Coordenadas!$C$118-Coordenadas!$C$157)^2+(Coordenadas!$D$118-Coordenadas!$D$157)^2)&lt;=LEEME!$B$20,EXP(-LEEME!$B$19*SQRT((Coordenadas!$C$118-Coordenadas!$C$157)^2+(Coordenadas!$D$118-Coordenadas!$D$157)^2)),0)</f>
        <v>0.539370143339712</v>
      </c>
    </row>
    <row r="398" customFormat="false" ht="15" hidden="false" customHeight="false" outlineLevel="0" collapsed="false">
      <c r="A398" s="0" t="s">
        <v>165</v>
      </c>
      <c r="B398" s="0" t="s">
        <v>211</v>
      </c>
      <c r="C398" s="17" t="n">
        <f aca="false">IF(SQRT((Coordenadas!$C$118-Coordenadas!$C$162)^2+(Coordenadas!$D$118-Coordenadas!$D$162)^2)&lt;=LEEME!$B$20,EXP(-LEEME!$B$19*SQRT((Coordenadas!$C$118-Coordenadas!$C$162)^2+(Coordenadas!$D$118-Coordenadas!$D$162)^2)),0)</f>
        <v>0.502596296535166</v>
      </c>
    </row>
    <row r="399" customFormat="false" ht="15" hidden="false" customHeight="false" outlineLevel="0" collapsed="false">
      <c r="A399" s="0" t="s">
        <v>165</v>
      </c>
      <c r="B399" s="0" t="s">
        <v>212</v>
      </c>
      <c r="C399" s="17" t="n">
        <f aca="false">IF(SQRT((Coordenadas!$C$118-Coordenadas!$C$163)^2+(Coordenadas!$D$118-Coordenadas!$D$163)^2)&lt;=LEEME!$B$20,EXP(-LEEME!$B$19*SQRT((Coordenadas!$C$118-Coordenadas!$C$163)^2+(Coordenadas!$D$118-Coordenadas!$D$163)^2)),0)</f>
        <v>0.579469746423058</v>
      </c>
    </row>
    <row r="400" customFormat="false" ht="15" hidden="false" customHeight="false" outlineLevel="0" collapsed="false">
      <c r="A400" s="0" t="s">
        <v>166</v>
      </c>
      <c r="B400" s="0" t="s">
        <v>193</v>
      </c>
      <c r="C400" s="17" t="n">
        <f aca="false">IF(SQRT((Coordenadas!$C$119-Coordenadas!$C$144)^2+(Coordenadas!$D$119-Coordenadas!$D$144)^2)&lt;=LEEME!$B$20,EXP(-LEEME!$B$19*SQRT((Coordenadas!$C$119-Coordenadas!$C$144)^2+(Coordenadas!$D$119-Coordenadas!$D$144)^2)),0)</f>
        <v>0.507204540439571</v>
      </c>
    </row>
    <row r="401" customFormat="false" ht="15" hidden="false" customHeight="false" outlineLevel="0" collapsed="false">
      <c r="A401" s="0" t="s">
        <v>166</v>
      </c>
      <c r="B401" s="0" t="s">
        <v>204</v>
      </c>
      <c r="C401" s="17" t="n">
        <f aca="false">IF(SQRT((Coordenadas!$C$119-Coordenadas!$C$155)^2+(Coordenadas!$D$119-Coordenadas!$D$155)^2)&lt;=LEEME!$B$20,EXP(-LEEME!$B$19*SQRT((Coordenadas!$C$119-Coordenadas!$C$155)^2+(Coordenadas!$D$119-Coordenadas!$D$155)^2)),0)</f>
        <v>0.593992453807675</v>
      </c>
    </row>
    <row r="402" customFormat="false" ht="15" hidden="false" customHeight="false" outlineLevel="0" collapsed="false">
      <c r="A402" s="0" t="s">
        <v>166</v>
      </c>
      <c r="B402" s="0" t="s">
        <v>206</v>
      </c>
      <c r="C402" s="17" t="n">
        <f aca="false">IF(SQRT((Coordenadas!$C$119-Coordenadas!$C$157)^2+(Coordenadas!$D$119-Coordenadas!$D$157)^2)&lt;=LEEME!$B$20,EXP(-LEEME!$B$19*SQRT((Coordenadas!$C$119-Coordenadas!$C$157)^2+(Coordenadas!$D$119-Coordenadas!$D$157)^2)),0)</f>
        <v>0.665643372558552</v>
      </c>
    </row>
    <row r="403" customFormat="false" ht="15" hidden="false" customHeight="false" outlineLevel="0" collapsed="false">
      <c r="A403" s="0" t="s">
        <v>166</v>
      </c>
      <c r="B403" s="0" t="s">
        <v>209</v>
      </c>
      <c r="C403" s="17" t="n">
        <f aca="false">IF(SQRT((Coordenadas!$C$119-Coordenadas!$C$160)^2+(Coordenadas!$D$119-Coordenadas!$D$160)^2)&lt;=LEEME!$B$20,EXP(-LEEME!$B$19*SQRT((Coordenadas!$C$119-Coordenadas!$C$160)^2+(Coordenadas!$D$119-Coordenadas!$D$160)^2)),0)</f>
        <v>0.385493346116415</v>
      </c>
    </row>
    <row r="404" customFormat="false" ht="15" hidden="false" customHeight="false" outlineLevel="0" collapsed="false">
      <c r="A404" s="0" t="s">
        <v>166</v>
      </c>
      <c r="B404" s="0" t="s">
        <v>211</v>
      </c>
      <c r="C404" s="17" t="n">
        <f aca="false">IF(SQRT((Coordenadas!$C$119-Coordenadas!$C$162)^2+(Coordenadas!$D$119-Coordenadas!$D$162)^2)&lt;=LEEME!$B$20,EXP(-LEEME!$B$19*SQRT((Coordenadas!$C$119-Coordenadas!$C$162)^2+(Coordenadas!$D$119-Coordenadas!$D$162)^2)),0)</f>
        <v>0.409614619164106</v>
      </c>
    </row>
    <row r="405" customFormat="false" ht="15" hidden="false" customHeight="false" outlineLevel="0" collapsed="false">
      <c r="A405" s="0" t="s">
        <v>166</v>
      </c>
      <c r="B405" s="0" t="s">
        <v>212</v>
      </c>
      <c r="C405" s="17" t="n">
        <f aca="false">IF(SQRT((Coordenadas!$C$119-Coordenadas!$C$163)^2+(Coordenadas!$D$119-Coordenadas!$D$163)^2)&lt;=LEEME!$B$20,EXP(-LEEME!$B$19*SQRT((Coordenadas!$C$119-Coordenadas!$C$163)^2+(Coordenadas!$D$119-Coordenadas!$D$163)^2)),0)</f>
        <v>0.714034930291726</v>
      </c>
    </row>
    <row r="406" customFormat="false" ht="15" hidden="false" customHeight="false" outlineLevel="0" collapsed="false">
      <c r="A406" s="0" t="s">
        <v>167</v>
      </c>
      <c r="B406" s="0" t="s">
        <v>193</v>
      </c>
      <c r="C406" s="17" t="n">
        <f aca="false">IF(SQRT((Coordenadas!$C$120-Coordenadas!$C$144)^2+(Coordenadas!$D$120-Coordenadas!$D$144)^2)&lt;=LEEME!$B$20,EXP(-LEEME!$B$19*SQRT((Coordenadas!$C$120-Coordenadas!$C$144)^2+(Coordenadas!$D$120-Coordenadas!$D$144)^2)),0)</f>
        <v>0.634378260638177</v>
      </c>
    </row>
    <row r="407" customFormat="false" ht="15" hidden="false" customHeight="false" outlineLevel="0" collapsed="false">
      <c r="A407" s="0" t="s">
        <v>167</v>
      </c>
      <c r="B407" s="0" t="s">
        <v>204</v>
      </c>
      <c r="C407" s="17" t="n">
        <f aca="false">IF(SQRT((Coordenadas!$C$120-Coordenadas!$C$155)^2+(Coordenadas!$D$120-Coordenadas!$D$155)^2)&lt;=LEEME!$B$20,EXP(-LEEME!$B$19*SQRT((Coordenadas!$C$120-Coordenadas!$C$155)^2+(Coordenadas!$D$120-Coordenadas!$D$155)^2)),0)</f>
        <v>0.638035945105387</v>
      </c>
    </row>
    <row r="408" customFormat="false" ht="15" hidden="false" customHeight="false" outlineLevel="0" collapsed="false">
      <c r="A408" s="0" t="s">
        <v>167</v>
      </c>
      <c r="B408" s="0" t="s">
        <v>206</v>
      </c>
      <c r="C408" s="17" t="n">
        <f aca="false">IF(SQRT((Coordenadas!$C$120-Coordenadas!$C$157)^2+(Coordenadas!$D$120-Coordenadas!$D$157)^2)&lt;=LEEME!$B$20,EXP(-LEEME!$B$19*SQRT((Coordenadas!$C$120-Coordenadas!$C$157)^2+(Coordenadas!$D$120-Coordenadas!$D$157)^2)),0)</f>
        <v>0.497064715448273</v>
      </c>
    </row>
    <row r="409" customFormat="false" ht="15" hidden="false" customHeight="false" outlineLevel="0" collapsed="false">
      <c r="A409" s="0" t="s">
        <v>167</v>
      </c>
      <c r="B409" s="0" t="s">
        <v>209</v>
      </c>
      <c r="C409" s="17" t="n">
        <f aca="false">IF(SQRT((Coordenadas!$C$120-Coordenadas!$C$160)^2+(Coordenadas!$D$120-Coordenadas!$D$160)^2)&lt;=LEEME!$B$20,EXP(-LEEME!$B$19*SQRT((Coordenadas!$C$120-Coordenadas!$C$160)^2+(Coordenadas!$D$120-Coordenadas!$D$160)^2)),0)</f>
        <v>0.373434487920775</v>
      </c>
    </row>
    <row r="410" customFormat="false" ht="15" hidden="false" customHeight="false" outlineLevel="0" collapsed="false">
      <c r="A410" s="0" t="s">
        <v>167</v>
      </c>
      <c r="B410" s="0" t="s">
        <v>211</v>
      </c>
      <c r="C410" s="17" t="n">
        <f aca="false">IF(SQRT((Coordenadas!$C$120-Coordenadas!$C$162)^2+(Coordenadas!$D$120-Coordenadas!$D$162)^2)&lt;=LEEME!$B$20,EXP(-LEEME!$B$19*SQRT((Coordenadas!$C$120-Coordenadas!$C$162)^2+(Coordenadas!$D$120-Coordenadas!$D$162)^2)),0)</f>
        <v>0.52926893359074</v>
      </c>
    </row>
    <row r="411" customFormat="false" ht="15" hidden="false" customHeight="false" outlineLevel="0" collapsed="false">
      <c r="A411" s="0" t="s">
        <v>167</v>
      </c>
      <c r="B411" s="0" t="s">
        <v>212</v>
      </c>
      <c r="C411" s="17" t="n">
        <f aca="false">IF(SQRT((Coordenadas!$C$120-Coordenadas!$C$163)^2+(Coordenadas!$D$120-Coordenadas!$D$163)^2)&lt;=LEEME!$B$20,EXP(-LEEME!$B$19*SQRT((Coordenadas!$C$120-Coordenadas!$C$163)^2+(Coordenadas!$D$120-Coordenadas!$D$163)^2)),0)</f>
        <v>0.77950328664605</v>
      </c>
    </row>
    <row r="412" customFormat="false" ht="15" hidden="false" customHeight="false" outlineLevel="0" collapsed="false">
      <c r="A412" s="0" t="s">
        <v>168</v>
      </c>
      <c r="B412" s="0" t="s">
        <v>193</v>
      </c>
      <c r="C412" s="17" t="n">
        <f aca="false">IF(SQRT((Coordenadas!$C$121-Coordenadas!$C$144)^2+(Coordenadas!$D$121-Coordenadas!$D$144)^2)&lt;=LEEME!$B$20,EXP(-LEEME!$B$19*SQRT((Coordenadas!$C$121-Coordenadas!$C$144)^2+(Coordenadas!$D$121-Coordenadas!$D$144)^2)),0)</f>
        <v>0.788068623484084</v>
      </c>
    </row>
    <row r="413" customFormat="false" ht="15" hidden="false" customHeight="false" outlineLevel="0" collapsed="false">
      <c r="A413" s="0" t="s">
        <v>168</v>
      </c>
      <c r="B413" s="0" t="s">
        <v>198</v>
      </c>
      <c r="C413" s="17" t="n">
        <f aca="false">IF(SQRT((Coordenadas!$C$121-Coordenadas!$C$149)^2+(Coordenadas!$D$121-Coordenadas!$D$149)^2)&lt;=LEEME!$B$20,EXP(-LEEME!$B$19*SQRT((Coordenadas!$C$121-Coordenadas!$C$149)^2+(Coordenadas!$D$121-Coordenadas!$D$149)^2)),0)</f>
        <v>0.396231577314736</v>
      </c>
    </row>
    <row r="414" customFormat="false" ht="15" hidden="false" customHeight="false" outlineLevel="0" collapsed="false">
      <c r="A414" s="0" t="s">
        <v>168</v>
      </c>
      <c r="B414" s="0" t="s">
        <v>204</v>
      </c>
      <c r="C414" s="17" t="n">
        <f aca="false">IF(SQRT((Coordenadas!$C$121-Coordenadas!$C$155)^2+(Coordenadas!$D$121-Coordenadas!$D$155)^2)&lt;=LEEME!$B$20,EXP(-LEEME!$B$19*SQRT((Coordenadas!$C$121-Coordenadas!$C$155)^2+(Coordenadas!$D$121-Coordenadas!$D$155)^2)),0)</f>
        <v>0.471384840328785</v>
      </c>
    </row>
    <row r="415" customFormat="false" ht="15" hidden="false" customHeight="false" outlineLevel="0" collapsed="false">
      <c r="A415" s="0" t="s">
        <v>168</v>
      </c>
      <c r="B415" s="0" t="s">
        <v>206</v>
      </c>
      <c r="C415" s="17" t="n">
        <f aca="false">IF(SQRT((Coordenadas!$C$121-Coordenadas!$C$157)^2+(Coordenadas!$D$121-Coordenadas!$D$157)^2)&lt;=LEEME!$B$20,EXP(-LEEME!$B$19*SQRT((Coordenadas!$C$121-Coordenadas!$C$157)^2+(Coordenadas!$D$121-Coordenadas!$D$157)^2)),0)</f>
        <v>0.445091616338897</v>
      </c>
    </row>
    <row r="416" customFormat="false" ht="15" hidden="false" customHeight="false" outlineLevel="0" collapsed="false">
      <c r="A416" s="0" t="s">
        <v>168</v>
      </c>
      <c r="B416" s="0" t="s">
        <v>209</v>
      </c>
      <c r="C416" s="17" t="n">
        <f aca="false">IF(SQRT((Coordenadas!$C$121-Coordenadas!$C$160)^2+(Coordenadas!$D$121-Coordenadas!$D$160)^2)&lt;=LEEME!$B$20,EXP(-LEEME!$B$19*SQRT((Coordenadas!$C$121-Coordenadas!$C$160)^2+(Coordenadas!$D$121-Coordenadas!$D$160)^2)),0)</f>
        <v>0.485656634511969</v>
      </c>
    </row>
    <row r="417" customFormat="false" ht="15" hidden="false" customHeight="false" outlineLevel="0" collapsed="false">
      <c r="A417" s="0" t="s">
        <v>168</v>
      </c>
      <c r="B417" s="0" t="s">
        <v>211</v>
      </c>
      <c r="C417" s="17" t="n">
        <f aca="false">IF(SQRT((Coordenadas!$C$121-Coordenadas!$C$162)^2+(Coordenadas!$D$121-Coordenadas!$D$162)^2)&lt;=LEEME!$B$20,EXP(-LEEME!$B$19*SQRT((Coordenadas!$C$121-Coordenadas!$C$162)^2+(Coordenadas!$D$121-Coordenadas!$D$162)^2)),0)</f>
        <v>0.445566429402474</v>
      </c>
    </row>
    <row r="418" customFormat="false" ht="15" hidden="false" customHeight="false" outlineLevel="0" collapsed="false">
      <c r="A418" s="0" t="s">
        <v>168</v>
      </c>
      <c r="B418" s="0" t="s">
        <v>212</v>
      </c>
      <c r="C418" s="17" t="n">
        <f aca="false">IF(SQRT((Coordenadas!$C$121-Coordenadas!$C$163)^2+(Coordenadas!$D$121-Coordenadas!$D$163)^2)&lt;=LEEME!$B$20,EXP(-LEEME!$B$19*SQRT((Coordenadas!$C$121-Coordenadas!$C$163)^2+(Coordenadas!$D$121-Coordenadas!$D$163)^2)),0)</f>
        <v>0.880314993991899</v>
      </c>
    </row>
    <row r="419" customFormat="false" ht="15" hidden="false" customHeight="false" outlineLevel="0" collapsed="false">
      <c r="A419" s="0" t="s">
        <v>169</v>
      </c>
      <c r="B419" s="0" t="s">
        <v>193</v>
      </c>
      <c r="C419" s="17" t="n">
        <f aca="false">IF(SQRT((Coordenadas!$C$122-Coordenadas!$C$144)^2+(Coordenadas!$D$122-Coordenadas!$D$144)^2)&lt;=LEEME!$B$20,EXP(-LEEME!$B$19*SQRT((Coordenadas!$C$122-Coordenadas!$C$144)^2+(Coordenadas!$D$122-Coordenadas!$D$144)^2)),0)</f>
        <v>0.802336522142675</v>
      </c>
    </row>
    <row r="420" customFormat="false" ht="15" hidden="false" customHeight="false" outlineLevel="0" collapsed="false">
      <c r="A420" s="0" t="s">
        <v>169</v>
      </c>
      <c r="B420" s="0" t="s">
        <v>198</v>
      </c>
      <c r="C420" s="17" t="n">
        <f aca="false">IF(SQRT((Coordenadas!$C$122-Coordenadas!$C$149)^2+(Coordenadas!$D$122-Coordenadas!$D$149)^2)&lt;=LEEME!$B$20,EXP(-LEEME!$B$19*SQRT((Coordenadas!$C$122-Coordenadas!$C$149)^2+(Coordenadas!$D$122-Coordenadas!$D$149)^2)),0)</f>
        <v>0.455488809517601</v>
      </c>
    </row>
    <row r="421" customFormat="false" ht="15" hidden="false" customHeight="false" outlineLevel="0" collapsed="false">
      <c r="A421" s="0" t="s">
        <v>169</v>
      </c>
      <c r="B421" s="0" t="s">
        <v>204</v>
      </c>
      <c r="C421" s="17" t="n">
        <f aca="false">IF(SQRT((Coordenadas!$C$122-Coordenadas!$C$155)^2+(Coordenadas!$D$122-Coordenadas!$D$155)^2)&lt;=LEEME!$B$20,EXP(-LEEME!$B$19*SQRT((Coordenadas!$C$122-Coordenadas!$C$155)^2+(Coordenadas!$D$122-Coordenadas!$D$155)^2)),0)</f>
        <v>0.502030899912362</v>
      </c>
    </row>
    <row r="422" customFormat="false" ht="15" hidden="false" customHeight="false" outlineLevel="0" collapsed="false">
      <c r="A422" s="0" t="s">
        <v>169</v>
      </c>
      <c r="B422" s="0" t="s">
        <v>211</v>
      </c>
      <c r="C422" s="17" t="n">
        <f aca="false">IF(SQRT((Coordenadas!$C$122-Coordenadas!$C$162)^2+(Coordenadas!$D$122-Coordenadas!$D$162)^2)&lt;=LEEME!$B$20,EXP(-LEEME!$B$19*SQRT((Coordenadas!$C$122-Coordenadas!$C$162)^2+(Coordenadas!$D$122-Coordenadas!$D$162)^2)),0)</f>
        <v>0.587635524221208</v>
      </c>
    </row>
    <row r="423" customFormat="false" ht="15" hidden="false" customHeight="false" outlineLevel="0" collapsed="false">
      <c r="A423" s="0" t="s">
        <v>169</v>
      </c>
      <c r="B423" s="0" t="s">
        <v>212</v>
      </c>
      <c r="C423" s="17" t="n">
        <f aca="false">IF(SQRT((Coordenadas!$C$122-Coordenadas!$C$163)^2+(Coordenadas!$D$122-Coordenadas!$D$163)^2)&lt;=LEEME!$B$20,EXP(-LEEME!$B$19*SQRT((Coordenadas!$C$122-Coordenadas!$C$163)^2+(Coordenadas!$D$122-Coordenadas!$D$163)^2)),0)</f>
        <v>0.665173744425893</v>
      </c>
    </row>
    <row r="424" customFormat="false" ht="15" hidden="false" customHeight="false" outlineLevel="0" collapsed="false">
      <c r="A424" s="0" t="s">
        <v>170</v>
      </c>
      <c r="B424" s="0" t="s">
        <v>196</v>
      </c>
      <c r="C424" s="17" t="n">
        <f aca="false">IF(SQRT((Coordenadas!$C$123-Coordenadas!$C$147)^2+(Coordenadas!$D$123-Coordenadas!$D$147)^2)&lt;=LEEME!$B$20,EXP(-LEEME!$B$19*SQRT((Coordenadas!$C$123-Coordenadas!$C$147)^2+(Coordenadas!$D$123-Coordenadas!$D$147)^2)),0)</f>
        <v>0.796096328290004</v>
      </c>
    </row>
    <row r="425" customFormat="false" ht="15" hidden="false" customHeight="false" outlineLevel="0" collapsed="false">
      <c r="A425" s="0" t="s">
        <v>170</v>
      </c>
      <c r="B425" s="0" t="s">
        <v>210</v>
      </c>
      <c r="C425" s="17" t="n">
        <f aca="false">IF(SQRT((Coordenadas!$C$123-Coordenadas!$C$161)^2+(Coordenadas!$D$123-Coordenadas!$D$161)^2)&lt;=LEEME!$B$20,EXP(-LEEME!$B$19*SQRT((Coordenadas!$C$123-Coordenadas!$C$161)^2+(Coordenadas!$D$123-Coordenadas!$D$161)^2)),0)</f>
        <v>0.701742174669135</v>
      </c>
    </row>
    <row r="426" customFormat="false" ht="15" hidden="false" customHeight="false" outlineLevel="0" collapsed="false">
      <c r="A426" s="0" t="s">
        <v>171</v>
      </c>
      <c r="B426" s="0" t="s">
        <v>196</v>
      </c>
      <c r="C426" s="17" t="n">
        <f aca="false">IF(SQRT((Coordenadas!$C$124-Coordenadas!$C$147)^2+(Coordenadas!$D$124-Coordenadas!$D$147)^2)&lt;=LEEME!$B$20,EXP(-LEEME!$B$19*SQRT((Coordenadas!$C$124-Coordenadas!$C$147)^2+(Coordenadas!$D$124-Coordenadas!$D$147)^2)),0)</f>
        <v>0.960490402762715</v>
      </c>
    </row>
    <row r="427" customFormat="false" ht="15" hidden="false" customHeight="false" outlineLevel="0" collapsed="false">
      <c r="A427" s="0" t="s">
        <v>171</v>
      </c>
      <c r="B427" s="0" t="s">
        <v>210</v>
      </c>
      <c r="C427" s="17" t="n">
        <f aca="false">IF(SQRT((Coordenadas!$C$124-Coordenadas!$C$161)^2+(Coordenadas!$D$124-Coordenadas!$D$161)^2)&lt;=LEEME!$B$20,EXP(-LEEME!$B$19*SQRT((Coordenadas!$C$124-Coordenadas!$C$161)^2+(Coordenadas!$D$124-Coordenadas!$D$161)^2)),0)</f>
        <v>0.587925874289641</v>
      </c>
    </row>
    <row r="428" customFormat="false" ht="15" hidden="false" customHeight="false" outlineLevel="0" collapsed="false">
      <c r="A428" s="0" t="s">
        <v>172</v>
      </c>
      <c r="B428" s="0" t="s">
        <v>196</v>
      </c>
      <c r="C428" s="17" t="n">
        <f aca="false">IF(SQRT((Coordenadas!$C$125-Coordenadas!$C$147)^2+(Coordenadas!$D$125-Coordenadas!$D$147)^2)&lt;=LEEME!$B$20,EXP(-LEEME!$B$19*SQRT((Coordenadas!$C$125-Coordenadas!$C$147)^2+(Coordenadas!$D$125-Coordenadas!$D$147)^2)),0)</f>
        <v>0.80247320748514</v>
      </c>
    </row>
    <row r="429" customFormat="false" ht="15" hidden="false" customHeight="false" outlineLevel="0" collapsed="false">
      <c r="A429" s="0" t="s">
        <v>172</v>
      </c>
      <c r="B429" s="0" t="s">
        <v>210</v>
      </c>
      <c r="C429" s="17" t="n">
        <f aca="false">IF(SQRT((Coordenadas!$C$125-Coordenadas!$C$161)^2+(Coordenadas!$D$125-Coordenadas!$D$161)^2)&lt;=LEEME!$B$20,EXP(-LEEME!$B$19*SQRT((Coordenadas!$C$125-Coordenadas!$C$161)^2+(Coordenadas!$D$125-Coordenadas!$D$161)^2)),0)</f>
        <v>0.615190045264592</v>
      </c>
    </row>
    <row r="430" customFormat="false" ht="15" hidden="false" customHeight="false" outlineLevel="0" collapsed="false">
      <c r="A430" s="0" t="s">
        <v>173</v>
      </c>
      <c r="B430" s="0" t="s">
        <v>196</v>
      </c>
      <c r="C430" s="17" t="n">
        <f aca="false">IF(SQRT((Coordenadas!$C$126-Coordenadas!$C$147)^2+(Coordenadas!$D$126-Coordenadas!$D$147)^2)&lt;=LEEME!$B$20,EXP(-LEEME!$B$19*SQRT((Coordenadas!$C$126-Coordenadas!$C$147)^2+(Coordenadas!$D$126-Coordenadas!$D$147)^2)),0)</f>
        <v>0.676515134000536</v>
      </c>
    </row>
    <row r="431" customFormat="false" ht="15" hidden="false" customHeight="false" outlineLevel="0" collapsed="false">
      <c r="A431" s="0" t="s">
        <v>173</v>
      </c>
      <c r="B431" s="0" t="s">
        <v>210</v>
      </c>
      <c r="C431" s="17" t="n">
        <f aca="false">IF(SQRT((Coordenadas!$C$126-Coordenadas!$C$161)^2+(Coordenadas!$D$126-Coordenadas!$D$161)^2)&lt;=LEEME!$B$20,EXP(-LEEME!$B$19*SQRT((Coordenadas!$C$126-Coordenadas!$C$161)^2+(Coordenadas!$D$126-Coordenadas!$D$161)^2)),0)</f>
        <v>0.595250716529986</v>
      </c>
    </row>
    <row r="432" customFormat="false" ht="15" hidden="false" customHeight="false" outlineLevel="0" collapsed="false">
      <c r="A432" s="0" t="s">
        <v>174</v>
      </c>
      <c r="B432" s="0" t="s">
        <v>196</v>
      </c>
      <c r="C432" s="17" t="n">
        <f aca="false">IF(SQRT((Coordenadas!$C$127-Coordenadas!$C$147)^2+(Coordenadas!$D$127-Coordenadas!$D$147)^2)&lt;=LEEME!$B$20,EXP(-LEEME!$B$19*SQRT((Coordenadas!$C$127-Coordenadas!$C$147)^2+(Coordenadas!$D$127-Coordenadas!$D$147)^2)),0)</f>
        <v>0.54046515216261</v>
      </c>
    </row>
    <row r="433" customFormat="false" ht="15" hidden="false" customHeight="false" outlineLevel="0" collapsed="false">
      <c r="A433" s="0" t="s">
        <v>174</v>
      </c>
      <c r="B433" s="0" t="s">
        <v>210</v>
      </c>
      <c r="C433" s="17" t="n">
        <f aca="false">IF(SQRT((Coordenadas!$C$127-Coordenadas!$C$161)^2+(Coordenadas!$D$127-Coordenadas!$D$161)^2)&lt;=LEEME!$B$20,EXP(-LEEME!$B$19*SQRT((Coordenadas!$C$127-Coordenadas!$C$161)^2+(Coordenadas!$D$127-Coordenadas!$D$161)^2)),0)</f>
        <v>0.549992676821337</v>
      </c>
    </row>
    <row r="434" customFormat="false" ht="15" hidden="false" customHeight="false" outlineLevel="0" collapsed="false">
      <c r="A434" s="0" t="s">
        <v>175</v>
      </c>
      <c r="B434" s="0" t="s">
        <v>196</v>
      </c>
      <c r="C434" s="17" t="n">
        <f aca="false">IF(SQRT((Coordenadas!$C$128-Coordenadas!$C$147)^2+(Coordenadas!$D$128-Coordenadas!$D$147)^2)&lt;=LEEME!$B$20,EXP(-LEEME!$B$19*SQRT((Coordenadas!$C$128-Coordenadas!$C$147)^2+(Coordenadas!$D$128-Coordenadas!$D$147)^2)),0)</f>
        <v>0.378609784885586</v>
      </c>
    </row>
    <row r="435" customFormat="false" ht="15" hidden="false" customHeight="false" outlineLevel="0" collapsed="false">
      <c r="A435" s="0" t="s">
        <v>175</v>
      </c>
      <c r="B435" s="0" t="s">
        <v>210</v>
      </c>
      <c r="C435" s="17" t="n">
        <f aca="false">IF(SQRT((Coordenadas!$C$128-Coordenadas!$C$161)^2+(Coordenadas!$D$128-Coordenadas!$D$161)^2)&lt;=LEEME!$B$20,EXP(-LEEME!$B$19*SQRT((Coordenadas!$C$128-Coordenadas!$C$161)^2+(Coordenadas!$D$128-Coordenadas!$D$161)^2)),0)</f>
        <v>0.464030352573881</v>
      </c>
    </row>
    <row r="436" customFormat="false" ht="15" hidden="false" customHeight="false" outlineLevel="0" collapsed="false">
      <c r="A436" s="0" t="s">
        <v>176</v>
      </c>
      <c r="B436" s="0" t="s">
        <v>196</v>
      </c>
      <c r="C436" s="17" t="n">
        <f aca="false">IF(SQRT((Coordenadas!$C$129-Coordenadas!$C$147)^2+(Coordenadas!$D$129-Coordenadas!$D$147)^2)&lt;=LEEME!$B$20,EXP(-LEEME!$B$19*SQRT((Coordenadas!$C$129-Coordenadas!$C$147)^2+(Coordenadas!$D$129-Coordenadas!$D$147)^2)),0)</f>
        <v>0.523729217740518</v>
      </c>
    </row>
    <row r="437" customFormat="false" ht="15" hidden="false" customHeight="false" outlineLevel="0" collapsed="false">
      <c r="A437" s="0" t="s">
        <v>176</v>
      </c>
      <c r="B437" s="0" t="s">
        <v>210</v>
      </c>
      <c r="C437" s="17" t="n">
        <f aca="false">IF(SQRT((Coordenadas!$C$129-Coordenadas!$C$161)^2+(Coordenadas!$D$129-Coordenadas!$D$161)^2)&lt;=LEEME!$B$20,EXP(-LEEME!$B$19*SQRT((Coordenadas!$C$129-Coordenadas!$C$161)^2+(Coordenadas!$D$129-Coordenadas!$D$161)^2)),0)</f>
        <v>0.660419856121312</v>
      </c>
    </row>
    <row r="438" customFormat="false" ht="15" hidden="false" customHeight="false" outlineLevel="0" collapsed="false">
      <c r="A438" s="0" t="s">
        <v>177</v>
      </c>
      <c r="B438" s="0" t="s">
        <v>196</v>
      </c>
      <c r="C438" s="17" t="n">
        <f aca="false">IF(SQRT((Coordenadas!$C$130-Coordenadas!$C$147)^2+(Coordenadas!$D$130-Coordenadas!$D$147)^2)&lt;=LEEME!$B$20,EXP(-LEEME!$B$19*SQRT((Coordenadas!$C$130-Coordenadas!$C$147)^2+(Coordenadas!$D$130-Coordenadas!$D$147)^2)),0)</f>
        <v>0.583613412227582</v>
      </c>
    </row>
    <row r="439" customFormat="false" ht="15" hidden="false" customHeight="false" outlineLevel="0" collapsed="false">
      <c r="A439" s="0" t="s">
        <v>177</v>
      </c>
      <c r="B439" s="0" t="s">
        <v>210</v>
      </c>
      <c r="C439" s="17" t="n">
        <f aca="false">IF(SQRT((Coordenadas!$C$130-Coordenadas!$C$161)^2+(Coordenadas!$D$130-Coordenadas!$D$161)^2)&lt;=LEEME!$B$20,EXP(-LEEME!$B$19*SQRT((Coordenadas!$C$130-Coordenadas!$C$161)^2+(Coordenadas!$D$130-Coordenadas!$D$161)^2)),0)</f>
        <v>0.703934621987953</v>
      </c>
    </row>
    <row r="440" customFormat="false" ht="15" hidden="false" customHeight="false" outlineLevel="0" collapsed="false">
      <c r="A440" s="0" t="s">
        <v>178</v>
      </c>
      <c r="B440" s="0" t="s">
        <v>196</v>
      </c>
      <c r="C440" s="17" t="n">
        <f aca="false">IF(SQRT((Coordenadas!$C$131-Coordenadas!$C$147)^2+(Coordenadas!$D$131-Coordenadas!$D$147)^2)&lt;=LEEME!$B$20,EXP(-LEEME!$B$19*SQRT((Coordenadas!$C$131-Coordenadas!$C$147)^2+(Coordenadas!$D$131-Coordenadas!$D$147)^2)),0)</f>
        <v>0.683838915114794</v>
      </c>
    </row>
    <row r="441" customFormat="false" ht="15" hidden="false" customHeight="false" outlineLevel="0" collapsed="false">
      <c r="A441" s="0" t="s">
        <v>178</v>
      </c>
      <c r="B441" s="0" t="s">
        <v>210</v>
      </c>
      <c r="C441" s="17" t="n">
        <f aca="false">IF(SQRT((Coordenadas!$C$131-Coordenadas!$C$161)^2+(Coordenadas!$D$131-Coordenadas!$D$161)^2)&lt;=LEEME!$B$20,EXP(-LEEME!$B$19*SQRT((Coordenadas!$C$131-Coordenadas!$C$161)^2+(Coordenadas!$D$131-Coordenadas!$D$161)^2)),0)</f>
        <v>0.754942375914896</v>
      </c>
    </row>
    <row r="442" customFormat="false" ht="15" hidden="false" customHeight="false" outlineLevel="0" collapsed="false">
      <c r="A442" s="0" t="s">
        <v>179</v>
      </c>
      <c r="B442" s="0" t="s">
        <v>193</v>
      </c>
      <c r="C442" s="17" t="n">
        <f aca="false">IF(SQRT((Coordenadas!$C$132-Coordenadas!$C$144)^2+(Coordenadas!$D$132-Coordenadas!$D$144)^2)&lt;=LEEME!$B$20,EXP(-LEEME!$B$19*SQRT((Coordenadas!$C$132-Coordenadas!$C$144)^2+(Coordenadas!$D$132-Coordenadas!$D$144)^2)),0)</f>
        <v>0.49658530379141</v>
      </c>
    </row>
    <row r="443" customFormat="false" ht="15" hidden="false" customHeight="false" outlineLevel="0" collapsed="false">
      <c r="A443" s="0" t="s">
        <v>179</v>
      </c>
      <c r="B443" s="0" t="s">
        <v>204</v>
      </c>
      <c r="C443" s="17" t="n">
        <f aca="false">IF(SQRT((Coordenadas!$C$132-Coordenadas!$C$155)^2+(Coordenadas!$D$132-Coordenadas!$D$155)^2)&lt;=LEEME!$B$20,EXP(-LEEME!$B$19*SQRT((Coordenadas!$C$132-Coordenadas!$C$155)^2+(Coordenadas!$D$132-Coordenadas!$D$155)^2)),0)</f>
        <v>0.406107177914987</v>
      </c>
    </row>
    <row r="444" customFormat="false" ht="15" hidden="false" customHeight="false" outlineLevel="0" collapsed="false">
      <c r="A444" s="0" t="s">
        <v>179</v>
      </c>
      <c r="B444" s="0" t="s">
        <v>206</v>
      </c>
      <c r="C444" s="17" t="n">
        <f aca="false">IF(SQRT((Coordenadas!$C$132-Coordenadas!$C$157)^2+(Coordenadas!$D$132-Coordenadas!$D$157)^2)&lt;=LEEME!$B$20,EXP(-LEEME!$B$19*SQRT((Coordenadas!$C$132-Coordenadas!$C$157)^2+(Coordenadas!$D$132-Coordenadas!$D$157)^2)),0)</f>
        <v>0.631266491799757</v>
      </c>
    </row>
    <row r="445" customFormat="false" ht="15" hidden="false" customHeight="false" outlineLevel="0" collapsed="false">
      <c r="A445" s="0" t="s">
        <v>179</v>
      </c>
      <c r="B445" s="0" t="s">
        <v>207</v>
      </c>
      <c r="C445" s="17" t="n">
        <f aca="false">IF(SQRT((Coordenadas!$C$132-Coordenadas!$C$158)^2+(Coordenadas!$D$132-Coordenadas!$D$158)^2)&lt;=LEEME!$B$20,EXP(-LEEME!$B$19*SQRT((Coordenadas!$C$132-Coordenadas!$C$158)^2+(Coordenadas!$D$132-Coordenadas!$D$158)^2)),0)</f>
        <v>0.378395508468791</v>
      </c>
    </row>
    <row r="446" customFormat="false" ht="15" hidden="false" customHeight="false" outlineLevel="0" collapsed="false">
      <c r="A446" s="0" t="s">
        <v>179</v>
      </c>
      <c r="B446" s="0" t="s">
        <v>209</v>
      </c>
      <c r="C446" s="17" t="n">
        <f aca="false">IF(SQRT((Coordenadas!$C$132-Coordenadas!$C$160)^2+(Coordenadas!$D$132-Coordenadas!$D$160)^2)&lt;=LEEME!$B$20,EXP(-LEEME!$B$19*SQRT((Coordenadas!$C$132-Coordenadas!$C$160)^2+(Coordenadas!$D$132-Coordenadas!$D$160)^2)),0)</f>
        <v>0.544814646158384</v>
      </c>
    </row>
    <row r="447" customFormat="false" ht="15" hidden="false" customHeight="false" outlineLevel="0" collapsed="false">
      <c r="A447" s="0" t="s">
        <v>179</v>
      </c>
      <c r="B447" s="0" t="s">
        <v>212</v>
      </c>
      <c r="C447" s="17" t="n">
        <f aca="false">IF(SQRT((Coordenadas!$C$132-Coordenadas!$C$163)^2+(Coordenadas!$D$132-Coordenadas!$D$163)^2)&lt;=LEEME!$B$20,EXP(-LEEME!$B$19*SQRT((Coordenadas!$C$132-Coordenadas!$C$163)^2+(Coordenadas!$D$132-Coordenadas!$D$163)^2)),0)</f>
        <v>0.687472645600089</v>
      </c>
    </row>
    <row r="448" customFormat="false" ht="15" hidden="false" customHeight="false" outlineLevel="0" collapsed="false">
      <c r="A448" s="0" t="s">
        <v>180</v>
      </c>
      <c r="B448" s="0" t="s">
        <v>197</v>
      </c>
      <c r="C448" s="17" t="n">
        <f aca="false">IF(SQRT((Coordenadas!$C$133-Coordenadas!$C$148)^2+(Coordenadas!$D$133-Coordenadas!$D$148)^2)&lt;=LEEME!$B$20,EXP(-LEEME!$B$19*SQRT((Coordenadas!$C$133-Coordenadas!$C$148)^2+(Coordenadas!$D$133-Coordenadas!$D$148)^2)),0)</f>
        <v>0.446028565448944</v>
      </c>
    </row>
    <row r="449" customFormat="false" ht="15" hidden="false" customHeight="false" outlineLevel="0" collapsed="false">
      <c r="A449" s="0" t="s">
        <v>180</v>
      </c>
      <c r="B449" s="0" t="s">
        <v>206</v>
      </c>
      <c r="C449" s="17" t="n">
        <f aca="false">IF(SQRT((Coordenadas!$C$133-Coordenadas!$C$157)^2+(Coordenadas!$D$133-Coordenadas!$D$157)^2)&lt;=LEEME!$B$20,EXP(-LEEME!$B$19*SQRT((Coordenadas!$C$133-Coordenadas!$C$157)^2+(Coordenadas!$D$133-Coordenadas!$D$157)^2)),0)</f>
        <v>0.675307207213007</v>
      </c>
    </row>
    <row r="450" customFormat="false" ht="15" hidden="false" customHeight="false" outlineLevel="0" collapsed="false">
      <c r="A450" s="0" t="s">
        <v>180</v>
      </c>
      <c r="B450" s="0" t="s">
        <v>207</v>
      </c>
      <c r="C450" s="17" t="n">
        <f aca="false">IF(SQRT((Coordenadas!$C$133-Coordenadas!$C$158)^2+(Coordenadas!$D$133-Coordenadas!$D$158)^2)&lt;=LEEME!$B$20,EXP(-LEEME!$B$19*SQRT((Coordenadas!$C$133-Coordenadas!$C$158)^2+(Coordenadas!$D$133-Coordenadas!$D$158)^2)),0)</f>
        <v>0.464363024632649</v>
      </c>
    </row>
    <row r="451" customFormat="false" ht="15" hidden="false" customHeight="false" outlineLevel="0" collapsed="false">
      <c r="A451" s="0" t="s">
        <v>180</v>
      </c>
      <c r="B451" s="0" t="s">
        <v>209</v>
      </c>
      <c r="C451" s="17" t="n">
        <f aca="false">IF(SQRT((Coordenadas!$C$133-Coordenadas!$C$160)^2+(Coordenadas!$D$133-Coordenadas!$D$160)^2)&lt;=LEEME!$B$20,EXP(-LEEME!$B$19*SQRT((Coordenadas!$C$133-Coordenadas!$C$160)^2+(Coordenadas!$D$133-Coordenadas!$D$160)^2)),0)</f>
        <v>0.47898421764995</v>
      </c>
    </row>
    <row r="452" customFormat="false" ht="15" hidden="false" customHeight="false" outlineLevel="0" collapsed="false">
      <c r="A452" s="0" t="s">
        <v>180</v>
      </c>
      <c r="B452" s="0" t="s">
        <v>212</v>
      </c>
      <c r="C452" s="17" t="n">
        <f aca="false">IF(SQRT((Coordenadas!$C$133-Coordenadas!$C$163)^2+(Coordenadas!$D$133-Coordenadas!$D$163)^2)&lt;=LEEME!$B$20,EXP(-LEEME!$B$19*SQRT((Coordenadas!$C$133-Coordenadas!$C$163)^2+(Coordenadas!$D$133-Coordenadas!$D$163)^2)),0)</f>
        <v>0.498751561134563</v>
      </c>
    </row>
    <row r="453" customFormat="false" ht="15" hidden="false" customHeight="false" outlineLevel="0" collapsed="false">
      <c r="A453" s="0" t="s">
        <v>181</v>
      </c>
      <c r="B453" s="0" t="s">
        <v>197</v>
      </c>
      <c r="C453" s="17" t="n">
        <f aca="false">IF(SQRT((Coordenadas!$C$134-Coordenadas!$C$148)^2+(Coordenadas!$D$134-Coordenadas!$D$148)^2)&lt;=LEEME!$B$20,EXP(-LEEME!$B$19*SQRT((Coordenadas!$C$134-Coordenadas!$C$148)^2+(Coordenadas!$D$134-Coordenadas!$D$148)^2)),0)</f>
        <v>0.558779208832128</v>
      </c>
    </row>
    <row r="454" customFormat="false" ht="15" hidden="false" customHeight="false" outlineLevel="0" collapsed="false">
      <c r="A454" s="0" t="s">
        <v>181</v>
      </c>
      <c r="B454" s="0" t="s">
        <v>206</v>
      </c>
      <c r="C454" s="17" t="n">
        <f aca="false">IF(SQRT((Coordenadas!$C$134-Coordenadas!$C$157)^2+(Coordenadas!$D$134-Coordenadas!$D$157)^2)&lt;=LEEME!$B$20,EXP(-LEEME!$B$19*SQRT((Coordenadas!$C$134-Coordenadas!$C$157)^2+(Coordenadas!$D$134-Coordenadas!$D$157)^2)),0)</f>
        <v>0.559127540154916</v>
      </c>
    </row>
    <row r="455" customFormat="false" ht="15" hidden="false" customHeight="false" outlineLevel="0" collapsed="false">
      <c r="A455" s="0" t="s">
        <v>181</v>
      </c>
      <c r="B455" s="0" t="s">
        <v>207</v>
      </c>
      <c r="C455" s="17" t="n">
        <f aca="false">IF(SQRT((Coordenadas!$C$134-Coordenadas!$C$158)^2+(Coordenadas!$D$134-Coordenadas!$D$158)^2)&lt;=LEEME!$B$20,EXP(-LEEME!$B$19*SQRT((Coordenadas!$C$134-Coordenadas!$C$158)^2+(Coordenadas!$D$134-Coordenadas!$D$158)^2)),0)</f>
        <v>0.563354227932726</v>
      </c>
    </row>
    <row r="456" customFormat="false" ht="15" hidden="false" customHeight="false" outlineLevel="0" collapsed="false">
      <c r="A456" s="0" t="s">
        <v>181</v>
      </c>
      <c r="B456" s="0" t="s">
        <v>209</v>
      </c>
      <c r="C456" s="17" t="n">
        <f aca="false">IF(SQRT((Coordenadas!$C$134-Coordenadas!$C$160)^2+(Coordenadas!$D$134-Coordenadas!$D$160)^2)&lt;=LEEME!$B$20,EXP(-LEEME!$B$19*SQRT((Coordenadas!$C$134-Coordenadas!$C$160)^2+(Coordenadas!$D$134-Coordenadas!$D$160)^2)),0)</f>
        <v>0.443326196243099</v>
      </c>
    </row>
    <row r="457" customFormat="false" ht="15" hidden="false" customHeight="false" outlineLevel="0" collapsed="false">
      <c r="A457" s="0" t="s">
        <v>181</v>
      </c>
      <c r="B457" s="0" t="s">
        <v>212</v>
      </c>
      <c r="C457" s="17" t="n">
        <f aca="false">IF(SQRT((Coordenadas!$C$134-Coordenadas!$C$163)^2+(Coordenadas!$D$134-Coordenadas!$D$163)^2)&lt;=LEEME!$B$20,EXP(-LEEME!$B$19*SQRT((Coordenadas!$C$134-Coordenadas!$C$163)^2+(Coordenadas!$D$134-Coordenadas!$D$163)^2)),0)</f>
        <v>0.392046041666629</v>
      </c>
    </row>
    <row r="458" customFormat="false" ht="15" hidden="false" customHeight="false" outlineLevel="0" collapsed="false">
      <c r="A458" s="0" t="s">
        <v>182</v>
      </c>
      <c r="B458" s="0" t="s">
        <v>197</v>
      </c>
      <c r="C458" s="17" t="n">
        <f aca="false">IF(SQRT((Coordenadas!$C$135-Coordenadas!$C$148)^2+(Coordenadas!$D$135-Coordenadas!$D$148)^2)&lt;=LEEME!$B$20,EXP(-LEEME!$B$19*SQRT((Coordenadas!$C$135-Coordenadas!$C$148)^2+(Coordenadas!$D$135-Coordenadas!$D$148)^2)),0)</f>
        <v>0.560950866410213</v>
      </c>
    </row>
    <row r="459" customFormat="false" ht="15" hidden="false" customHeight="false" outlineLevel="0" collapsed="false">
      <c r="A459" s="0" t="s">
        <v>182</v>
      </c>
      <c r="B459" s="0" t="s">
        <v>207</v>
      </c>
      <c r="C459" s="17" t="n">
        <f aca="false">IF(SQRT((Coordenadas!$C$135-Coordenadas!$C$158)^2+(Coordenadas!$D$135-Coordenadas!$D$158)^2)&lt;=LEEME!$B$20,EXP(-LEEME!$B$19*SQRT((Coordenadas!$C$135-Coordenadas!$C$158)^2+(Coordenadas!$D$135-Coordenadas!$D$158)^2)),0)</f>
        <v>0.854701336862178</v>
      </c>
    </row>
    <row r="460" customFormat="false" ht="15" hidden="false" customHeight="false" outlineLevel="0" collapsed="false">
      <c r="A460" s="0" t="s">
        <v>182</v>
      </c>
      <c r="B460" s="0" t="s">
        <v>209</v>
      </c>
      <c r="C460" s="17" t="n">
        <f aca="false">IF(SQRT((Coordenadas!$C$135-Coordenadas!$C$160)^2+(Coordenadas!$D$135-Coordenadas!$D$160)^2)&lt;=LEEME!$B$20,EXP(-LEEME!$B$19*SQRT((Coordenadas!$C$135-Coordenadas!$C$160)^2+(Coordenadas!$D$135-Coordenadas!$D$160)^2)),0)</f>
        <v>0.416000431083186</v>
      </c>
    </row>
    <row r="461" customFormat="false" ht="15" hidden="false" customHeight="false" outlineLevel="0" collapsed="false">
      <c r="A461" s="0" t="s">
        <v>183</v>
      </c>
      <c r="B461" s="0" t="s">
        <v>193</v>
      </c>
      <c r="C461" s="17" t="n">
        <f aca="false">IF(SQRT((Coordenadas!$C$136-Coordenadas!$C$144)^2+(Coordenadas!$D$136-Coordenadas!$D$144)^2)&lt;=LEEME!$B$20,EXP(-LEEME!$B$19*SQRT((Coordenadas!$C$136-Coordenadas!$C$144)^2+(Coordenadas!$D$136-Coordenadas!$D$144)^2)),0)</f>
        <v>0.404073099416928</v>
      </c>
    </row>
    <row r="462" customFormat="false" ht="15" hidden="false" customHeight="false" outlineLevel="0" collapsed="false">
      <c r="A462" s="0" t="s">
        <v>183</v>
      </c>
      <c r="B462" s="0" t="s">
        <v>197</v>
      </c>
      <c r="C462" s="17" t="n">
        <f aca="false">IF(SQRT((Coordenadas!$C$136-Coordenadas!$C$148)^2+(Coordenadas!$D$136-Coordenadas!$D$148)^2)&lt;=LEEME!$B$20,EXP(-LEEME!$B$19*SQRT((Coordenadas!$C$136-Coordenadas!$C$148)^2+(Coordenadas!$D$136-Coordenadas!$D$148)^2)),0)</f>
        <v>0.375536230381025</v>
      </c>
    </row>
    <row r="463" customFormat="false" ht="15" hidden="false" customHeight="false" outlineLevel="0" collapsed="false">
      <c r="A463" s="0" t="s">
        <v>183</v>
      </c>
      <c r="B463" s="0" t="s">
        <v>206</v>
      </c>
      <c r="C463" s="17" t="n">
        <f aca="false">IF(SQRT((Coordenadas!$C$136-Coordenadas!$C$157)^2+(Coordenadas!$D$136-Coordenadas!$D$157)^2)&lt;=LEEME!$B$20,EXP(-LEEME!$B$19*SQRT((Coordenadas!$C$136-Coordenadas!$C$157)^2+(Coordenadas!$D$136-Coordenadas!$D$157)^2)),0)</f>
        <v>0.506728776576625</v>
      </c>
    </row>
    <row r="464" customFormat="false" ht="15" hidden="false" customHeight="false" outlineLevel="0" collapsed="false">
      <c r="A464" s="0" t="s">
        <v>183</v>
      </c>
      <c r="B464" s="0" t="s">
        <v>207</v>
      </c>
      <c r="C464" s="17" t="n">
        <f aca="false">IF(SQRT((Coordenadas!$C$136-Coordenadas!$C$158)^2+(Coordenadas!$D$136-Coordenadas!$D$158)^2)&lt;=LEEME!$B$20,EXP(-LEEME!$B$19*SQRT((Coordenadas!$C$136-Coordenadas!$C$158)^2+(Coordenadas!$D$136-Coordenadas!$D$158)^2)),0)</f>
        <v>0.521684677663279</v>
      </c>
    </row>
    <row r="465" customFormat="false" ht="15" hidden="false" customHeight="false" outlineLevel="0" collapsed="false">
      <c r="A465" s="0" t="s">
        <v>183</v>
      </c>
      <c r="B465" s="0" t="s">
        <v>209</v>
      </c>
      <c r="C465" s="17" t="n">
        <f aca="false">IF(SQRT((Coordenadas!$C$136-Coordenadas!$C$160)^2+(Coordenadas!$D$136-Coordenadas!$D$160)^2)&lt;=LEEME!$B$20,EXP(-LEEME!$B$19*SQRT((Coordenadas!$C$136-Coordenadas!$C$160)^2+(Coordenadas!$D$136-Coordenadas!$D$160)^2)),0)</f>
        <v>0.659724677128223</v>
      </c>
    </row>
    <row r="466" customFormat="false" ht="15" hidden="false" customHeight="false" outlineLevel="0" collapsed="false">
      <c r="A466" s="0" t="s">
        <v>183</v>
      </c>
      <c r="B466" s="0" t="s">
        <v>212</v>
      </c>
      <c r="C466" s="17" t="n">
        <f aca="false">IF(SQRT((Coordenadas!$C$136-Coordenadas!$C$163)^2+(Coordenadas!$D$136-Coordenadas!$D$163)^2)&lt;=LEEME!$B$20,EXP(-LEEME!$B$19*SQRT((Coordenadas!$C$136-Coordenadas!$C$163)^2+(Coordenadas!$D$136-Coordenadas!$D$163)^2)),0)</f>
        <v>0.516499237675531</v>
      </c>
    </row>
    <row r="467" customFormat="false" ht="15" hidden="false" customHeight="false" outlineLevel="0" collapsed="false">
      <c r="A467" s="0" t="s">
        <v>184</v>
      </c>
      <c r="B467" s="0" t="s">
        <v>193</v>
      </c>
      <c r="C467" s="17" t="n">
        <f aca="false">IF(SQRT((Coordenadas!$C$137-Coordenadas!$C$144)^2+(Coordenadas!$D$137-Coordenadas!$D$144)^2)&lt;=LEEME!$B$20,EXP(-LEEME!$B$19*SQRT((Coordenadas!$C$137-Coordenadas!$C$144)^2+(Coordenadas!$D$137-Coordenadas!$D$144)^2)),0)</f>
        <v>0.431543563314853</v>
      </c>
    </row>
    <row r="468" customFormat="false" ht="15" hidden="false" customHeight="false" outlineLevel="0" collapsed="false">
      <c r="A468" s="0" t="s">
        <v>184</v>
      </c>
      <c r="B468" s="0" t="s">
        <v>203</v>
      </c>
      <c r="C468" s="17" t="n">
        <f aca="false">IF(SQRT((Coordenadas!$C$137-Coordenadas!$C$154)^2+(Coordenadas!$D$137-Coordenadas!$D$154)^2)&lt;=LEEME!$B$20,EXP(-LEEME!$B$19*SQRT((Coordenadas!$C$137-Coordenadas!$C$154)^2+(Coordenadas!$D$137-Coordenadas!$D$154)^2)),0)</f>
        <v>0.428872277567267</v>
      </c>
    </row>
    <row r="469" customFormat="false" ht="15" hidden="false" customHeight="false" outlineLevel="0" collapsed="false">
      <c r="A469" s="0" t="s">
        <v>184</v>
      </c>
      <c r="B469" s="0" t="s">
        <v>206</v>
      </c>
      <c r="C469" s="17" t="n">
        <f aca="false">IF(SQRT((Coordenadas!$C$137-Coordenadas!$C$157)^2+(Coordenadas!$D$137-Coordenadas!$D$157)^2)&lt;=LEEME!$B$20,EXP(-LEEME!$B$19*SQRT((Coordenadas!$C$137-Coordenadas!$C$157)^2+(Coordenadas!$D$137-Coordenadas!$D$157)^2)),0)</f>
        <v>0.435990192085353</v>
      </c>
    </row>
    <row r="470" customFormat="false" ht="15" hidden="false" customHeight="false" outlineLevel="0" collapsed="false">
      <c r="A470" s="0" t="s">
        <v>184</v>
      </c>
      <c r="B470" s="0" t="s">
        <v>207</v>
      </c>
      <c r="C470" s="17" t="n">
        <f aca="false">IF(SQRT((Coordenadas!$C$137-Coordenadas!$C$158)^2+(Coordenadas!$D$137-Coordenadas!$D$158)^2)&lt;=LEEME!$B$20,EXP(-LEEME!$B$19*SQRT((Coordenadas!$C$137-Coordenadas!$C$158)^2+(Coordenadas!$D$137-Coordenadas!$D$158)^2)),0)</f>
        <v>0.498930879813804</v>
      </c>
    </row>
    <row r="471" customFormat="false" ht="15" hidden="false" customHeight="false" outlineLevel="0" collapsed="false">
      <c r="A471" s="0" t="s">
        <v>184</v>
      </c>
      <c r="B471" s="0" t="s">
        <v>209</v>
      </c>
      <c r="C471" s="17" t="n">
        <f aca="false">IF(SQRT((Coordenadas!$C$137-Coordenadas!$C$160)^2+(Coordenadas!$D$137-Coordenadas!$D$160)^2)&lt;=LEEME!$B$20,EXP(-LEEME!$B$19*SQRT((Coordenadas!$C$137-Coordenadas!$C$160)^2+(Coordenadas!$D$137-Coordenadas!$D$160)^2)),0)</f>
        <v>0.787903271296121</v>
      </c>
    </row>
    <row r="472" customFormat="false" ht="15" hidden="false" customHeight="false" outlineLevel="0" collapsed="false">
      <c r="A472" s="0" t="s">
        <v>184</v>
      </c>
      <c r="B472" s="0" t="s">
        <v>212</v>
      </c>
      <c r="C472" s="17" t="n">
        <f aca="false">IF(SQRT((Coordenadas!$C$137-Coordenadas!$C$163)^2+(Coordenadas!$D$137-Coordenadas!$D$163)^2)&lt;=LEEME!$B$20,EXP(-LEEME!$B$19*SQRT((Coordenadas!$C$137-Coordenadas!$C$163)^2+(Coordenadas!$D$137-Coordenadas!$D$163)^2)),0)</f>
        <v>0.515553524428318</v>
      </c>
    </row>
    <row r="473" customFormat="false" ht="15" hidden="false" customHeight="false" outlineLevel="0" collapsed="false">
      <c r="A473" s="0" t="s">
        <v>185</v>
      </c>
      <c r="B473" s="0" t="s">
        <v>197</v>
      </c>
      <c r="C473" s="17" t="n">
        <f aca="false">IF(SQRT((Coordenadas!$C$138-Coordenadas!$C$148)^2+(Coordenadas!$D$138-Coordenadas!$D$148)^2)&lt;=LEEME!$B$20,EXP(-LEEME!$B$19*SQRT((Coordenadas!$C$138-Coordenadas!$C$148)^2+(Coordenadas!$D$138-Coordenadas!$D$148)^2)),0)</f>
        <v>0.373022656862956</v>
      </c>
    </row>
    <row r="474" customFormat="false" ht="15" hidden="false" customHeight="false" outlineLevel="0" collapsed="false">
      <c r="A474" s="0" t="s">
        <v>185</v>
      </c>
      <c r="B474" s="0" t="s">
        <v>201</v>
      </c>
      <c r="C474" s="17" t="n">
        <f aca="false">IF(SQRT((Coordenadas!$C$138-Coordenadas!$C$152)^2+(Coordenadas!$D$138-Coordenadas!$D$152)^2)&lt;=LEEME!$B$20,EXP(-LEEME!$B$19*SQRT((Coordenadas!$C$138-Coordenadas!$C$152)^2+(Coordenadas!$D$138-Coordenadas!$D$152)^2)),0)</f>
        <v>0.378259278819294</v>
      </c>
    </row>
    <row r="475" customFormat="false" ht="15" hidden="false" customHeight="false" outlineLevel="0" collapsed="false">
      <c r="A475" s="0" t="s">
        <v>185</v>
      </c>
      <c r="B475" s="0" t="s">
        <v>203</v>
      </c>
      <c r="C475" s="17" t="n">
        <f aca="false">IF(SQRT((Coordenadas!$C$138-Coordenadas!$C$154)^2+(Coordenadas!$D$138-Coordenadas!$D$154)^2)&lt;=LEEME!$B$20,EXP(-LEEME!$B$19*SQRT((Coordenadas!$C$138-Coordenadas!$C$154)^2+(Coordenadas!$D$138-Coordenadas!$D$154)^2)),0)</f>
        <v>0.390544741296205</v>
      </c>
    </row>
    <row r="476" customFormat="false" ht="15" hidden="false" customHeight="false" outlineLevel="0" collapsed="false">
      <c r="A476" s="0" t="s">
        <v>185</v>
      </c>
      <c r="B476" s="0" t="s">
        <v>206</v>
      </c>
      <c r="C476" s="17" t="n">
        <f aca="false">IF(SQRT((Coordenadas!$C$138-Coordenadas!$C$157)^2+(Coordenadas!$D$138-Coordenadas!$D$157)^2)&lt;=LEEME!$B$20,EXP(-LEEME!$B$19*SQRT((Coordenadas!$C$138-Coordenadas!$C$157)^2+(Coordenadas!$D$138-Coordenadas!$D$157)^2)),0)</f>
        <v>0.38407318854213</v>
      </c>
    </row>
    <row r="477" customFormat="false" ht="15" hidden="false" customHeight="false" outlineLevel="0" collapsed="false">
      <c r="A477" s="0" t="s">
        <v>185</v>
      </c>
      <c r="B477" s="0" t="s">
        <v>207</v>
      </c>
      <c r="C477" s="17" t="n">
        <f aca="false">IF(SQRT((Coordenadas!$C$138-Coordenadas!$C$158)^2+(Coordenadas!$D$138-Coordenadas!$D$158)^2)&lt;=LEEME!$B$20,EXP(-LEEME!$B$19*SQRT((Coordenadas!$C$138-Coordenadas!$C$158)^2+(Coordenadas!$D$138-Coordenadas!$D$158)^2)),0)</f>
        <v>0.646244347987252</v>
      </c>
    </row>
    <row r="478" customFormat="false" ht="15" hidden="false" customHeight="false" outlineLevel="0" collapsed="false">
      <c r="A478" s="0" t="s">
        <v>185</v>
      </c>
      <c r="B478" s="0" t="s">
        <v>209</v>
      </c>
      <c r="C478" s="17" t="n">
        <f aca="false">IF(SQRT((Coordenadas!$C$138-Coordenadas!$C$160)^2+(Coordenadas!$D$138-Coordenadas!$D$160)^2)&lt;=LEEME!$B$20,EXP(-LEEME!$B$19*SQRT((Coordenadas!$C$138-Coordenadas!$C$160)^2+(Coordenadas!$D$138-Coordenadas!$D$160)^2)),0)</f>
        <v>0.679767003586008</v>
      </c>
    </row>
    <row r="479" customFormat="false" ht="15" hidden="false" customHeight="false" outlineLevel="0" collapsed="false">
      <c r="A479" s="0" t="s">
        <v>185</v>
      </c>
      <c r="B479" s="0" t="s">
        <v>212</v>
      </c>
      <c r="C479" s="17" t="n">
        <f aca="false">IF(SQRT((Coordenadas!$C$138-Coordenadas!$C$163)^2+(Coordenadas!$D$138-Coordenadas!$D$163)^2)&lt;=LEEME!$B$20,EXP(-LEEME!$B$19*SQRT((Coordenadas!$C$138-Coordenadas!$C$163)^2+(Coordenadas!$D$138-Coordenadas!$D$163)^2)),0)</f>
        <v>0.396858570227144</v>
      </c>
    </row>
    <row r="480" customFormat="false" ht="15" hidden="false" customHeight="false" outlineLevel="0" collapsed="false">
      <c r="A480" s="0" t="s">
        <v>186</v>
      </c>
      <c r="B480" s="0" t="s">
        <v>197</v>
      </c>
      <c r="C480" s="17" t="n">
        <f aca="false">IF(SQRT((Coordenadas!$C$139-Coordenadas!$C$148)^2+(Coordenadas!$D$139-Coordenadas!$D$148)^2)&lt;=LEEME!$B$20,EXP(-LEEME!$B$19*SQRT((Coordenadas!$C$139-Coordenadas!$C$148)^2+(Coordenadas!$D$139-Coordenadas!$D$148)^2)),0)</f>
        <v>0.408584772750676</v>
      </c>
    </row>
    <row r="481" customFormat="false" ht="15" hidden="false" customHeight="false" outlineLevel="0" collapsed="false">
      <c r="A481" s="0" t="s">
        <v>186</v>
      </c>
      <c r="B481" s="0" t="s">
        <v>201</v>
      </c>
      <c r="C481" s="17" t="n">
        <f aca="false">IF(SQRT((Coordenadas!$C$139-Coordenadas!$C$152)^2+(Coordenadas!$D$139-Coordenadas!$D$152)^2)&lt;=LEEME!$B$20,EXP(-LEEME!$B$19*SQRT((Coordenadas!$C$139-Coordenadas!$C$152)^2+(Coordenadas!$D$139-Coordenadas!$D$152)^2)),0)</f>
        <v>0.411574987743221</v>
      </c>
    </row>
    <row r="482" customFormat="false" ht="15" hidden="false" customHeight="false" outlineLevel="0" collapsed="false">
      <c r="A482" s="0" t="s">
        <v>186</v>
      </c>
      <c r="B482" s="0" t="s">
        <v>207</v>
      </c>
      <c r="C482" s="17" t="n">
        <f aca="false">IF(SQRT((Coordenadas!$C$139-Coordenadas!$C$158)^2+(Coordenadas!$D$139-Coordenadas!$D$158)^2)&lt;=LEEME!$B$20,EXP(-LEEME!$B$19*SQRT((Coordenadas!$C$139-Coordenadas!$C$158)^2+(Coordenadas!$D$139-Coordenadas!$D$158)^2)),0)</f>
        <v>0.788856520476494</v>
      </c>
    </row>
    <row r="483" customFormat="false" ht="15" hidden="false" customHeight="false" outlineLevel="0" collapsed="false">
      <c r="A483" s="0" t="s">
        <v>186</v>
      </c>
      <c r="B483" s="0" t="s">
        <v>209</v>
      </c>
      <c r="C483" s="17" t="n">
        <f aca="false">IF(SQRT((Coordenadas!$C$139-Coordenadas!$C$160)^2+(Coordenadas!$D$139-Coordenadas!$D$160)^2)&lt;=LEEME!$B$20,EXP(-LEEME!$B$19*SQRT((Coordenadas!$C$139-Coordenadas!$C$160)^2+(Coordenadas!$D$139-Coordenadas!$D$160)^2)),0)</f>
        <v>0.560260688998244</v>
      </c>
    </row>
    <row r="484" customFormat="false" ht="15" hidden="false" customHeight="false" outlineLevel="0" collapsed="false">
      <c r="A484" s="0" t="s">
        <v>187</v>
      </c>
      <c r="B484" s="0" t="s">
        <v>193</v>
      </c>
      <c r="C484" s="17" t="n">
        <f aca="false">IF(SQRT((Coordenadas!$C$140-Coordenadas!$C$144)^2+(Coordenadas!$D$140-Coordenadas!$D$144)^2)&lt;=LEEME!$B$20,EXP(-LEEME!$B$19*SQRT((Coordenadas!$C$140-Coordenadas!$C$144)^2+(Coordenadas!$D$140-Coordenadas!$D$144)^2)),0)</f>
        <v>0.390934560351263</v>
      </c>
    </row>
    <row r="485" customFormat="false" ht="15" hidden="false" customHeight="false" outlineLevel="0" collapsed="false">
      <c r="A485" s="0" t="s">
        <v>187</v>
      </c>
      <c r="B485" s="0" t="s">
        <v>197</v>
      </c>
      <c r="C485" s="17" t="n">
        <f aca="false">IF(SQRT((Coordenadas!$C$140-Coordenadas!$C$148)^2+(Coordenadas!$D$140-Coordenadas!$D$148)^2)&lt;=LEEME!$B$20,EXP(-LEEME!$B$19*SQRT((Coordenadas!$C$140-Coordenadas!$C$148)^2+(Coordenadas!$D$140-Coordenadas!$D$148)^2)),0)</f>
        <v>0.408197145181251</v>
      </c>
    </row>
    <row r="486" customFormat="false" ht="15" hidden="false" customHeight="false" outlineLevel="0" collapsed="false">
      <c r="A486" s="0" t="s">
        <v>187</v>
      </c>
      <c r="B486" s="0" t="s">
        <v>206</v>
      </c>
      <c r="C486" s="17" t="n">
        <f aca="false">IF(SQRT((Coordenadas!$C$140-Coordenadas!$C$157)^2+(Coordenadas!$D$140-Coordenadas!$D$157)^2)&lt;=LEEME!$B$20,EXP(-LEEME!$B$19*SQRT((Coordenadas!$C$140-Coordenadas!$C$157)^2+(Coordenadas!$D$140-Coordenadas!$D$157)^2)),0)</f>
        <v>0.591682165699086</v>
      </c>
    </row>
    <row r="487" customFormat="false" ht="15" hidden="false" customHeight="false" outlineLevel="0" collapsed="false">
      <c r="A487" s="0" t="s">
        <v>187</v>
      </c>
      <c r="B487" s="0" t="s">
        <v>207</v>
      </c>
      <c r="C487" s="17" t="n">
        <f aca="false">IF(SQRT((Coordenadas!$C$140-Coordenadas!$C$158)^2+(Coordenadas!$D$140-Coordenadas!$D$158)^2)&lt;=LEEME!$B$20,EXP(-LEEME!$B$19*SQRT((Coordenadas!$C$140-Coordenadas!$C$158)^2+(Coordenadas!$D$140-Coordenadas!$D$158)^2)),0)</f>
        <v>0.493592340407606</v>
      </c>
    </row>
    <row r="488" customFormat="false" ht="15" hidden="false" customHeight="false" outlineLevel="0" collapsed="false">
      <c r="A488" s="0" t="s">
        <v>187</v>
      </c>
      <c r="B488" s="0" t="s">
        <v>209</v>
      </c>
      <c r="C488" s="17" t="n">
        <f aca="false">IF(SQRT((Coordenadas!$C$140-Coordenadas!$C$160)^2+(Coordenadas!$D$140-Coordenadas!$D$160)^2)&lt;=LEEME!$B$20,EXP(-LEEME!$B$19*SQRT((Coordenadas!$C$140-Coordenadas!$C$160)^2+(Coordenadas!$D$140-Coordenadas!$D$160)^2)),0)</f>
        <v>0.564733248943165</v>
      </c>
    </row>
    <row r="489" customFormat="false" ht="15" hidden="false" customHeight="false" outlineLevel="0" collapsed="false">
      <c r="A489" s="0" t="s">
        <v>187</v>
      </c>
      <c r="B489" s="0" t="s">
        <v>212</v>
      </c>
      <c r="C489" s="17" t="n">
        <f aca="false">IF(SQRT((Coordenadas!$C$140-Coordenadas!$C$163)^2+(Coordenadas!$D$140-Coordenadas!$D$163)^2)&lt;=LEEME!$B$20,EXP(-LEEME!$B$19*SQRT((Coordenadas!$C$140-Coordenadas!$C$163)^2+(Coordenadas!$D$140-Coordenadas!$D$163)^2)),0)</f>
        <v>0.525569479487966</v>
      </c>
    </row>
    <row r="490" customFormat="false" ht="15" hidden="false" customHeight="false" outlineLevel="0" collapsed="false">
      <c r="A490" s="0" t="s">
        <v>188</v>
      </c>
      <c r="B490" s="0" t="s">
        <v>197</v>
      </c>
      <c r="C490" s="17" t="n">
        <f aca="false">IF(SQRT((Coordenadas!$C$141-Coordenadas!$C$148)^2+(Coordenadas!$D$141-Coordenadas!$D$148)^2)&lt;=LEEME!$B$20,EXP(-LEEME!$B$19*SQRT((Coordenadas!$C$141-Coordenadas!$C$148)^2+(Coordenadas!$D$141-Coordenadas!$D$148)^2)),0)</f>
        <v>0.518403822130378</v>
      </c>
    </row>
    <row r="491" customFormat="false" ht="15" hidden="false" customHeight="false" outlineLevel="0" collapsed="false">
      <c r="A491" s="0" t="s">
        <v>188</v>
      </c>
      <c r="B491" s="0" t="s">
        <v>206</v>
      </c>
      <c r="C491" s="17" t="n">
        <f aca="false">IF(SQRT((Coordenadas!$C$141-Coordenadas!$C$157)^2+(Coordenadas!$D$141-Coordenadas!$D$157)^2)&lt;=LEEME!$B$20,EXP(-LEEME!$B$19*SQRT((Coordenadas!$C$141-Coordenadas!$C$157)^2+(Coordenadas!$D$141-Coordenadas!$D$157)^2)),0)</f>
        <v>0.480453631280548</v>
      </c>
    </row>
    <row r="492" customFormat="false" ht="15" hidden="false" customHeight="false" outlineLevel="0" collapsed="false">
      <c r="A492" s="0" t="s">
        <v>188</v>
      </c>
      <c r="B492" s="0" t="s">
        <v>207</v>
      </c>
      <c r="C492" s="17" t="n">
        <f aca="false">IF(SQRT((Coordenadas!$C$141-Coordenadas!$C$158)^2+(Coordenadas!$D$141-Coordenadas!$D$158)^2)&lt;=LEEME!$B$20,EXP(-LEEME!$B$19*SQRT((Coordenadas!$C$141-Coordenadas!$C$158)^2+(Coordenadas!$D$141-Coordenadas!$D$158)^2)),0)</f>
        <v>0.660818224484785</v>
      </c>
    </row>
    <row r="493" customFormat="false" ht="15" hidden="false" customHeight="false" outlineLevel="0" collapsed="false">
      <c r="A493" s="0" t="s">
        <v>188</v>
      </c>
      <c r="B493" s="0" t="s">
        <v>209</v>
      </c>
      <c r="C493" s="17" t="n">
        <f aca="false">IF(SQRT((Coordenadas!$C$141-Coordenadas!$C$160)^2+(Coordenadas!$D$141-Coordenadas!$D$160)^2)&lt;=LEEME!$B$20,EXP(-LEEME!$B$19*SQRT((Coordenadas!$C$141-Coordenadas!$C$160)^2+(Coordenadas!$D$141-Coordenadas!$D$160)^2)),0)</f>
        <v>0.503135788271839</v>
      </c>
    </row>
    <row r="494" customFormat="false" ht="15" hidden="false" customHeight="false" outlineLevel="0" collapsed="false">
      <c r="A494" s="0" t="s">
        <v>188</v>
      </c>
      <c r="B494" s="0" t="s">
        <v>212</v>
      </c>
      <c r="C494" s="17" t="n">
        <f aca="false">IF(SQRT((Coordenadas!$C$141-Coordenadas!$C$163)^2+(Coordenadas!$D$141-Coordenadas!$D$163)^2)&lt;=LEEME!$B$20,EXP(-LEEME!$B$19*SQRT((Coordenadas!$C$141-Coordenadas!$C$163)^2+(Coordenadas!$D$141-Coordenadas!$D$163)^2)),0)</f>
        <v>0.382509388406489</v>
      </c>
    </row>
    <row r="495" customFormat="false" ht="15" hidden="false" customHeight="false" outlineLevel="0" collapsed="false">
      <c r="A495" s="0" t="s">
        <v>189</v>
      </c>
      <c r="B495" s="0" t="s">
        <v>197</v>
      </c>
      <c r="C495" s="17" t="n">
        <f aca="false">IF(SQRT((Coordenadas!$C$142-Coordenadas!$C$148)^2+(Coordenadas!$D$142-Coordenadas!$D$148)^2)&lt;=LEEME!$B$20,EXP(-LEEME!$B$19*SQRT((Coordenadas!$C$142-Coordenadas!$C$148)^2+(Coordenadas!$D$142-Coordenadas!$D$148)^2)),0)</f>
        <v>0.459747497045438</v>
      </c>
    </row>
    <row r="496" customFormat="false" ht="15" hidden="false" customHeight="false" outlineLevel="0" collapsed="false">
      <c r="A496" s="0" t="s">
        <v>189</v>
      </c>
      <c r="B496" s="0" t="s">
        <v>206</v>
      </c>
      <c r="C496" s="17" t="n">
        <f aca="false">IF(SQRT((Coordenadas!$C$142-Coordenadas!$C$157)^2+(Coordenadas!$D$142-Coordenadas!$D$157)^2)&lt;=LEEME!$B$20,EXP(-LEEME!$B$19*SQRT((Coordenadas!$C$142-Coordenadas!$C$157)^2+(Coordenadas!$D$142-Coordenadas!$D$157)^2)),0)</f>
        <v>0.432579712424881</v>
      </c>
    </row>
    <row r="497" customFormat="false" ht="15" hidden="false" customHeight="false" outlineLevel="0" collapsed="false">
      <c r="A497" s="0" t="s">
        <v>189</v>
      </c>
      <c r="B497" s="0" t="s">
        <v>207</v>
      </c>
      <c r="C497" s="17" t="n">
        <f aca="false">IF(SQRT((Coordenadas!$C$142-Coordenadas!$C$158)^2+(Coordenadas!$D$142-Coordenadas!$D$158)^2)&lt;=LEEME!$B$20,EXP(-LEEME!$B$19*SQRT((Coordenadas!$C$142-Coordenadas!$C$158)^2+(Coordenadas!$D$142-Coordenadas!$D$158)^2)),0)</f>
        <v>0.701667892319864</v>
      </c>
    </row>
    <row r="498" customFormat="false" ht="15" hidden="false" customHeight="false" outlineLevel="0" collapsed="false">
      <c r="A498" s="0" t="s">
        <v>189</v>
      </c>
      <c r="B498" s="0" t="s">
        <v>209</v>
      </c>
      <c r="C498" s="17" t="n">
        <f aca="false">IF(SQRT((Coordenadas!$C$142-Coordenadas!$C$160)^2+(Coordenadas!$D$142-Coordenadas!$D$160)^2)&lt;=LEEME!$B$20,EXP(-LEEME!$B$19*SQRT((Coordenadas!$C$142-Coordenadas!$C$160)^2+(Coordenadas!$D$142-Coordenadas!$D$160)^2)),0)</f>
        <v>0.564918644392427</v>
      </c>
    </row>
    <row r="499" customFormat="false" ht="15" hidden="false" customHeight="false" outlineLevel="0" collapsed="false">
      <c r="A499" s="0" t="s">
        <v>189</v>
      </c>
      <c r="B499" s="0" t="s">
        <v>212</v>
      </c>
      <c r="C499" s="17" t="n">
        <f aca="false">IF(SQRT((Coordenadas!$C$142-Coordenadas!$C$163)^2+(Coordenadas!$D$142-Coordenadas!$D$163)^2)&lt;=LEEME!$B$20,EXP(-LEEME!$B$19*SQRT((Coordenadas!$C$142-Coordenadas!$C$163)^2+(Coordenadas!$D$142-Coordenadas!$D$163)^2)),0)</f>
        <v>0.382887900456927</v>
      </c>
    </row>
    <row r="500" customFormat="false" ht="15" hidden="false" customHeight="false" outlineLevel="0" collapsed="false">
      <c r="A500" s="0" t="s">
        <v>190</v>
      </c>
      <c r="B500" s="0" t="s">
        <v>197</v>
      </c>
      <c r="C500" s="17" t="n">
        <f aca="false">IF(SQRT((Coordenadas!$C$143-Coordenadas!$C$148)^2+(Coordenadas!$D$143-Coordenadas!$D$148)^2)&lt;=LEEME!$B$20,EXP(-LEEME!$B$19*SQRT((Coordenadas!$C$143-Coordenadas!$C$148)^2+(Coordenadas!$D$143-Coordenadas!$D$148)^2)),0)</f>
        <v>0.652218459282004</v>
      </c>
    </row>
    <row r="501" customFormat="false" ht="15" hidden="false" customHeight="false" outlineLevel="0" collapsed="false">
      <c r="A501" s="0" t="s">
        <v>190</v>
      </c>
      <c r="B501" s="0" t="s">
        <v>206</v>
      </c>
      <c r="C501" s="17" t="n">
        <f aca="false">IF(SQRT((Coordenadas!$C$143-Coordenadas!$C$157)^2+(Coordenadas!$D$143-Coordenadas!$D$157)^2)&lt;=LEEME!$B$20,EXP(-LEEME!$B$19*SQRT((Coordenadas!$C$143-Coordenadas!$C$157)^2+(Coordenadas!$D$143-Coordenadas!$D$157)^2)),0)</f>
        <v>0.435858934748342</v>
      </c>
    </row>
    <row r="502" customFormat="false" ht="15" hidden="false" customHeight="false" outlineLevel="0" collapsed="false">
      <c r="A502" s="0" t="s">
        <v>190</v>
      </c>
      <c r="B502" s="0" t="s">
        <v>207</v>
      </c>
      <c r="C502" s="17" t="n">
        <f aca="false">IF(SQRT((Coordenadas!$C$143-Coordenadas!$C$158)^2+(Coordenadas!$D$143-Coordenadas!$D$158)^2)&lt;=LEEME!$B$20,EXP(-LEEME!$B$19*SQRT((Coordenadas!$C$143-Coordenadas!$C$158)^2+(Coordenadas!$D$143-Coordenadas!$D$158)^2)),0)</f>
        <v>0.674620389603521</v>
      </c>
    </row>
    <row r="503" customFormat="false" ht="15" hidden="false" customHeight="false" outlineLevel="0" collapsed="false">
      <c r="A503" s="0" t="s">
        <v>190</v>
      </c>
      <c r="B503" s="0" t="s">
        <v>209</v>
      </c>
      <c r="C503" s="17" t="n">
        <f aca="false">IF(SQRT((Coordenadas!$C$143-Coordenadas!$C$160)^2+(Coordenadas!$D$143-Coordenadas!$D$160)^2)&lt;=LEEME!$B$20,EXP(-LEEME!$B$19*SQRT((Coordenadas!$C$143-Coordenadas!$C$160)^2+(Coordenadas!$D$143-Coordenadas!$D$160)^2)),0)</f>
        <v>0.399316659243661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0" t="s">
        <v>268</v>
      </c>
      <c r="B1" s="0" t="s">
        <v>230</v>
      </c>
    </row>
    <row r="2" customFormat="false" ht="15" hidden="false" customHeight="false" outlineLevel="0" collapsed="false">
      <c r="A2" s="0" t="s">
        <v>269</v>
      </c>
      <c r="B2" s="0" t="s">
        <v>233</v>
      </c>
    </row>
    <row r="3" customFormat="false" ht="15" hidden="false" customHeight="false" outlineLevel="0" collapsed="false">
      <c r="A3" s="0" t="s">
        <v>270</v>
      </c>
      <c r="B3" s="0" t="s">
        <v>233</v>
      </c>
    </row>
    <row r="4" customFormat="false" ht="15" hidden="false" customHeight="false" outlineLevel="0" collapsed="false">
      <c r="A4" s="0" t="s">
        <v>271</v>
      </c>
      <c r="B4" s="0" t="s">
        <v>232</v>
      </c>
    </row>
    <row r="5" customFormat="false" ht="15" hidden="false" customHeight="false" outlineLevel="0" collapsed="false">
      <c r="A5" s="0" t="s">
        <v>272</v>
      </c>
      <c r="B5" s="0" t="s">
        <v>233</v>
      </c>
    </row>
    <row r="6" customFormat="false" ht="15" hidden="false" customHeight="false" outlineLevel="0" collapsed="false">
      <c r="A6" s="0" t="s">
        <v>273</v>
      </c>
      <c r="B6" s="0" t="s">
        <v>233</v>
      </c>
    </row>
    <row r="7" customFormat="false" ht="15" hidden="false" customHeight="false" outlineLevel="0" collapsed="false">
      <c r="A7" s="0" t="s">
        <v>274</v>
      </c>
      <c r="B7" s="0" t="s">
        <v>233</v>
      </c>
    </row>
    <row r="8" customFormat="false" ht="15" hidden="false" customHeight="false" outlineLevel="0" collapsed="false">
      <c r="A8" s="0" t="s">
        <v>275</v>
      </c>
      <c r="B8" s="0" t="s">
        <v>233</v>
      </c>
    </row>
    <row r="9" customFormat="false" ht="15" hidden="false" customHeight="false" outlineLevel="0" collapsed="false">
      <c r="A9" s="0" t="s">
        <v>276</v>
      </c>
      <c r="B9" s="0" t="s">
        <v>233</v>
      </c>
    </row>
    <row r="10" customFormat="false" ht="15" hidden="false" customHeight="false" outlineLevel="0" collapsed="false">
      <c r="A10" s="0" t="s">
        <v>277</v>
      </c>
      <c r="B10" s="0" t="s">
        <v>233</v>
      </c>
    </row>
    <row r="11" customFormat="false" ht="15" hidden="false" customHeight="false" outlineLevel="0" collapsed="false">
      <c r="A11" s="0" t="s">
        <v>278</v>
      </c>
      <c r="B11" s="0" t="s">
        <v>233</v>
      </c>
    </row>
    <row r="12" customFormat="false" ht="15" hidden="false" customHeight="false" outlineLevel="0" collapsed="false">
      <c r="A12" s="0" t="s">
        <v>279</v>
      </c>
      <c r="B12" s="0" t="s">
        <v>233</v>
      </c>
    </row>
    <row r="13" customFormat="false" ht="15" hidden="false" customHeight="false" outlineLevel="0" collapsed="false">
      <c r="A13" s="0" t="s">
        <v>280</v>
      </c>
      <c r="B13" s="0" t="s">
        <v>232</v>
      </c>
    </row>
    <row r="14" customFormat="false" ht="15" hidden="false" customHeight="false" outlineLevel="0" collapsed="false">
      <c r="A14" s="0" t="s">
        <v>280</v>
      </c>
      <c r="B14" s="0" t="s">
        <v>233</v>
      </c>
    </row>
    <row r="15" customFormat="false" ht="15" hidden="false" customHeight="false" outlineLevel="0" collapsed="false">
      <c r="A15" s="0" t="s">
        <v>280</v>
      </c>
      <c r="B15" s="0" t="s">
        <v>234</v>
      </c>
    </row>
    <row r="16" customFormat="false" ht="15" hidden="false" customHeight="false" outlineLevel="0" collapsed="false">
      <c r="A16" s="0" t="s">
        <v>281</v>
      </c>
      <c r="B16" s="0" t="s">
        <v>233</v>
      </c>
    </row>
    <row r="17" customFormat="false" ht="15" hidden="false" customHeight="false" outlineLevel="0" collapsed="false">
      <c r="A17" s="0" t="s">
        <v>282</v>
      </c>
      <c r="B17" s="0" t="s">
        <v>232</v>
      </c>
    </row>
    <row r="18" customFormat="false" ht="15" hidden="false" customHeight="false" outlineLevel="0" collapsed="false">
      <c r="A18" s="0" t="s">
        <v>282</v>
      </c>
      <c r="B18" s="0" t="s">
        <v>234</v>
      </c>
    </row>
    <row r="19" customFormat="false" ht="15" hidden="false" customHeight="false" outlineLevel="0" collapsed="false">
      <c r="A19" s="0" t="s">
        <v>283</v>
      </c>
      <c r="B19" s="0" t="s">
        <v>233</v>
      </c>
    </row>
    <row r="20" customFormat="false" ht="15" hidden="false" customHeight="false" outlineLevel="0" collapsed="false">
      <c r="A20" s="0" t="s">
        <v>284</v>
      </c>
      <c r="B20" s="0" t="s">
        <v>232</v>
      </c>
    </row>
    <row r="21" customFormat="false" ht="15" hidden="false" customHeight="false" outlineLevel="0" collapsed="false">
      <c r="A21" s="0" t="s">
        <v>285</v>
      </c>
      <c r="B21" s="0" t="s">
        <v>233</v>
      </c>
    </row>
    <row r="22" customFormat="false" ht="15" hidden="false" customHeight="false" outlineLevel="0" collapsed="false">
      <c r="A22" s="0" t="s">
        <v>286</v>
      </c>
      <c r="B22" s="0" t="s">
        <v>233</v>
      </c>
    </row>
    <row r="23" customFormat="false" ht="15" hidden="false" customHeight="false" outlineLevel="0" collapsed="false">
      <c r="A23" s="0" t="s">
        <v>287</v>
      </c>
      <c r="B23" s="0" t="s">
        <v>233</v>
      </c>
    </row>
    <row r="24" customFormat="false" ht="15" hidden="false" customHeight="false" outlineLevel="0" collapsed="false">
      <c r="A24" s="0" t="s">
        <v>288</v>
      </c>
      <c r="B24" s="0" t="s">
        <v>234</v>
      </c>
    </row>
    <row r="25" customFormat="false" ht="15" hidden="false" customHeight="false" outlineLevel="0" collapsed="false">
      <c r="A25" s="0" t="s">
        <v>289</v>
      </c>
      <c r="B25" s="0" t="s">
        <v>233</v>
      </c>
    </row>
    <row r="26" customFormat="false" ht="15" hidden="false" customHeight="false" outlineLevel="0" collapsed="false">
      <c r="A26" s="0" t="s">
        <v>290</v>
      </c>
      <c r="B26" s="0" t="s">
        <v>232</v>
      </c>
    </row>
    <row r="27" customFormat="false" ht="15" hidden="false" customHeight="false" outlineLevel="0" collapsed="false">
      <c r="A27" s="0" t="s">
        <v>290</v>
      </c>
      <c r="B27" s="0" t="s">
        <v>233</v>
      </c>
    </row>
    <row r="28" customFormat="false" ht="15" hidden="false" customHeight="false" outlineLevel="0" collapsed="false">
      <c r="A28" s="0" t="s">
        <v>291</v>
      </c>
      <c r="B28" s="0" t="s">
        <v>233</v>
      </c>
    </row>
    <row r="29" customFormat="false" ht="15" hidden="false" customHeight="false" outlineLevel="0" collapsed="false">
      <c r="A29" s="0" t="s">
        <v>292</v>
      </c>
      <c r="B29" s="0" t="s">
        <v>233</v>
      </c>
    </row>
    <row r="30" customFormat="false" ht="15" hidden="false" customHeight="false" outlineLevel="0" collapsed="false">
      <c r="A30" s="0" t="s">
        <v>293</v>
      </c>
      <c r="B30" s="0" t="s">
        <v>233</v>
      </c>
    </row>
    <row r="31" customFormat="false" ht="15" hidden="false" customHeight="false" outlineLevel="0" collapsed="false">
      <c r="A31" s="0" t="s">
        <v>294</v>
      </c>
      <c r="B31" s="0" t="s">
        <v>232</v>
      </c>
    </row>
    <row r="32" customFormat="false" ht="15" hidden="false" customHeight="false" outlineLevel="0" collapsed="false">
      <c r="A32" s="0" t="s">
        <v>294</v>
      </c>
      <c r="B32" s="0" t="s">
        <v>233</v>
      </c>
    </row>
    <row r="33" customFormat="false" ht="15" hidden="false" customHeight="false" outlineLevel="0" collapsed="false">
      <c r="A33" s="0" t="s">
        <v>294</v>
      </c>
      <c r="B33" s="0" t="s">
        <v>234</v>
      </c>
    </row>
    <row r="34" customFormat="false" ht="15" hidden="false" customHeight="false" outlineLevel="0" collapsed="false">
      <c r="A34" s="0" t="s">
        <v>295</v>
      </c>
      <c r="B34" s="0" t="s">
        <v>233</v>
      </c>
    </row>
    <row r="35" customFormat="false" ht="15" hidden="false" customHeight="false" outlineLevel="0" collapsed="false">
      <c r="A35" s="0" t="s">
        <v>295</v>
      </c>
      <c r="B35" s="0" t="s">
        <v>234</v>
      </c>
    </row>
    <row r="36" customFormat="false" ht="15" hidden="false" customHeight="false" outlineLevel="0" collapsed="false">
      <c r="A36" s="0" t="s">
        <v>296</v>
      </c>
      <c r="B36" s="0" t="s">
        <v>232</v>
      </c>
    </row>
    <row r="37" customFormat="false" ht="15" hidden="false" customHeight="false" outlineLevel="0" collapsed="false">
      <c r="A37" s="0" t="s">
        <v>297</v>
      </c>
      <c r="B37" s="0" t="s">
        <v>233</v>
      </c>
    </row>
    <row r="38" customFormat="false" ht="15" hidden="false" customHeight="false" outlineLevel="0" collapsed="false">
      <c r="A38" s="0" t="s">
        <v>298</v>
      </c>
      <c r="B38" s="0" t="s">
        <v>232</v>
      </c>
    </row>
    <row r="39" customFormat="false" ht="15" hidden="false" customHeight="false" outlineLevel="0" collapsed="false">
      <c r="A39" s="0" t="s">
        <v>299</v>
      </c>
      <c r="B39" s="0" t="s">
        <v>233</v>
      </c>
    </row>
    <row r="40" customFormat="false" ht="15" hidden="false" customHeight="false" outlineLevel="0" collapsed="false">
      <c r="A40" s="0" t="s">
        <v>300</v>
      </c>
      <c r="B40" s="0" t="s">
        <v>234</v>
      </c>
    </row>
    <row r="41" customFormat="false" ht="15" hidden="false" customHeight="false" outlineLevel="0" collapsed="false">
      <c r="A41" s="0" t="s">
        <v>301</v>
      </c>
      <c r="B41" s="0" t="s">
        <v>233</v>
      </c>
    </row>
    <row r="42" customFormat="false" ht="15" hidden="false" customHeight="false" outlineLevel="0" collapsed="false">
      <c r="A42" s="0" t="s">
        <v>302</v>
      </c>
      <c r="B42" s="0" t="s">
        <v>232</v>
      </c>
    </row>
    <row r="43" customFormat="false" ht="15" hidden="false" customHeight="false" outlineLevel="0" collapsed="false">
      <c r="A43" s="0" t="s">
        <v>302</v>
      </c>
      <c r="B43" s="0" t="s">
        <v>233</v>
      </c>
    </row>
    <row r="44" customFormat="false" ht="15" hidden="false" customHeight="false" outlineLevel="0" collapsed="false">
      <c r="A44" s="0" t="s">
        <v>303</v>
      </c>
      <c r="B44" s="0" t="s">
        <v>233</v>
      </c>
    </row>
    <row r="45" customFormat="false" ht="15" hidden="false" customHeight="false" outlineLevel="0" collapsed="false">
      <c r="A45" s="0" t="s">
        <v>304</v>
      </c>
      <c r="B45" s="0" t="s">
        <v>233</v>
      </c>
    </row>
    <row r="46" customFormat="false" ht="15" hidden="false" customHeight="false" outlineLevel="0" collapsed="false">
      <c r="A46" s="0" t="s">
        <v>305</v>
      </c>
      <c r="B46" s="0" t="s">
        <v>234</v>
      </c>
    </row>
    <row r="47" customFormat="false" ht="15" hidden="false" customHeight="false" outlineLevel="0" collapsed="false">
      <c r="A47" s="0" t="s">
        <v>306</v>
      </c>
      <c r="B47" s="0" t="s">
        <v>232</v>
      </c>
    </row>
    <row r="48" customFormat="false" ht="15" hidden="false" customHeight="false" outlineLevel="0" collapsed="false">
      <c r="A48" s="0" t="s">
        <v>306</v>
      </c>
      <c r="B48" s="0" t="s">
        <v>233</v>
      </c>
    </row>
    <row r="49" customFormat="false" ht="15" hidden="false" customHeight="false" outlineLevel="0" collapsed="false">
      <c r="A49" s="0" t="s">
        <v>306</v>
      </c>
      <c r="B49" s="0" t="s">
        <v>234</v>
      </c>
    </row>
    <row r="50" customFormat="false" ht="15" hidden="false" customHeight="false" outlineLevel="0" collapsed="false">
      <c r="A50" s="0" t="s">
        <v>307</v>
      </c>
      <c r="B50" s="0" t="s">
        <v>233</v>
      </c>
    </row>
    <row r="51" customFormat="false" ht="15" hidden="false" customHeight="false" outlineLevel="0" collapsed="false">
      <c r="A51" s="0" t="s">
        <v>308</v>
      </c>
      <c r="B51" s="0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9"/>
  </cols>
  <sheetData>
    <row r="1" customFormat="false" ht="22.5" hidden="false" customHeight="true" outlineLevel="0" collapsed="false">
      <c r="A1" s="16" t="s">
        <v>42</v>
      </c>
      <c r="B1" s="16" t="s">
        <v>268</v>
      </c>
      <c r="C1" s="16" t="s">
        <v>267</v>
      </c>
    </row>
    <row r="2" customFormat="false" ht="15" hidden="false" customHeight="false" outlineLevel="0" collapsed="false">
      <c r="A2" s="0" t="s">
        <v>45</v>
      </c>
      <c r="B2" s="0" t="s">
        <v>282</v>
      </c>
      <c r="C2" s="17" t="n">
        <f aca="false">IF(SQRT((Coordenadas!$C$2-Coordenadas!$C$177)^2+(Coordenadas!$D$2-Coordenadas!$D$177)^2)&lt;=LEEME!$B$20,EXP(-LEEME!$B$19*SQRT((Coordenadas!$C$2-Coordenadas!$C$177)^2+(Coordenadas!$D$2-Coordenadas!$D$177)^2)),0)</f>
        <v>0.749007022007195</v>
      </c>
    </row>
    <row r="3" customFormat="false" ht="15" hidden="false" customHeight="false" outlineLevel="0" collapsed="false">
      <c r="A3" s="0" t="s">
        <v>45</v>
      </c>
      <c r="B3" s="0" t="s">
        <v>285</v>
      </c>
      <c r="C3" s="17" t="n">
        <f aca="false">IF(SQRT((Coordenadas!$C$2-Coordenadas!$C$180)^2+(Coordenadas!$D$2-Coordenadas!$D$180)^2)&lt;=LEEME!$B$20,EXP(-LEEME!$B$19*SQRT((Coordenadas!$C$2-Coordenadas!$C$180)^2+(Coordenadas!$D$2-Coordenadas!$D$180)^2)),0)</f>
        <v>0.479766582081975</v>
      </c>
    </row>
    <row r="4" customFormat="false" ht="15" hidden="false" customHeight="false" outlineLevel="0" collapsed="false">
      <c r="A4" s="0" t="s">
        <v>45</v>
      </c>
      <c r="B4" s="0" t="s">
        <v>286</v>
      </c>
      <c r="C4" s="17" t="n">
        <f aca="false">IF(SQRT((Coordenadas!$C$2-Coordenadas!$C$181)^2+(Coordenadas!$D$2-Coordenadas!$D$181)^2)&lt;=LEEME!$B$20,EXP(-LEEME!$B$19*SQRT((Coordenadas!$C$2-Coordenadas!$C$181)^2+(Coordenadas!$D$2-Coordenadas!$D$181)^2)),0)</f>
        <v>0.873635043533595</v>
      </c>
    </row>
    <row r="5" customFormat="false" ht="15" hidden="false" customHeight="false" outlineLevel="0" collapsed="false">
      <c r="A5" s="0" t="s">
        <v>45</v>
      </c>
      <c r="B5" s="0" t="s">
        <v>287</v>
      </c>
      <c r="C5" s="17" t="n">
        <f aca="false">IF(SQRT((Coordenadas!$C$2-Coordenadas!$C$182)^2+(Coordenadas!$D$2-Coordenadas!$D$182)^2)&lt;=LEEME!$B$20,EXP(-LEEME!$B$19*SQRT((Coordenadas!$C$2-Coordenadas!$C$182)^2+(Coordenadas!$D$2-Coordenadas!$D$182)^2)),0)</f>
        <v>0.42075363656316</v>
      </c>
    </row>
    <row r="6" customFormat="false" ht="15" hidden="false" customHeight="false" outlineLevel="0" collapsed="false">
      <c r="A6" s="0" t="s">
        <v>45</v>
      </c>
      <c r="B6" s="0" t="s">
        <v>288</v>
      </c>
      <c r="C6" s="17" t="n">
        <f aca="false">IF(SQRT((Coordenadas!$C$2-Coordenadas!$C$183)^2+(Coordenadas!$D$2-Coordenadas!$D$183)^2)&lt;=LEEME!$B$20,EXP(-LEEME!$B$19*SQRT((Coordenadas!$C$2-Coordenadas!$C$183)^2+(Coordenadas!$D$2-Coordenadas!$D$183)^2)),0)</f>
        <v>0.402524224033636</v>
      </c>
    </row>
    <row r="7" customFormat="false" ht="15" hidden="false" customHeight="false" outlineLevel="0" collapsed="false">
      <c r="A7" s="0" t="s">
        <v>45</v>
      </c>
      <c r="B7" s="0" t="s">
        <v>293</v>
      </c>
      <c r="C7" s="17" t="n">
        <f aca="false">IF(SQRT((Coordenadas!$C$2-Coordenadas!$C$188)^2+(Coordenadas!$D$2-Coordenadas!$D$188)^2)&lt;=LEEME!$B$20,EXP(-LEEME!$B$19*SQRT((Coordenadas!$C$2-Coordenadas!$C$188)^2+(Coordenadas!$D$2-Coordenadas!$D$188)^2)),0)</f>
        <v>0.559970779971195</v>
      </c>
    </row>
    <row r="8" customFormat="false" ht="15" hidden="false" customHeight="false" outlineLevel="0" collapsed="false">
      <c r="A8" s="0" t="s">
        <v>45</v>
      </c>
      <c r="B8" s="0" t="s">
        <v>294</v>
      </c>
      <c r="C8" s="17" t="n">
        <f aca="false">IF(SQRT((Coordenadas!$C$2-Coordenadas!$C$189)^2+(Coordenadas!$D$2-Coordenadas!$D$189)^2)&lt;=LEEME!$B$20,EXP(-LEEME!$B$19*SQRT((Coordenadas!$C$2-Coordenadas!$C$189)^2+(Coordenadas!$D$2-Coordenadas!$D$189)^2)),0)</f>
        <v>0.465638300332708</v>
      </c>
    </row>
    <row r="9" customFormat="false" ht="15" hidden="false" customHeight="false" outlineLevel="0" collapsed="false">
      <c r="A9" s="0" t="s">
        <v>45</v>
      </c>
      <c r="B9" s="0" t="s">
        <v>295</v>
      </c>
      <c r="C9" s="17" t="n">
        <f aca="false">IF(SQRT((Coordenadas!$C$2-Coordenadas!$C$190)^2+(Coordenadas!$D$2-Coordenadas!$D$190)^2)&lt;=LEEME!$B$20,EXP(-LEEME!$B$19*SQRT((Coordenadas!$C$2-Coordenadas!$C$190)^2+(Coordenadas!$D$2-Coordenadas!$D$190)^2)),0)</f>
        <v>0.532549536155557</v>
      </c>
    </row>
    <row r="10" customFormat="false" ht="15" hidden="false" customHeight="false" outlineLevel="0" collapsed="false">
      <c r="A10" s="0" t="s">
        <v>47</v>
      </c>
      <c r="B10" s="0" t="s">
        <v>282</v>
      </c>
      <c r="C10" s="17" t="n">
        <f aca="false">IF(SQRT((Coordenadas!$C$3-Coordenadas!$C$177)^2+(Coordenadas!$D$3-Coordenadas!$D$177)^2)&lt;=LEEME!$B$20,EXP(-LEEME!$B$19*SQRT((Coordenadas!$C$3-Coordenadas!$C$177)^2+(Coordenadas!$D$3-Coordenadas!$D$177)^2)),0)</f>
        <v>0.66026073797151</v>
      </c>
    </row>
    <row r="11" customFormat="false" ht="15" hidden="false" customHeight="false" outlineLevel="0" collapsed="false">
      <c r="A11" s="0" t="s">
        <v>47</v>
      </c>
      <c r="B11" s="0" t="s">
        <v>285</v>
      </c>
      <c r="C11" s="17" t="n">
        <f aca="false">IF(SQRT((Coordenadas!$C$3-Coordenadas!$C$180)^2+(Coordenadas!$D$3-Coordenadas!$D$180)^2)&lt;=LEEME!$B$20,EXP(-LEEME!$B$19*SQRT((Coordenadas!$C$3-Coordenadas!$C$180)^2+(Coordenadas!$D$3-Coordenadas!$D$180)^2)),0)</f>
        <v>0.410097099844712</v>
      </c>
    </row>
    <row r="12" customFormat="false" ht="15" hidden="false" customHeight="false" outlineLevel="0" collapsed="false">
      <c r="A12" s="0" t="s">
        <v>47</v>
      </c>
      <c r="B12" s="0" t="s">
        <v>286</v>
      </c>
      <c r="C12" s="17" t="n">
        <f aca="false">IF(SQRT((Coordenadas!$C$3-Coordenadas!$C$181)^2+(Coordenadas!$D$3-Coordenadas!$D$181)^2)&lt;=LEEME!$B$20,EXP(-LEEME!$B$19*SQRT((Coordenadas!$C$3-Coordenadas!$C$181)^2+(Coordenadas!$D$3-Coordenadas!$D$181)^2)),0)</f>
        <v>0.767169765089531</v>
      </c>
    </row>
    <row r="13" customFormat="false" ht="15" hidden="false" customHeight="false" outlineLevel="0" collapsed="false">
      <c r="A13" s="0" t="s">
        <v>47</v>
      </c>
      <c r="B13" s="0" t="s">
        <v>287</v>
      </c>
      <c r="C13" s="17" t="n">
        <f aca="false">IF(SQRT((Coordenadas!$C$3-Coordenadas!$C$182)^2+(Coordenadas!$D$3-Coordenadas!$D$182)^2)&lt;=LEEME!$B$20,EXP(-LEEME!$B$19*SQRT((Coordenadas!$C$3-Coordenadas!$C$182)^2+(Coordenadas!$D$3-Coordenadas!$D$182)^2)),0)</f>
        <v>0.456112438864552</v>
      </c>
    </row>
    <row r="14" customFormat="false" ht="15" hidden="false" customHeight="false" outlineLevel="0" collapsed="false">
      <c r="A14" s="0" t="s">
        <v>47</v>
      </c>
      <c r="B14" s="0" t="s">
        <v>288</v>
      </c>
      <c r="C14" s="17" t="n">
        <f aca="false">IF(SQRT((Coordenadas!$C$3-Coordenadas!$C$183)^2+(Coordenadas!$D$3-Coordenadas!$D$183)^2)&lt;=LEEME!$B$20,EXP(-LEEME!$B$19*SQRT((Coordenadas!$C$3-Coordenadas!$C$183)^2+(Coordenadas!$D$3-Coordenadas!$D$183)^2)),0)</f>
        <v>0.440431654505999</v>
      </c>
    </row>
    <row r="15" customFormat="false" ht="15" hidden="false" customHeight="false" outlineLevel="0" collapsed="false">
      <c r="A15" s="0" t="s">
        <v>47</v>
      </c>
      <c r="B15" s="0" t="s">
        <v>293</v>
      </c>
      <c r="C15" s="17" t="n">
        <f aca="false">IF(SQRT((Coordenadas!$C$3-Coordenadas!$C$188)^2+(Coordenadas!$D$3-Coordenadas!$D$188)^2)&lt;=LEEME!$B$20,EXP(-LEEME!$B$19*SQRT((Coordenadas!$C$3-Coordenadas!$C$188)^2+(Coordenadas!$D$3-Coordenadas!$D$188)^2)),0)</f>
        <v>0.564856827309444</v>
      </c>
    </row>
    <row r="16" customFormat="false" ht="15" hidden="false" customHeight="false" outlineLevel="0" collapsed="false">
      <c r="A16" s="0" t="s">
        <v>47</v>
      </c>
      <c r="B16" s="0" t="s">
        <v>294</v>
      </c>
      <c r="C16" s="17" t="n">
        <f aca="false">IF(SQRT((Coordenadas!$C$3-Coordenadas!$C$189)^2+(Coordenadas!$D$3-Coordenadas!$D$189)^2)&lt;=LEEME!$B$20,EXP(-LEEME!$B$19*SQRT((Coordenadas!$C$3-Coordenadas!$C$189)^2+(Coordenadas!$D$3-Coordenadas!$D$189)^2)),0)</f>
        <v>0.56163120034506</v>
      </c>
    </row>
    <row r="17" customFormat="false" ht="15" hidden="false" customHeight="false" outlineLevel="0" collapsed="false">
      <c r="A17" s="0" t="s">
        <v>47</v>
      </c>
      <c r="B17" s="0" t="s">
        <v>295</v>
      </c>
      <c r="C17" s="17" t="n">
        <f aca="false">IF(SQRT((Coordenadas!$C$3-Coordenadas!$C$190)^2+(Coordenadas!$D$3-Coordenadas!$D$190)^2)&lt;=LEEME!$B$20,EXP(-LEEME!$B$19*SQRT((Coordenadas!$C$3-Coordenadas!$C$190)^2+(Coordenadas!$D$3-Coordenadas!$D$190)^2)),0)</f>
        <v>0.627679721079842</v>
      </c>
    </row>
    <row r="18" customFormat="false" ht="15" hidden="false" customHeight="false" outlineLevel="0" collapsed="false">
      <c r="A18" s="0" t="s">
        <v>48</v>
      </c>
      <c r="B18" s="0" t="s">
        <v>282</v>
      </c>
      <c r="C18" s="17" t="n">
        <f aca="false">IF(SQRT((Coordenadas!$C$4-Coordenadas!$C$177)^2+(Coordenadas!$D$4-Coordenadas!$D$177)^2)&lt;=LEEME!$B$20,EXP(-LEEME!$B$19*SQRT((Coordenadas!$C$4-Coordenadas!$C$177)^2+(Coordenadas!$D$4-Coordenadas!$D$177)^2)),0)</f>
        <v>0.450081602233565</v>
      </c>
    </row>
    <row r="19" customFormat="false" ht="15" hidden="false" customHeight="false" outlineLevel="0" collapsed="false">
      <c r="A19" s="0" t="s">
        <v>48</v>
      </c>
      <c r="B19" s="0" t="s">
        <v>285</v>
      </c>
      <c r="C19" s="17" t="n">
        <f aca="false">IF(SQRT((Coordenadas!$C$4-Coordenadas!$C$180)^2+(Coordenadas!$D$4-Coordenadas!$D$180)^2)&lt;=LEEME!$B$20,EXP(-LEEME!$B$19*SQRT((Coordenadas!$C$4-Coordenadas!$C$180)^2+(Coordenadas!$D$4-Coordenadas!$D$180)^2)),0)</f>
        <v>0.679129703521628</v>
      </c>
    </row>
    <row r="20" customFormat="false" ht="15" hidden="false" customHeight="false" outlineLevel="0" collapsed="false">
      <c r="A20" s="0" t="s">
        <v>48</v>
      </c>
      <c r="B20" s="0" t="s">
        <v>286</v>
      </c>
      <c r="C20" s="17" t="n">
        <f aca="false">IF(SQRT((Coordenadas!$C$4-Coordenadas!$C$181)^2+(Coordenadas!$D$4-Coordenadas!$D$181)^2)&lt;=LEEME!$B$20,EXP(-LEEME!$B$19*SQRT((Coordenadas!$C$4-Coordenadas!$C$181)^2+(Coordenadas!$D$4-Coordenadas!$D$181)^2)),0)</f>
        <v>0.511880492178705</v>
      </c>
    </row>
    <row r="21" customFormat="false" ht="15" hidden="false" customHeight="false" outlineLevel="0" collapsed="false">
      <c r="A21" s="0" t="s">
        <v>48</v>
      </c>
      <c r="B21" s="0" t="s">
        <v>290</v>
      </c>
      <c r="C21" s="17" t="n">
        <f aca="false">IF(SQRT((Coordenadas!$C$4-Coordenadas!$C$185)^2+(Coordenadas!$D$4-Coordenadas!$D$185)^2)&lt;=LEEME!$B$20,EXP(-LEEME!$B$19*SQRT((Coordenadas!$C$4-Coordenadas!$C$185)^2+(Coordenadas!$D$4-Coordenadas!$D$185)^2)),0)</f>
        <v>0.62188505646502</v>
      </c>
    </row>
    <row r="22" customFormat="false" ht="15" hidden="false" customHeight="false" outlineLevel="0" collapsed="false">
      <c r="A22" s="0" t="s">
        <v>48</v>
      </c>
      <c r="B22" s="0" t="s">
        <v>291</v>
      </c>
      <c r="C22" s="17" t="n">
        <f aca="false">IF(SQRT((Coordenadas!$C$4-Coordenadas!$C$186)^2+(Coordenadas!$D$4-Coordenadas!$D$186)^2)&lt;=LEEME!$B$20,EXP(-LEEME!$B$19*SQRT((Coordenadas!$C$4-Coordenadas!$C$186)^2+(Coordenadas!$D$4-Coordenadas!$D$186)^2)),0)</f>
        <v>0.371009874527209</v>
      </c>
    </row>
    <row r="23" customFormat="false" ht="15" hidden="false" customHeight="false" outlineLevel="0" collapsed="false">
      <c r="A23" s="0" t="s">
        <v>48</v>
      </c>
      <c r="B23" s="0" t="s">
        <v>293</v>
      </c>
      <c r="C23" s="17" t="n">
        <f aca="false">IF(SQRT((Coordenadas!$C$4-Coordenadas!$C$188)^2+(Coordenadas!$D$4-Coordenadas!$D$188)^2)&lt;=LEEME!$B$20,EXP(-LEEME!$B$19*SQRT((Coordenadas!$C$4-Coordenadas!$C$188)^2+(Coordenadas!$D$4-Coordenadas!$D$188)^2)),0)</f>
        <v>0.78330471530203</v>
      </c>
    </row>
    <row r="24" customFormat="false" ht="15" hidden="false" customHeight="false" outlineLevel="0" collapsed="false">
      <c r="A24" s="0" t="s">
        <v>48</v>
      </c>
      <c r="B24" s="0" t="s">
        <v>295</v>
      </c>
      <c r="C24" s="17" t="n">
        <f aca="false">IF(SQRT((Coordenadas!$C$4-Coordenadas!$C$190)^2+(Coordenadas!$D$4-Coordenadas!$D$190)^2)&lt;=LEEME!$B$20,EXP(-LEEME!$B$19*SQRT((Coordenadas!$C$4-Coordenadas!$C$190)^2+(Coordenadas!$D$4-Coordenadas!$D$190)^2)),0)</f>
        <v>0.510338421197736</v>
      </c>
    </row>
    <row r="25" customFormat="false" ht="15" hidden="false" customHeight="false" outlineLevel="0" collapsed="false">
      <c r="A25" s="0" t="s">
        <v>48</v>
      </c>
      <c r="B25" s="0" t="s">
        <v>298</v>
      </c>
      <c r="C25" s="17" t="n">
        <f aca="false">IF(SQRT((Coordenadas!$C$4-Coordenadas!$C$193)^2+(Coordenadas!$D$4-Coordenadas!$D$193)^2)&lt;=LEEME!$B$20,EXP(-LEEME!$B$19*SQRT((Coordenadas!$C$4-Coordenadas!$C$193)^2+(Coordenadas!$D$4-Coordenadas!$D$193)^2)),0)</f>
        <v>0.456054344961108</v>
      </c>
    </row>
    <row r="26" customFormat="false" ht="15" hidden="false" customHeight="false" outlineLevel="0" collapsed="false">
      <c r="A26" s="0" t="s">
        <v>49</v>
      </c>
      <c r="B26" s="0" t="s">
        <v>282</v>
      </c>
      <c r="C26" s="17" t="n">
        <f aca="false">IF(SQRT((Coordenadas!$C$5-Coordenadas!$C$177)^2+(Coordenadas!$D$5-Coordenadas!$D$177)^2)&lt;=LEEME!$B$20,EXP(-LEEME!$B$19*SQRT((Coordenadas!$C$5-Coordenadas!$C$177)^2+(Coordenadas!$D$5-Coordenadas!$D$177)^2)),0)</f>
        <v>0.612064562137384</v>
      </c>
    </row>
    <row r="27" customFormat="false" ht="15" hidden="false" customHeight="false" outlineLevel="0" collapsed="false">
      <c r="A27" s="0" t="s">
        <v>49</v>
      </c>
      <c r="B27" s="0" t="s">
        <v>285</v>
      </c>
      <c r="C27" s="17" t="n">
        <f aca="false">IF(SQRT((Coordenadas!$C$5-Coordenadas!$C$180)^2+(Coordenadas!$D$5-Coordenadas!$D$180)^2)&lt;=LEEME!$B$20,EXP(-LEEME!$B$19*SQRT((Coordenadas!$C$5-Coordenadas!$C$180)^2+(Coordenadas!$D$5-Coordenadas!$D$180)^2)),0)</f>
        <v>0.595064346009562</v>
      </c>
    </row>
    <row r="28" customFormat="false" ht="15" hidden="false" customHeight="false" outlineLevel="0" collapsed="false">
      <c r="A28" s="0" t="s">
        <v>49</v>
      </c>
      <c r="B28" s="0" t="s">
        <v>286</v>
      </c>
      <c r="C28" s="17" t="n">
        <f aca="false">IF(SQRT((Coordenadas!$C$5-Coordenadas!$C$181)^2+(Coordenadas!$D$5-Coordenadas!$D$181)^2)&lt;=LEEME!$B$20,EXP(-LEEME!$B$19*SQRT((Coordenadas!$C$5-Coordenadas!$C$181)^2+(Coordenadas!$D$5-Coordenadas!$D$181)^2)),0)</f>
        <v>0.696108379057584</v>
      </c>
    </row>
    <row r="29" customFormat="false" ht="15" hidden="false" customHeight="false" outlineLevel="0" collapsed="false">
      <c r="A29" s="0" t="s">
        <v>49</v>
      </c>
      <c r="B29" s="0" t="s">
        <v>290</v>
      </c>
      <c r="C29" s="17" t="n">
        <f aca="false">IF(SQRT((Coordenadas!$C$5-Coordenadas!$C$185)^2+(Coordenadas!$D$5-Coordenadas!$D$185)^2)&lt;=LEEME!$B$20,EXP(-LEEME!$B$19*SQRT((Coordenadas!$C$5-Coordenadas!$C$185)^2+(Coordenadas!$D$5-Coordenadas!$D$185)^2)),0)</f>
        <v>0.466286614005829</v>
      </c>
    </row>
    <row r="30" customFormat="false" ht="15" hidden="false" customHeight="false" outlineLevel="0" collapsed="false">
      <c r="A30" s="0" t="s">
        <v>49</v>
      </c>
      <c r="B30" s="0" t="s">
        <v>293</v>
      </c>
      <c r="C30" s="17" t="n">
        <f aca="false">IF(SQRT((Coordenadas!$C$5-Coordenadas!$C$188)^2+(Coordenadas!$D$5-Coordenadas!$D$188)^2)&lt;=LEEME!$B$20,EXP(-LEEME!$B$19*SQRT((Coordenadas!$C$5-Coordenadas!$C$188)^2+(Coordenadas!$D$5-Coordenadas!$D$188)^2)),0)</f>
        <v>0.665663817174726</v>
      </c>
    </row>
    <row r="31" customFormat="false" ht="15" hidden="false" customHeight="false" outlineLevel="0" collapsed="false">
      <c r="A31" s="0" t="s">
        <v>49</v>
      </c>
      <c r="B31" s="0" t="s">
        <v>294</v>
      </c>
      <c r="C31" s="17" t="n">
        <f aca="false">IF(SQRT((Coordenadas!$C$5-Coordenadas!$C$189)^2+(Coordenadas!$D$5-Coordenadas!$D$189)^2)&lt;=LEEME!$B$20,EXP(-LEEME!$B$19*SQRT((Coordenadas!$C$5-Coordenadas!$C$189)^2+(Coordenadas!$D$5-Coordenadas!$D$189)^2)),0)</f>
        <v>0.387332238780474</v>
      </c>
    </row>
    <row r="32" customFormat="false" ht="15" hidden="false" customHeight="false" outlineLevel="0" collapsed="false">
      <c r="A32" s="0" t="s">
        <v>49</v>
      </c>
      <c r="B32" s="0" t="s">
        <v>295</v>
      </c>
      <c r="C32" s="17" t="n">
        <f aca="false">IF(SQRT((Coordenadas!$C$5-Coordenadas!$C$190)^2+(Coordenadas!$D$5-Coordenadas!$D$190)^2)&lt;=LEEME!$B$20,EXP(-LEEME!$B$19*SQRT((Coordenadas!$C$5-Coordenadas!$C$190)^2+(Coordenadas!$D$5-Coordenadas!$D$190)^2)),0)</f>
        <v>0.531821830124</v>
      </c>
    </row>
    <row r="33" customFormat="false" ht="15" hidden="false" customHeight="false" outlineLevel="0" collapsed="false">
      <c r="A33" s="0" t="s">
        <v>49</v>
      </c>
      <c r="B33" s="0" t="s">
        <v>298</v>
      </c>
      <c r="C33" s="17" t="n">
        <f aca="false">IF(SQRT((Coordenadas!$C$5-Coordenadas!$C$193)^2+(Coordenadas!$D$5-Coordenadas!$D$193)^2)&lt;=LEEME!$B$20,EXP(-LEEME!$B$19*SQRT((Coordenadas!$C$5-Coordenadas!$C$193)^2+(Coordenadas!$D$5-Coordenadas!$D$193)^2)),0)</f>
        <v>0.379312778680306</v>
      </c>
    </row>
    <row r="34" customFormat="false" ht="15" hidden="false" customHeight="false" outlineLevel="0" collapsed="false">
      <c r="A34" s="0" t="s">
        <v>50</v>
      </c>
      <c r="B34" s="0" t="s">
        <v>282</v>
      </c>
      <c r="C34" s="17" t="n">
        <f aca="false">IF(SQRT((Coordenadas!$C$6-Coordenadas!$C$177)^2+(Coordenadas!$D$6-Coordenadas!$D$177)^2)&lt;=LEEME!$B$20,EXP(-LEEME!$B$19*SQRT((Coordenadas!$C$6-Coordenadas!$C$177)^2+(Coordenadas!$D$6-Coordenadas!$D$177)^2)),0)</f>
        <v>0.549900702331469</v>
      </c>
    </row>
    <row r="35" customFormat="false" ht="15" hidden="false" customHeight="false" outlineLevel="0" collapsed="false">
      <c r="A35" s="0" t="s">
        <v>50</v>
      </c>
      <c r="B35" s="0" t="s">
        <v>285</v>
      </c>
      <c r="C35" s="17" t="n">
        <f aca="false">IF(SQRT((Coordenadas!$C$6-Coordenadas!$C$180)^2+(Coordenadas!$D$6-Coordenadas!$D$180)^2)&lt;=LEEME!$B$20,EXP(-LEEME!$B$19*SQRT((Coordenadas!$C$6-Coordenadas!$C$180)^2+(Coordenadas!$D$6-Coordenadas!$D$180)^2)),0)</f>
        <v>0.546029301468407</v>
      </c>
    </row>
    <row r="36" customFormat="false" ht="15" hidden="false" customHeight="false" outlineLevel="0" collapsed="false">
      <c r="A36" s="0" t="s">
        <v>50</v>
      </c>
      <c r="B36" s="0" t="s">
        <v>286</v>
      </c>
      <c r="C36" s="17" t="n">
        <f aca="false">IF(SQRT((Coordenadas!$C$6-Coordenadas!$C$181)^2+(Coordenadas!$D$6-Coordenadas!$D$181)^2)&lt;=LEEME!$B$20,EXP(-LEEME!$B$19*SQRT((Coordenadas!$C$6-Coordenadas!$C$181)^2+(Coordenadas!$D$6-Coordenadas!$D$181)^2)),0)</f>
        <v>0.639944207369698</v>
      </c>
    </row>
    <row r="37" customFormat="false" ht="15" hidden="false" customHeight="false" outlineLevel="0" collapsed="false">
      <c r="A37" s="0" t="s">
        <v>50</v>
      </c>
      <c r="B37" s="0" t="s">
        <v>290</v>
      </c>
      <c r="C37" s="17" t="n">
        <f aca="false">IF(SQRT((Coordenadas!$C$6-Coordenadas!$C$185)^2+(Coordenadas!$D$6-Coordenadas!$D$185)^2)&lt;=LEEME!$B$20,EXP(-LEEME!$B$19*SQRT((Coordenadas!$C$6-Coordenadas!$C$185)^2+(Coordenadas!$D$6-Coordenadas!$D$185)^2)),0)</f>
        <v>0.469730669845246</v>
      </c>
    </row>
    <row r="38" customFormat="false" ht="15" hidden="false" customHeight="false" outlineLevel="0" collapsed="false">
      <c r="A38" s="0" t="s">
        <v>50</v>
      </c>
      <c r="B38" s="0" t="s">
        <v>293</v>
      </c>
      <c r="C38" s="17" t="n">
        <f aca="false">IF(SQRT((Coordenadas!$C$6-Coordenadas!$C$188)^2+(Coordenadas!$D$6-Coordenadas!$D$188)^2)&lt;=LEEME!$B$20,EXP(-LEEME!$B$19*SQRT((Coordenadas!$C$6-Coordenadas!$C$188)^2+(Coordenadas!$D$6-Coordenadas!$D$188)^2)),0)</f>
        <v>0.764300990242233</v>
      </c>
    </row>
    <row r="39" customFormat="false" ht="15" hidden="false" customHeight="false" outlineLevel="0" collapsed="false">
      <c r="A39" s="0" t="s">
        <v>50</v>
      </c>
      <c r="B39" s="0" t="s">
        <v>294</v>
      </c>
      <c r="C39" s="17" t="n">
        <f aca="false">IF(SQRT((Coordenadas!$C$6-Coordenadas!$C$189)^2+(Coordenadas!$D$6-Coordenadas!$D$189)^2)&lt;=LEEME!$B$20,EXP(-LEEME!$B$19*SQRT((Coordenadas!$C$6-Coordenadas!$C$189)^2+(Coordenadas!$D$6-Coordenadas!$D$189)^2)),0)</f>
        <v>0.41255102169393</v>
      </c>
    </row>
    <row r="40" customFormat="false" ht="15" hidden="false" customHeight="false" outlineLevel="0" collapsed="false">
      <c r="A40" s="0" t="s">
        <v>50</v>
      </c>
      <c r="B40" s="0" t="s">
        <v>295</v>
      </c>
      <c r="C40" s="17" t="n">
        <f aca="false">IF(SQRT((Coordenadas!$C$6-Coordenadas!$C$190)^2+(Coordenadas!$D$6-Coordenadas!$D$190)^2)&lt;=LEEME!$B$20,EXP(-LEEME!$B$19*SQRT((Coordenadas!$C$6-Coordenadas!$C$190)^2+(Coordenadas!$D$6-Coordenadas!$D$190)^2)),0)</f>
        <v>0.622425844123603</v>
      </c>
    </row>
    <row r="41" customFormat="false" ht="15" hidden="false" customHeight="false" outlineLevel="0" collapsed="false">
      <c r="A41" s="0" t="s">
        <v>50</v>
      </c>
      <c r="B41" s="0" t="s">
        <v>298</v>
      </c>
      <c r="C41" s="17" t="n">
        <f aca="false">IF(SQRT((Coordenadas!$C$6-Coordenadas!$C$193)^2+(Coordenadas!$D$6-Coordenadas!$D$193)^2)&lt;=LEEME!$B$20,EXP(-LEEME!$B$19*SQRT((Coordenadas!$C$6-Coordenadas!$C$193)^2+(Coordenadas!$D$6-Coordenadas!$D$193)^2)),0)</f>
        <v>0.444597363450693</v>
      </c>
    </row>
    <row r="42" customFormat="false" ht="15" hidden="false" customHeight="false" outlineLevel="0" collapsed="false">
      <c r="A42" s="0" t="s">
        <v>51</v>
      </c>
      <c r="B42" s="0" t="s">
        <v>279</v>
      </c>
      <c r="C42" s="17" t="n">
        <f aca="false">IF(SQRT((Coordenadas!$C$7-Coordenadas!$C$174)^2+(Coordenadas!$D$7-Coordenadas!$D$174)^2)&lt;=LEEME!$B$20,EXP(-LEEME!$B$19*SQRT((Coordenadas!$C$7-Coordenadas!$C$174)^2+(Coordenadas!$D$7-Coordenadas!$D$174)^2)),0)</f>
        <v>0.420541117352319</v>
      </c>
    </row>
    <row r="43" customFormat="false" ht="15" hidden="false" customHeight="false" outlineLevel="0" collapsed="false">
      <c r="A43" s="0" t="s">
        <v>51</v>
      </c>
      <c r="B43" s="0" t="s">
        <v>282</v>
      </c>
      <c r="C43" s="17" t="n">
        <f aca="false">IF(SQRT((Coordenadas!$C$7-Coordenadas!$C$177)^2+(Coordenadas!$D$7-Coordenadas!$D$177)^2)&lt;=LEEME!$B$20,EXP(-LEEME!$B$19*SQRT((Coordenadas!$C$7-Coordenadas!$C$177)^2+(Coordenadas!$D$7-Coordenadas!$D$177)^2)),0)</f>
        <v>0.798029046195459</v>
      </c>
    </row>
    <row r="44" customFormat="false" ht="15" hidden="false" customHeight="false" outlineLevel="0" collapsed="false">
      <c r="A44" s="0" t="s">
        <v>51</v>
      </c>
      <c r="B44" s="0" t="s">
        <v>285</v>
      </c>
      <c r="C44" s="17" t="n">
        <f aca="false">IF(SQRT((Coordenadas!$C$7-Coordenadas!$C$180)^2+(Coordenadas!$D$7-Coordenadas!$D$180)^2)&lt;=LEEME!$B$20,EXP(-LEEME!$B$19*SQRT((Coordenadas!$C$7-Coordenadas!$C$180)^2+(Coordenadas!$D$7-Coordenadas!$D$180)^2)),0)</f>
        <v>0.384968350486587</v>
      </c>
    </row>
    <row r="45" customFormat="false" ht="15" hidden="false" customHeight="false" outlineLevel="0" collapsed="false">
      <c r="A45" s="0" t="s">
        <v>51</v>
      </c>
      <c r="B45" s="0" t="s">
        <v>286</v>
      </c>
      <c r="C45" s="17" t="n">
        <f aca="false">IF(SQRT((Coordenadas!$C$7-Coordenadas!$C$181)^2+(Coordenadas!$D$7-Coordenadas!$D$181)^2)&lt;=LEEME!$B$20,EXP(-LEEME!$B$19*SQRT((Coordenadas!$C$7-Coordenadas!$C$181)^2+(Coordenadas!$D$7-Coordenadas!$D$181)^2)),0)</f>
        <v>0.868046740750355</v>
      </c>
    </row>
    <row r="46" customFormat="false" ht="15" hidden="false" customHeight="false" outlineLevel="0" collapsed="false">
      <c r="A46" s="0" t="s">
        <v>51</v>
      </c>
      <c r="B46" s="0" t="s">
        <v>287</v>
      </c>
      <c r="C46" s="17" t="n">
        <f aca="false">IF(SQRT((Coordenadas!$C$7-Coordenadas!$C$182)^2+(Coordenadas!$D$7-Coordenadas!$D$182)^2)&lt;=LEEME!$B$20,EXP(-LEEME!$B$19*SQRT((Coordenadas!$C$7-Coordenadas!$C$182)^2+(Coordenadas!$D$7-Coordenadas!$D$182)^2)),0)</f>
        <v>0.527035117980154</v>
      </c>
    </row>
    <row r="47" customFormat="false" ht="15" hidden="false" customHeight="false" outlineLevel="0" collapsed="false">
      <c r="A47" s="0" t="s">
        <v>51</v>
      </c>
      <c r="B47" s="0" t="s">
        <v>288</v>
      </c>
      <c r="C47" s="17" t="n">
        <f aca="false">IF(SQRT((Coordenadas!$C$7-Coordenadas!$C$183)^2+(Coordenadas!$D$7-Coordenadas!$D$183)^2)&lt;=LEEME!$B$20,EXP(-LEEME!$B$19*SQRT((Coordenadas!$C$7-Coordenadas!$C$183)^2+(Coordenadas!$D$7-Coordenadas!$D$183)^2)),0)</f>
        <v>0.504053437970461</v>
      </c>
    </row>
    <row r="48" customFormat="false" ht="15" hidden="false" customHeight="false" outlineLevel="0" collapsed="false">
      <c r="A48" s="0" t="s">
        <v>51</v>
      </c>
      <c r="B48" s="0" t="s">
        <v>293</v>
      </c>
      <c r="C48" s="17" t="n">
        <f aca="false">IF(SQRT((Coordenadas!$C$7-Coordenadas!$C$188)^2+(Coordenadas!$D$7-Coordenadas!$D$188)^2)&lt;=LEEME!$B$20,EXP(-LEEME!$B$19*SQRT((Coordenadas!$C$7-Coordenadas!$C$188)^2+(Coordenadas!$D$7-Coordenadas!$D$188)^2)),0)</f>
        <v>0.466370665858074</v>
      </c>
    </row>
    <row r="49" customFormat="false" ht="15" hidden="false" customHeight="false" outlineLevel="0" collapsed="false">
      <c r="A49" s="0" t="s">
        <v>51</v>
      </c>
      <c r="B49" s="0" t="s">
        <v>294</v>
      </c>
      <c r="C49" s="17" t="n">
        <f aca="false">IF(SQRT((Coordenadas!$C$7-Coordenadas!$C$189)^2+(Coordenadas!$D$7-Coordenadas!$D$189)^2)&lt;=LEEME!$B$20,EXP(-LEEME!$B$19*SQRT((Coordenadas!$C$7-Coordenadas!$C$189)^2+(Coordenadas!$D$7-Coordenadas!$D$189)^2)),0)</f>
        <v>0.547671442709604</v>
      </c>
    </row>
    <row r="50" customFormat="false" ht="15" hidden="false" customHeight="false" outlineLevel="0" collapsed="false">
      <c r="A50" s="0" t="s">
        <v>51</v>
      </c>
      <c r="B50" s="0" t="s">
        <v>295</v>
      </c>
      <c r="C50" s="17" t="n">
        <f aca="false">IF(SQRT((Coordenadas!$C$7-Coordenadas!$C$190)^2+(Coordenadas!$D$7-Coordenadas!$D$190)^2)&lt;=LEEME!$B$20,EXP(-LEEME!$B$19*SQRT((Coordenadas!$C$7-Coordenadas!$C$190)^2+(Coordenadas!$D$7-Coordenadas!$D$190)^2)),0)</f>
        <v>0.505715633627225</v>
      </c>
    </row>
    <row r="51" customFormat="false" ht="15" hidden="false" customHeight="false" outlineLevel="0" collapsed="false">
      <c r="A51" s="0" t="s">
        <v>52</v>
      </c>
      <c r="B51" s="0" t="s">
        <v>269</v>
      </c>
      <c r="C51" s="17" t="n">
        <f aca="false">IF(SQRT((Coordenadas!$C$8-Coordenadas!$C$164)^2+(Coordenadas!$D$8-Coordenadas!$D$164)^2)&lt;=LEEME!$B$20,EXP(-LEEME!$B$19*SQRT((Coordenadas!$C$8-Coordenadas!$C$164)^2+(Coordenadas!$D$8-Coordenadas!$D$164)^2)),0)</f>
        <v>0.770127527489109</v>
      </c>
    </row>
    <row r="52" customFormat="false" ht="15" hidden="false" customHeight="false" outlineLevel="0" collapsed="false">
      <c r="A52" s="0" t="s">
        <v>55</v>
      </c>
      <c r="B52" s="0" t="s">
        <v>272</v>
      </c>
      <c r="C52" s="17" t="n">
        <f aca="false">IF(SQRT((Coordenadas!$C$10-Coordenadas!$C$167)^2+(Coordenadas!$D$10-Coordenadas!$D$167)^2)&lt;=LEEME!$B$20,EXP(-LEEME!$B$19*SQRT((Coordenadas!$C$10-Coordenadas!$C$167)^2+(Coordenadas!$D$10-Coordenadas!$D$167)^2)),0)</f>
        <v>0.379900635671902</v>
      </c>
    </row>
    <row r="53" customFormat="false" ht="15" hidden="false" customHeight="false" outlineLevel="0" collapsed="false">
      <c r="A53" s="0" t="s">
        <v>55</v>
      </c>
      <c r="B53" s="0" t="s">
        <v>279</v>
      </c>
      <c r="C53" s="17" t="n">
        <f aca="false">IF(SQRT((Coordenadas!$C$10-Coordenadas!$C$174)^2+(Coordenadas!$D$10-Coordenadas!$D$174)^2)&lt;=LEEME!$B$20,EXP(-LEEME!$B$19*SQRT((Coordenadas!$C$10-Coordenadas!$C$174)^2+(Coordenadas!$D$10-Coordenadas!$D$174)^2)),0)</f>
        <v>0.416006360017852</v>
      </c>
    </row>
    <row r="54" customFormat="false" ht="15" hidden="false" customHeight="false" outlineLevel="0" collapsed="false">
      <c r="A54" s="0" t="s">
        <v>56</v>
      </c>
      <c r="B54" s="0" t="s">
        <v>269</v>
      </c>
      <c r="C54" s="17" t="n">
        <f aca="false">IF(SQRT((Coordenadas!$C$11-Coordenadas!$C$164)^2+(Coordenadas!$D$11-Coordenadas!$D$164)^2)&lt;=LEEME!$B$20,EXP(-LEEME!$B$19*SQRT((Coordenadas!$C$11-Coordenadas!$C$164)^2+(Coordenadas!$D$11-Coordenadas!$D$164)^2)),0)</f>
        <v>0.618123796597599</v>
      </c>
    </row>
    <row r="55" customFormat="false" ht="15" hidden="false" customHeight="false" outlineLevel="0" collapsed="false">
      <c r="A55" s="0" t="s">
        <v>57</v>
      </c>
      <c r="B55" s="0" t="s">
        <v>269</v>
      </c>
      <c r="C55" s="17" t="n">
        <f aca="false">IF(SQRT((Coordenadas!$C$12-Coordenadas!$C$164)^2+(Coordenadas!$D$12-Coordenadas!$D$164)^2)&lt;=LEEME!$B$20,EXP(-LEEME!$B$19*SQRT((Coordenadas!$C$12-Coordenadas!$C$164)^2+(Coordenadas!$D$12-Coordenadas!$D$164)^2)),0)</f>
        <v>0.432941392145814</v>
      </c>
    </row>
    <row r="56" customFormat="false" ht="15" hidden="false" customHeight="false" outlineLevel="0" collapsed="false">
      <c r="A56" s="0" t="s">
        <v>57</v>
      </c>
      <c r="B56" s="0" t="s">
        <v>272</v>
      </c>
      <c r="C56" s="17" t="n">
        <f aca="false">IF(SQRT((Coordenadas!$C$12-Coordenadas!$C$167)^2+(Coordenadas!$D$12-Coordenadas!$D$167)^2)&lt;=LEEME!$B$20,EXP(-LEEME!$B$19*SQRT((Coordenadas!$C$12-Coordenadas!$C$167)^2+(Coordenadas!$D$12-Coordenadas!$D$167)^2)),0)</f>
        <v>0.452727667286258</v>
      </c>
    </row>
    <row r="57" customFormat="false" ht="15" hidden="false" customHeight="false" outlineLevel="0" collapsed="false">
      <c r="A57" s="0" t="s">
        <v>59</v>
      </c>
      <c r="B57" s="0" t="s">
        <v>272</v>
      </c>
      <c r="C57" s="17" t="n">
        <f aca="false">IF(SQRT((Coordenadas!$C$14-Coordenadas!$C$167)^2+(Coordenadas!$D$14-Coordenadas!$D$167)^2)&lt;=LEEME!$B$20,EXP(-LEEME!$B$19*SQRT((Coordenadas!$C$14-Coordenadas!$C$167)^2+(Coordenadas!$D$14-Coordenadas!$D$167)^2)),0)</f>
        <v>0.424916696106508</v>
      </c>
    </row>
    <row r="58" customFormat="false" ht="15" hidden="false" customHeight="false" outlineLevel="0" collapsed="false">
      <c r="A58" s="0" t="s">
        <v>60</v>
      </c>
      <c r="B58" s="0" t="s">
        <v>272</v>
      </c>
      <c r="C58" s="17" t="n">
        <f aca="false">IF(SQRT((Coordenadas!$C$15-Coordenadas!$C$167)^2+(Coordenadas!$D$15-Coordenadas!$D$167)^2)&lt;=LEEME!$B$20,EXP(-LEEME!$B$19*SQRT((Coordenadas!$C$15-Coordenadas!$C$167)^2+(Coordenadas!$D$15-Coordenadas!$D$167)^2)),0)</f>
        <v>0.385013724916508</v>
      </c>
    </row>
    <row r="59" customFormat="false" ht="15" hidden="false" customHeight="false" outlineLevel="0" collapsed="false">
      <c r="A59" s="0" t="s">
        <v>61</v>
      </c>
      <c r="B59" s="0" t="s">
        <v>269</v>
      </c>
      <c r="C59" s="17" t="n">
        <f aca="false">IF(SQRT((Coordenadas!$C$16-Coordenadas!$C$164)^2+(Coordenadas!$D$16-Coordenadas!$D$164)^2)&lt;=LEEME!$B$20,EXP(-LEEME!$B$19*SQRT((Coordenadas!$C$16-Coordenadas!$C$164)^2+(Coordenadas!$D$16-Coordenadas!$D$164)^2)),0)</f>
        <v>0.458156393965074</v>
      </c>
    </row>
    <row r="60" customFormat="false" ht="15" hidden="false" customHeight="false" outlineLevel="0" collapsed="false">
      <c r="A60" s="0" t="s">
        <v>62</v>
      </c>
      <c r="B60" s="0" t="s">
        <v>279</v>
      </c>
      <c r="C60" s="17" t="n">
        <f aca="false">IF(SQRT((Coordenadas!$C$17-Coordenadas!$C$174)^2+(Coordenadas!$D$17-Coordenadas!$D$174)^2)&lt;=LEEME!$B$20,EXP(-LEEME!$B$19*SQRT((Coordenadas!$C$17-Coordenadas!$C$174)^2+(Coordenadas!$D$17-Coordenadas!$D$174)^2)),0)</f>
        <v>0.670110685485087</v>
      </c>
    </row>
    <row r="61" customFormat="false" ht="15" hidden="false" customHeight="false" outlineLevel="0" collapsed="false">
      <c r="A61" s="0" t="s">
        <v>62</v>
      </c>
      <c r="B61" s="0" t="s">
        <v>282</v>
      </c>
      <c r="C61" s="17" t="n">
        <f aca="false">IF(SQRT((Coordenadas!$C$17-Coordenadas!$C$177)^2+(Coordenadas!$D$17-Coordenadas!$D$177)^2)&lt;=LEEME!$B$20,EXP(-LEEME!$B$19*SQRT((Coordenadas!$C$17-Coordenadas!$C$177)^2+(Coordenadas!$D$17-Coordenadas!$D$177)^2)),0)</f>
        <v>0.519283515477165</v>
      </c>
    </row>
    <row r="62" customFormat="false" ht="15" hidden="false" customHeight="false" outlineLevel="0" collapsed="false">
      <c r="A62" s="0" t="s">
        <v>62</v>
      </c>
      <c r="B62" s="0" t="s">
        <v>286</v>
      </c>
      <c r="C62" s="17" t="n">
        <f aca="false">IF(SQRT((Coordenadas!$C$17-Coordenadas!$C$181)^2+(Coordenadas!$D$17-Coordenadas!$D$181)^2)&lt;=LEEME!$B$20,EXP(-LEEME!$B$19*SQRT((Coordenadas!$C$17-Coordenadas!$C$181)^2+(Coordenadas!$D$17-Coordenadas!$D$181)^2)),0)</f>
        <v>0.442090182077868</v>
      </c>
    </row>
    <row r="63" customFormat="false" ht="15" hidden="false" customHeight="false" outlineLevel="0" collapsed="false">
      <c r="A63" s="0" t="s">
        <v>62</v>
      </c>
      <c r="B63" s="0" t="s">
        <v>287</v>
      </c>
      <c r="C63" s="17" t="n">
        <f aca="false">IF(SQRT((Coordenadas!$C$17-Coordenadas!$C$182)^2+(Coordenadas!$D$17-Coordenadas!$D$182)^2)&lt;=LEEME!$B$20,EXP(-LEEME!$B$19*SQRT((Coordenadas!$C$17-Coordenadas!$C$182)^2+(Coordenadas!$D$17-Coordenadas!$D$182)^2)),0)</f>
        <v>0.420899497841893</v>
      </c>
    </row>
    <row r="64" customFormat="false" ht="15" hidden="false" customHeight="false" outlineLevel="0" collapsed="false">
      <c r="A64" s="0" t="s">
        <v>62</v>
      </c>
      <c r="B64" s="0" t="s">
        <v>288</v>
      </c>
      <c r="C64" s="17" t="n">
        <f aca="false">IF(SQRT((Coordenadas!$C$17-Coordenadas!$C$183)^2+(Coordenadas!$D$17-Coordenadas!$D$183)^2)&lt;=LEEME!$B$20,EXP(-LEEME!$B$19*SQRT((Coordenadas!$C$17-Coordenadas!$C$183)^2+(Coordenadas!$D$17-Coordenadas!$D$183)^2)),0)</f>
        <v>0.399692202654923</v>
      </c>
    </row>
    <row r="65" customFormat="false" ht="15" hidden="false" customHeight="false" outlineLevel="0" collapsed="false">
      <c r="A65" s="0" t="s">
        <v>63</v>
      </c>
      <c r="B65" s="0" t="s">
        <v>279</v>
      </c>
      <c r="C65" s="17" t="n">
        <f aca="false">IF(SQRT((Coordenadas!$C$18-Coordenadas!$C$174)^2+(Coordenadas!$D$18-Coordenadas!$D$174)^2)&lt;=LEEME!$B$20,EXP(-LEEME!$B$19*SQRT((Coordenadas!$C$18-Coordenadas!$C$174)^2+(Coordenadas!$D$18-Coordenadas!$D$174)^2)),0)</f>
        <v>0.988881927838342</v>
      </c>
    </row>
    <row r="66" customFormat="false" ht="15" hidden="false" customHeight="false" outlineLevel="0" collapsed="false">
      <c r="A66" s="0" t="s">
        <v>63</v>
      </c>
      <c r="B66" s="0" t="s">
        <v>281</v>
      </c>
      <c r="C66" s="17" t="n">
        <f aca="false">IF(SQRT((Coordenadas!$C$18-Coordenadas!$C$176)^2+(Coordenadas!$D$18-Coordenadas!$D$176)^2)&lt;=LEEME!$B$20,EXP(-LEEME!$B$19*SQRT((Coordenadas!$C$18-Coordenadas!$C$176)^2+(Coordenadas!$D$18-Coordenadas!$D$176)^2)),0)</f>
        <v>0.378162032826598</v>
      </c>
    </row>
    <row r="67" customFormat="false" ht="15" hidden="false" customHeight="false" outlineLevel="0" collapsed="false">
      <c r="A67" s="0" t="s">
        <v>63</v>
      </c>
      <c r="B67" s="0" t="s">
        <v>282</v>
      </c>
      <c r="C67" s="17" t="n">
        <f aca="false">IF(SQRT((Coordenadas!$C$18-Coordenadas!$C$177)^2+(Coordenadas!$D$18-Coordenadas!$D$177)^2)&lt;=LEEME!$B$20,EXP(-LEEME!$B$19*SQRT((Coordenadas!$C$18-Coordenadas!$C$177)^2+(Coordenadas!$D$18-Coordenadas!$D$177)^2)),0)</f>
        <v>0.468591568358567</v>
      </c>
    </row>
    <row r="68" customFormat="false" ht="15" hidden="false" customHeight="false" outlineLevel="0" collapsed="false">
      <c r="A68" s="0" t="s">
        <v>63</v>
      </c>
      <c r="B68" s="0" t="s">
        <v>283</v>
      </c>
      <c r="C68" s="17" t="n">
        <f aca="false">IF(SQRT((Coordenadas!$C$18-Coordenadas!$C$178)^2+(Coordenadas!$D$18-Coordenadas!$D$178)^2)&lt;=LEEME!$B$20,EXP(-LEEME!$B$19*SQRT((Coordenadas!$C$18-Coordenadas!$C$178)^2+(Coordenadas!$D$18-Coordenadas!$D$178)^2)),0)</f>
        <v>0.425980800850006</v>
      </c>
    </row>
    <row r="69" customFormat="false" ht="15" hidden="false" customHeight="false" outlineLevel="0" collapsed="false">
      <c r="A69" s="0" t="s">
        <v>63</v>
      </c>
      <c r="B69" s="0" t="s">
        <v>284</v>
      </c>
      <c r="C69" s="17" t="n">
        <f aca="false">IF(SQRT((Coordenadas!$C$18-Coordenadas!$C$179)^2+(Coordenadas!$D$18-Coordenadas!$D$179)^2)&lt;=LEEME!$B$20,EXP(-LEEME!$B$19*SQRT((Coordenadas!$C$18-Coordenadas!$C$179)^2+(Coordenadas!$D$18-Coordenadas!$D$179)^2)),0)</f>
        <v>0.439400399354013</v>
      </c>
    </row>
    <row r="70" customFormat="false" ht="15" hidden="false" customHeight="false" outlineLevel="0" collapsed="false">
      <c r="A70" s="0" t="s">
        <v>63</v>
      </c>
      <c r="B70" s="0" t="s">
        <v>286</v>
      </c>
      <c r="C70" s="17" t="n">
        <f aca="false">IF(SQRT((Coordenadas!$C$18-Coordenadas!$C$181)^2+(Coordenadas!$D$18-Coordenadas!$D$181)^2)&lt;=LEEME!$B$20,EXP(-LEEME!$B$19*SQRT((Coordenadas!$C$18-Coordenadas!$C$181)^2+(Coordenadas!$D$18-Coordenadas!$D$181)^2)),0)</f>
        <v>0.407787563214744</v>
      </c>
    </row>
    <row r="71" customFormat="false" ht="15" hidden="false" customHeight="false" outlineLevel="0" collapsed="false">
      <c r="A71" s="0" t="s">
        <v>63</v>
      </c>
      <c r="B71" s="0" t="s">
        <v>287</v>
      </c>
      <c r="C71" s="17" t="n">
        <f aca="false">IF(SQRT((Coordenadas!$C$18-Coordenadas!$C$182)^2+(Coordenadas!$D$18-Coordenadas!$D$182)^2)&lt;=LEEME!$B$20,EXP(-LEEME!$B$19*SQRT((Coordenadas!$C$18-Coordenadas!$C$182)^2+(Coordenadas!$D$18-Coordenadas!$D$182)^2)),0)</f>
        <v>0.556345415513491</v>
      </c>
    </row>
    <row r="72" customFormat="false" ht="15" hidden="false" customHeight="false" outlineLevel="0" collapsed="false">
      <c r="A72" s="0" t="s">
        <v>63</v>
      </c>
      <c r="B72" s="0" t="s">
        <v>288</v>
      </c>
      <c r="C72" s="17" t="n">
        <f aca="false">IF(SQRT((Coordenadas!$C$18-Coordenadas!$C$183)^2+(Coordenadas!$D$18-Coordenadas!$D$183)^2)&lt;=LEEME!$B$20,EXP(-LEEME!$B$19*SQRT((Coordenadas!$C$18-Coordenadas!$C$183)^2+(Coordenadas!$D$18-Coordenadas!$D$183)^2)),0)</f>
        <v>0.534833664098983</v>
      </c>
    </row>
    <row r="73" customFormat="false" ht="15" hidden="false" customHeight="false" outlineLevel="0" collapsed="false">
      <c r="A73" s="0" t="s">
        <v>63</v>
      </c>
      <c r="B73" s="0" t="s">
        <v>289</v>
      </c>
      <c r="C73" s="17" t="n">
        <f aca="false">IF(SQRT((Coordenadas!$C$18-Coordenadas!$C$184)^2+(Coordenadas!$D$18-Coordenadas!$D$184)^2)&lt;=LEEME!$B$20,EXP(-LEEME!$B$19*SQRT((Coordenadas!$C$18-Coordenadas!$C$184)^2+(Coordenadas!$D$18-Coordenadas!$D$184)^2)),0)</f>
        <v>0.435328231812098</v>
      </c>
    </row>
    <row r="74" customFormat="false" ht="15" hidden="false" customHeight="false" outlineLevel="0" collapsed="false">
      <c r="A74" s="0" t="s">
        <v>64</v>
      </c>
      <c r="B74" s="0" t="s">
        <v>279</v>
      </c>
      <c r="C74" s="17" t="n">
        <f aca="false">IF(SQRT((Coordenadas!$C$19-Coordenadas!$C$174)^2+(Coordenadas!$D$19-Coordenadas!$D$174)^2)&lt;=LEEME!$B$20,EXP(-LEEME!$B$19*SQRT((Coordenadas!$C$19-Coordenadas!$C$174)^2+(Coordenadas!$D$19-Coordenadas!$D$174)^2)),0)</f>
        <v>0.762603833524583</v>
      </c>
    </row>
    <row r="75" customFormat="false" ht="15" hidden="false" customHeight="false" outlineLevel="0" collapsed="false">
      <c r="A75" s="0" t="s">
        <v>64</v>
      </c>
      <c r="B75" s="0" t="s">
        <v>282</v>
      </c>
      <c r="C75" s="17" t="n">
        <f aca="false">IF(SQRT((Coordenadas!$C$19-Coordenadas!$C$177)^2+(Coordenadas!$D$19-Coordenadas!$D$177)^2)&lt;=LEEME!$B$20,EXP(-LEEME!$B$19*SQRT((Coordenadas!$C$19-Coordenadas!$C$177)^2+(Coordenadas!$D$19-Coordenadas!$D$177)^2)),0)</f>
        <v>0.577619642343672</v>
      </c>
    </row>
    <row r="76" customFormat="false" ht="15" hidden="false" customHeight="false" outlineLevel="0" collapsed="false">
      <c r="A76" s="0" t="s">
        <v>64</v>
      </c>
      <c r="B76" s="0" t="s">
        <v>283</v>
      </c>
      <c r="C76" s="17" t="n">
        <f aca="false">IF(SQRT((Coordenadas!$C$19-Coordenadas!$C$178)^2+(Coordenadas!$D$19-Coordenadas!$D$178)^2)&lt;=LEEME!$B$20,EXP(-LEEME!$B$19*SQRT((Coordenadas!$C$19-Coordenadas!$C$178)^2+(Coordenadas!$D$19-Coordenadas!$D$178)^2)),0)</f>
        <v>0.412010109402718</v>
      </c>
    </row>
    <row r="77" customFormat="false" ht="15" hidden="false" customHeight="false" outlineLevel="0" collapsed="false">
      <c r="A77" s="0" t="s">
        <v>64</v>
      </c>
      <c r="B77" s="0" t="s">
        <v>284</v>
      </c>
      <c r="C77" s="17" t="n">
        <f aca="false">IF(SQRT((Coordenadas!$C$19-Coordenadas!$C$179)^2+(Coordenadas!$D$19-Coordenadas!$D$179)^2)&lt;=LEEME!$B$20,EXP(-LEEME!$B$19*SQRT((Coordenadas!$C$19-Coordenadas!$C$179)^2+(Coordenadas!$D$19-Coordenadas!$D$179)^2)),0)</f>
        <v>0.431421643395565</v>
      </c>
    </row>
    <row r="78" customFormat="false" ht="15" hidden="false" customHeight="false" outlineLevel="0" collapsed="false">
      <c r="A78" s="0" t="s">
        <v>64</v>
      </c>
      <c r="B78" s="0" t="s">
        <v>286</v>
      </c>
      <c r="C78" s="17" t="n">
        <f aca="false">IF(SQRT((Coordenadas!$C$19-Coordenadas!$C$181)^2+(Coordenadas!$D$19-Coordenadas!$D$181)^2)&lt;=LEEME!$B$20,EXP(-LEEME!$B$19*SQRT((Coordenadas!$C$19-Coordenadas!$C$181)^2+(Coordenadas!$D$19-Coordenadas!$D$181)^2)),0)</f>
        <v>0.512416259395074</v>
      </c>
    </row>
    <row r="79" customFormat="false" ht="15" hidden="false" customHeight="false" outlineLevel="0" collapsed="false">
      <c r="A79" s="0" t="s">
        <v>64</v>
      </c>
      <c r="B79" s="0" t="s">
        <v>287</v>
      </c>
      <c r="C79" s="17" t="n">
        <f aca="false">IF(SQRT((Coordenadas!$C$19-Coordenadas!$C$182)^2+(Coordenadas!$D$19-Coordenadas!$D$182)^2)&lt;=LEEME!$B$20,EXP(-LEEME!$B$19*SQRT((Coordenadas!$C$19-Coordenadas!$C$182)^2+(Coordenadas!$D$19-Coordenadas!$D$182)^2)),0)</f>
        <v>0.676061262110658</v>
      </c>
    </row>
    <row r="80" customFormat="false" ht="15" hidden="false" customHeight="false" outlineLevel="0" collapsed="false">
      <c r="A80" s="0" t="s">
        <v>64</v>
      </c>
      <c r="B80" s="0" t="s">
        <v>288</v>
      </c>
      <c r="C80" s="17" t="n">
        <f aca="false">IF(SQRT((Coordenadas!$C$19-Coordenadas!$C$183)^2+(Coordenadas!$D$19-Coordenadas!$D$183)^2)&lt;=LEEME!$B$20,EXP(-LEEME!$B$19*SQRT((Coordenadas!$C$19-Coordenadas!$C$183)^2+(Coordenadas!$D$19-Coordenadas!$D$183)^2)),0)</f>
        <v>0.64214272185925</v>
      </c>
    </row>
    <row r="81" customFormat="false" ht="15" hidden="false" customHeight="false" outlineLevel="0" collapsed="false">
      <c r="A81" s="0" t="s">
        <v>64</v>
      </c>
      <c r="B81" s="0" t="s">
        <v>289</v>
      </c>
      <c r="C81" s="17" t="n">
        <f aca="false">IF(SQRT((Coordenadas!$C$19-Coordenadas!$C$184)^2+(Coordenadas!$D$19-Coordenadas!$D$184)^2)&lt;=LEEME!$B$20,EXP(-LEEME!$B$19*SQRT((Coordenadas!$C$19-Coordenadas!$C$184)^2+(Coordenadas!$D$19-Coordenadas!$D$184)^2)),0)</f>
        <v>0.462465113843799</v>
      </c>
    </row>
    <row r="82" customFormat="false" ht="15" hidden="false" customHeight="false" outlineLevel="0" collapsed="false">
      <c r="A82" s="0" t="s">
        <v>64</v>
      </c>
      <c r="B82" s="0" t="s">
        <v>294</v>
      </c>
      <c r="C82" s="17" t="n">
        <f aca="false">IF(SQRT((Coordenadas!$C$19-Coordenadas!$C$189)^2+(Coordenadas!$D$19-Coordenadas!$D$189)^2)&lt;=LEEME!$B$20,EXP(-LEEME!$B$19*SQRT((Coordenadas!$C$19-Coordenadas!$C$189)^2+(Coordenadas!$D$19-Coordenadas!$D$189)^2)),0)</f>
        <v>0.434577204043724</v>
      </c>
    </row>
    <row r="83" customFormat="false" ht="15" hidden="false" customHeight="false" outlineLevel="0" collapsed="false">
      <c r="A83" s="0" t="s">
        <v>65</v>
      </c>
      <c r="B83" s="0" t="s">
        <v>279</v>
      </c>
      <c r="C83" s="17" t="n">
        <f aca="false">IF(SQRT((Coordenadas!$C$20-Coordenadas!$C$174)^2+(Coordenadas!$D$20-Coordenadas!$D$174)^2)&lt;=LEEME!$B$20,EXP(-LEEME!$B$19*SQRT((Coordenadas!$C$20-Coordenadas!$C$174)^2+(Coordenadas!$D$20-Coordenadas!$D$174)^2)),0)</f>
        <v>0.547432802510304</v>
      </c>
    </row>
    <row r="84" customFormat="false" ht="15" hidden="false" customHeight="false" outlineLevel="0" collapsed="false">
      <c r="A84" s="0" t="s">
        <v>65</v>
      </c>
      <c r="B84" s="0" t="s">
        <v>282</v>
      </c>
      <c r="C84" s="17" t="n">
        <f aca="false">IF(SQRT((Coordenadas!$C$20-Coordenadas!$C$177)^2+(Coordenadas!$D$20-Coordenadas!$D$177)^2)&lt;=LEEME!$B$20,EXP(-LEEME!$B$19*SQRT((Coordenadas!$C$20-Coordenadas!$C$177)^2+(Coordenadas!$D$20-Coordenadas!$D$177)^2)),0)</f>
        <v>0.527931934917882</v>
      </c>
    </row>
    <row r="85" customFormat="false" ht="15" hidden="false" customHeight="false" outlineLevel="0" collapsed="false">
      <c r="A85" s="0" t="s">
        <v>65</v>
      </c>
      <c r="B85" s="0" t="s">
        <v>283</v>
      </c>
      <c r="C85" s="17" t="n">
        <f aca="false">IF(SQRT((Coordenadas!$C$20-Coordenadas!$C$178)^2+(Coordenadas!$D$20-Coordenadas!$D$178)^2)&lt;=LEEME!$B$20,EXP(-LEEME!$B$19*SQRT((Coordenadas!$C$20-Coordenadas!$C$178)^2+(Coordenadas!$D$20-Coordenadas!$D$178)^2)),0)</f>
        <v>0.447894870556608</v>
      </c>
    </row>
    <row r="86" customFormat="false" ht="15" hidden="false" customHeight="false" outlineLevel="0" collapsed="false">
      <c r="A86" s="0" t="s">
        <v>65</v>
      </c>
      <c r="B86" s="0" t="s">
        <v>284</v>
      </c>
      <c r="C86" s="17" t="n">
        <f aca="false">IF(SQRT((Coordenadas!$C$20-Coordenadas!$C$179)^2+(Coordenadas!$D$20-Coordenadas!$D$179)^2)&lt;=LEEME!$B$20,EXP(-LEEME!$B$19*SQRT((Coordenadas!$C$20-Coordenadas!$C$179)^2+(Coordenadas!$D$20-Coordenadas!$D$179)^2)),0)</f>
        <v>0.475540400020591</v>
      </c>
    </row>
    <row r="87" customFormat="false" ht="15" hidden="false" customHeight="false" outlineLevel="0" collapsed="false">
      <c r="A87" s="0" t="s">
        <v>65</v>
      </c>
      <c r="B87" s="0" t="s">
        <v>286</v>
      </c>
      <c r="C87" s="17" t="n">
        <f aca="false">IF(SQRT((Coordenadas!$C$20-Coordenadas!$C$181)^2+(Coordenadas!$D$20-Coordenadas!$D$181)^2)&lt;=LEEME!$B$20,EXP(-LEEME!$B$19*SQRT((Coordenadas!$C$20-Coordenadas!$C$181)^2+(Coordenadas!$D$20-Coordenadas!$D$181)^2)),0)</f>
        <v>0.507803143203862</v>
      </c>
    </row>
    <row r="88" customFormat="false" ht="15" hidden="false" customHeight="false" outlineLevel="0" collapsed="false">
      <c r="A88" s="0" t="s">
        <v>65</v>
      </c>
      <c r="B88" s="0" t="s">
        <v>287</v>
      </c>
      <c r="C88" s="17" t="n">
        <f aca="false">IF(SQRT((Coordenadas!$C$20-Coordenadas!$C$182)^2+(Coordenadas!$D$20-Coordenadas!$D$182)^2)&lt;=LEEME!$B$20,EXP(-LEEME!$B$19*SQRT((Coordenadas!$C$20-Coordenadas!$C$182)^2+(Coordenadas!$D$20-Coordenadas!$D$182)^2)),0)</f>
        <v>0.917973997576276</v>
      </c>
    </row>
    <row r="89" customFormat="false" ht="15" hidden="false" customHeight="false" outlineLevel="0" collapsed="false">
      <c r="A89" s="0" t="s">
        <v>65</v>
      </c>
      <c r="B89" s="0" t="s">
        <v>288</v>
      </c>
      <c r="C89" s="17" t="n">
        <f aca="false">IF(SQRT((Coordenadas!$C$20-Coordenadas!$C$183)^2+(Coordenadas!$D$20-Coordenadas!$D$183)^2)&lt;=LEEME!$B$20,EXP(-LEEME!$B$19*SQRT((Coordenadas!$C$20-Coordenadas!$C$183)^2+(Coordenadas!$D$20-Coordenadas!$D$183)^2)),0)</f>
        <v>0.876006276647465</v>
      </c>
    </row>
    <row r="90" customFormat="false" ht="15" hidden="false" customHeight="false" outlineLevel="0" collapsed="false">
      <c r="A90" s="0" t="s">
        <v>65</v>
      </c>
      <c r="B90" s="0" t="s">
        <v>289</v>
      </c>
      <c r="C90" s="17" t="n">
        <f aca="false">IF(SQRT((Coordenadas!$C$20-Coordenadas!$C$184)^2+(Coordenadas!$D$20-Coordenadas!$D$184)^2)&lt;=LEEME!$B$20,EXP(-LEEME!$B$19*SQRT((Coordenadas!$C$20-Coordenadas!$C$184)^2+(Coordenadas!$D$20-Coordenadas!$D$184)^2)),0)</f>
        <v>0.564288981568982</v>
      </c>
    </row>
    <row r="91" customFormat="false" ht="15" hidden="false" customHeight="false" outlineLevel="0" collapsed="false">
      <c r="A91" s="0" t="s">
        <v>65</v>
      </c>
      <c r="B91" s="0" t="s">
        <v>294</v>
      </c>
      <c r="C91" s="17" t="n">
        <f aca="false">IF(SQRT((Coordenadas!$C$20-Coordenadas!$C$189)^2+(Coordenadas!$D$20-Coordenadas!$D$189)^2)&lt;=LEEME!$B$20,EXP(-LEEME!$B$19*SQRT((Coordenadas!$C$20-Coordenadas!$C$189)^2+(Coordenadas!$D$20-Coordenadas!$D$189)^2)),0)</f>
        <v>0.612532646652771</v>
      </c>
    </row>
    <row r="92" customFormat="false" ht="15" hidden="false" customHeight="false" outlineLevel="0" collapsed="false">
      <c r="A92" s="0" t="s">
        <v>66</v>
      </c>
      <c r="B92" s="0" t="s">
        <v>281</v>
      </c>
      <c r="C92" s="17" t="n">
        <f aca="false">IF(SQRT((Coordenadas!$C$21-Coordenadas!$C$176)^2+(Coordenadas!$D$21-Coordenadas!$D$176)^2)&lt;=LEEME!$B$20,EXP(-LEEME!$B$19*SQRT((Coordenadas!$C$21-Coordenadas!$C$176)^2+(Coordenadas!$D$21-Coordenadas!$D$176)^2)),0)</f>
        <v>0.429151096494017</v>
      </c>
    </row>
    <row r="93" customFormat="false" ht="15" hidden="false" customHeight="false" outlineLevel="0" collapsed="false">
      <c r="A93" s="0" t="s">
        <v>66</v>
      </c>
      <c r="B93" s="0" t="s">
        <v>283</v>
      </c>
      <c r="C93" s="17" t="n">
        <f aca="false">IF(SQRT((Coordenadas!$C$21-Coordenadas!$C$178)^2+(Coordenadas!$D$21-Coordenadas!$D$178)^2)&lt;=LEEME!$B$20,EXP(-LEEME!$B$19*SQRT((Coordenadas!$C$21-Coordenadas!$C$178)^2+(Coordenadas!$D$21-Coordenadas!$D$178)^2)),0)</f>
        <v>0.506124006407169</v>
      </c>
    </row>
    <row r="94" customFormat="false" ht="15" hidden="false" customHeight="false" outlineLevel="0" collapsed="false">
      <c r="A94" s="0" t="s">
        <v>66</v>
      </c>
      <c r="B94" s="0" t="s">
        <v>284</v>
      </c>
      <c r="C94" s="17" t="n">
        <f aca="false">IF(SQRT((Coordenadas!$C$21-Coordenadas!$C$179)^2+(Coordenadas!$D$21-Coordenadas!$D$179)^2)&lt;=LEEME!$B$20,EXP(-LEEME!$B$19*SQRT((Coordenadas!$C$21-Coordenadas!$C$179)^2+(Coordenadas!$D$21-Coordenadas!$D$179)^2)),0)</f>
        <v>0.524164918409635</v>
      </c>
    </row>
    <row r="95" customFormat="false" ht="15" hidden="false" customHeight="false" outlineLevel="0" collapsed="false">
      <c r="A95" s="0" t="s">
        <v>66</v>
      </c>
      <c r="B95" s="0" t="s">
        <v>287</v>
      </c>
      <c r="C95" s="17" t="n">
        <f aca="false">IF(SQRT((Coordenadas!$C$21-Coordenadas!$C$182)^2+(Coordenadas!$D$21-Coordenadas!$D$182)^2)&lt;=LEEME!$B$20,EXP(-LEEME!$B$19*SQRT((Coordenadas!$C$21-Coordenadas!$C$182)^2+(Coordenadas!$D$21-Coordenadas!$D$182)^2)),0)</f>
        <v>0.450081602233565</v>
      </c>
    </row>
    <row r="96" customFormat="false" ht="15" hidden="false" customHeight="false" outlineLevel="0" collapsed="false">
      <c r="A96" s="0" t="s">
        <v>66</v>
      </c>
      <c r="B96" s="0" t="s">
        <v>288</v>
      </c>
      <c r="C96" s="17" t="n">
        <f aca="false">IF(SQRT((Coordenadas!$C$21-Coordenadas!$C$183)^2+(Coordenadas!$D$21-Coordenadas!$D$183)^2)&lt;=LEEME!$B$20,EXP(-LEEME!$B$19*SQRT((Coordenadas!$C$21-Coordenadas!$C$183)^2+(Coordenadas!$D$21-Coordenadas!$D$183)^2)),0)</f>
        <v>0.47646215560315</v>
      </c>
    </row>
    <row r="97" customFormat="false" ht="15" hidden="false" customHeight="false" outlineLevel="0" collapsed="false">
      <c r="A97" s="0" t="s">
        <v>66</v>
      </c>
      <c r="B97" s="0" t="s">
        <v>289</v>
      </c>
      <c r="C97" s="17" t="n">
        <f aca="false">IF(SQRT((Coordenadas!$C$21-Coordenadas!$C$184)^2+(Coordenadas!$D$21-Coordenadas!$D$184)^2)&lt;=LEEME!$B$20,EXP(-LEEME!$B$19*SQRT((Coordenadas!$C$21-Coordenadas!$C$184)^2+(Coordenadas!$D$21-Coordenadas!$D$184)^2)),0)</f>
        <v>0.62384207380462</v>
      </c>
    </row>
    <row r="98" customFormat="false" ht="15" hidden="false" customHeight="false" outlineLevel="0" collapsed="false">
      <c r="A98" s="0" t="s">
        <v>66</v>
      </c>
      <c r="B98" s="0" t="s">
        <v>292</v>
      </c>
      <c r="C98" s="17" t="n">
        <f aca="false">IF(SQRT((Coordenadas!$C$21-Coordenadas!$C$187)^2+(Coordenadas!$D$21-Coordenadas!$D$187)^2)&lt;=LEEME!$B$20,EXP(-LEEME!$B$19*SQRT((Coordenadas!$C$21-Coordenadas!$C$187)^2+(Coordenadas!$D$21-Coordenadas!$D$187)^2)),0)</f>
        <v>0.677643694758963</v>
      </c>
    </row>
    <row r="99" customFormat="false" ht="15" hidden="false" customHeight="false" outlineLevel="0" collapsed="false">
      <c r="A99" s="0" t="s">
        <v>66</v>
      </c>
      <c r="B99" s="0" t="s">
        <v>294</v>
      </c>
      <c r="C99" s="17" t="n">
        <f aca="false">IF(SQRT((Coordenadas!$C$21-Coordenadas!$C$189)^2+(Coordenadas!$D$21-Coordenadas!$D$189)^2)&lt;=LEEME!$B$20,EXP(-LEEME!$B$19*SQRT((Coordenadas!$C$21-Coordenadas!$C$189)^2+(Coordenadas!$D$21-Coordenadas!$D$189)^2)),0)</f>
        <v>0.42701307057325</v>
      </c>
    </row>
    <row r="100" customFormat="false" ht="15" hidden="false" customHeight="false" outlineLevel="0" collapsed="false">
      <c r="A100" s="0" t="s">
        <v>67</v>
      </c>
      <c r="B100" s="0" t="s">
        <v>281</v>
      </c>
      <c r="C100" s="17" t="n">
        <f aca="false">IF(SQRT((Coordenadas!$C$22-Coordenadas!$C$176)^2+(Coordenadas!$D$22-Coordenadas!$D$176)^2)&lt;=LEEME!$B$20,EXP(-LEEME!$B$19*SQRT((Coordenadas!$C$22-Coordenadas!$C$176)^2+(Coordenadas!$D$22-Coordenadas!$D$176)^2)),0)</f>
        <v>0.45839866518937</v>
      </c>
    </row>
    <row r="101" customFormat="false" ht="15" hidden="false" customHeight="false" outlineLevel="0" collapsed="false">
      <c r="A101" s="0" t="s">
        <v>67</v>
      </c>
      <c r="B101" s="0" t="s">
        <v>283</v>
      </c>
      <c r="C101" s="17" t="n">
        <f aca="false">IF(SQRT((Coordenadas!$C$22-Coordenadas!$C$178)^2+(Coordenadas!$D$22-Coordenadas!$D$178)^2)&lt;=LEEME!$B$20,EXP(-LEEME!$B$19*SQRT((Coordenadas!$C$22-Coordenadas!$C$178)^2+(Coordenadas!$D$22-Coordenadas!$D$178)^2)),0)</f>
        <v>0.505604400262042</v>
      </c>
    </row>
    <row r="102" customFormat="false" ht="15" hidden="false" customHeight="false" outlineLevel="0" collapsed="false">
      <c r="A102" s="0" t="s">
        <v>67</v>
      </c>
      <c r="B102" s="0" t="s">
        <v>284</v>
      </c>
      <c r="C102" s="17" t="n">
        <f aca="false">IF(SQRT((Coordenadas!$C$22-Coordenadas!$C$179)^2+(Coordenadas!$D$22-Coordenadas!$D$179)^2)&lt;=LEEME!$B$20,EXP(-LEEME!$B$19*SQRT((Coordenadas!$C$22-Coordenadas!$C$179)^2+(Coordenadas!$D$22-Coordenadas!$D$179)^2)),0)</f>
        <v>0.511041387033843</v>
      </c>
    </row>
    <row r="103" customFormat="false" ht="15" hidden="false" customHeight="false" outlineLevel="0" collapsed="false">
      <c r="A103" s="0" t="s">
        <v>67</v>
      </c>
      <c r="B103" s="0" t="s">
        <v>288</v>
      </c>
      <c r="C103" s="17" t="n">
        <f aca="false">IF(SQRT((Coordenadas!$C$22-Coordenadas!$C$183)^2+(Coordenadas!$D$22-Coordenadas!$D$183)^2)&lt;=LEEME!$B$20,EXP(-LEEME!$B$19*SQRT((Coordenadas!$C$22-Coordenadas!$C$183)^2+(Coordenadas!$D$22-Coordenadas!$D$183)^2)),0)</f>
        <v>0.382091920307567</v>
      </c>
    </row>
    <row r="104" customFormat="false" ht="15" hidden="false" customHeight="false" outlineLevel="0" collapsed="false">
      <c r="A104" s="0" t="s">
        <v>67</v>
      </c>
      <c r="B104" s="0" t="s">
        <v>289</v>
      </c>
      <c r="C104" s="17" t="n">
        <f aca="false">IF(SQRT((Coordenadas!$C$22-Coordenadas!$C$184)^2+(Coordenadas!$D$22-Coordenadas!$D$184)^2)&lt;=LEEME!$B$20,EXP(-LEEME!$B$19*SQRT((Coordenadas!$C$22-Coordenadas!$C$184)^2+(Coordenadas!$D$22-Coordenadas!$D$184)^2)),0)</f>
        <v>0.551922090709767</v>
      </c>
    </row>
    <row r="105" customFormat="false" ht="15" hidden="false" customHeight="false" outlineLevel="0" collapsed="false">
      <c r="A105" s="0" t="s">
        <v>67</v>
      </c>
      <c r="B105" s="0" t="s">
        <v>292</v>
      </c>
      <c r="C105" s="17" t="n">
        <f aca="false">IF(SQRT((Coordenadas!$C$22-Coordenadas!$C$187)^2+(Coordenadas!$D$22-Coordenadas!$D$187)^2)&lt;=LEEME!$B$20,EXP(-LEEME!$B$19*SQRT((Coordenadas!$C$22-Coordenadas!$C$187)^2+(Coordenadas!$D$22-Coordenadas!$D$187)^2)),0)</f>
        <v>0.841390700422369</v>
      </c>
    </row>
    <row r="106" customFormat="false" ht="15" hidden="false" customHeight="false" outlineLevel="0" collapsed="false">
      <c r="A106" s="0" t="s">
        <v>68</v>
      </c>
      <c r="B106" s="0" t="s">
        <v>281</v>
      </c>
      <c r="C106" s="17" t="n">
        <f aca="false">IF(SQRT((Coordenadas!$C$23-Coordenadas!$C$176)^2+(Coordenadas!$D$23-Coordenadas!$D$176)^2)&lt;=LEEME!$B$20,EXP(-LEEME!$B$19*SQRT((Coordenadas!$C$23-Coordenadas!$C$176)^2+(Coordenadas!$D$23-Coordenadas!$D$176)^2)),0)</f>
        <v>0.419941241560022</v>
      </c>
    </row>
    <row r="107" customFormat="false" ht="15" hidden="false" customHeight="false" outlineLevel="0" collapsed="false">
      <c r="A107" s="0" t="s">
        <v>68</v>
      </c>
      <c r="B107" s="0" t="s">
        <v>283</v>
      </c>
      <c r="C107" s="17" t="n">
        <f aca="false">IF(SQRT((Coordenadas!$C$23-Coordenadas!$C$178)^2+(Coordenadas!$D$23-Coordenadas!$D$178)^2)&lt;=LEEME!$B$20,EXP(-LEEME!$B$19*SQRT((Coordenadas!$C$23-Coordenadas!$C$178)^2+(Coordenadas!$D$23-Coordenadas!$D$178)^2)),0)</f>
        <v>0.421045468162099</v>
      </c>
    </row>
    <row r="108" customFormat="false" ht="15" hidden="false" customHeight="false" outlineLevel="0" collapsed="false">
      <c r="A108" s="0" t="s">
        <v>68</v>
      </c>
      <c r="B108" s="0" t="s">
        <v>284</v>
      </c>
      <c r="C108" s="17" t="n">
        <f aca="false">IF(SQRT((Coordenadas!$C$23-Coordenadas!$C$179)^2+(Coordenadas!$D$23-Coordenadas!$D$179)^2)&lt;=LEEME!$B$20,EXP(-LEEME!$B$19*SQRT((Coordenadas!$C$23-Coordenadas!$C$179)^2+(Coordenadas!$D$23-Coordenadas!$D$179)^2)),0)</f>
        <v>0.414635672460722</v>
      </c>
    </row>
    <row r="109" customFormat="false" ht="15" hidden="false" customHeight="false" outlineLevel="0" collapsed="false">
      <c r="A109" s="0" t="s">
        <v>68</v>
      </c>
      <c r="B109" s="0" t="s">
        <v>289</v>
      </c>
      <c r="C109" s="17" t="n">
        <f aca="false">IF(SQRT((Coordenadas!$C$23-Coordenadas!$C$184)^2+(Coordenadas!$D$23-Coordenadas!$D$184)^2)&lt;=LEEME!$B$20,EXP(-LEEME!$B$19*SQRT((Coordenadas!$C$23-Coordenadas!$C$184)^2+(Coordenadas!$D$23-Coordenadas!$D$184)^2)),0)</f>
        <v>0.409385289277192</v>
      </c>
    </row>
    <row r="110" customFormat="false" ht="15" hidden="false" customHeight="false" outlineLevel="0" collapsed="false">
      <c r="A110" s="0" t="s">
        <v>68</v>
      </c>
      <c r="B110" s="0" t="s">
        <v>292</v>
      </c>
      <c r="C110" s="17" t="n">
        <f aca="false">IF(SQRT((Coordenadas!$C$23-Coordenadas!$C$187)^2+(Coordenadas!$D$23-Coordenadas!$D$187)^2)&lt;=LEEME!$B$20,EXP(-LEEME!$B$19*SQRT((Coordenadas!$C$23-Coordenadas!$C$187)^2+(Coordenadas!$D$23-Coordenadas!$D$187)^2)),0)</f>
        <v>0.705495228606063</v>
      </c>
    </row>
    <row r="111" customFormat="false" ht="15" hidden="false" customHeight="false" outlineLevel="0" collapsed="false">
      <c r="A111" s="0" t="s">
        <v>69</v>
      </c>
      <c r="B111" s="0" t="s">
        <v>281</v>
      </c>
      <c r="C111" s="17" t="n">
        <f aca="false">IF(SQRT((Coordenadas!$C$24-Coordenadas!$C$176)^2+(Coordenadas!$D$24-Coordenadas!$D$176)^2)&lt;=LEEME!$B$20,EXP(-LEEME!$B$19*SQRT((Coordenadas!$C$24-Coordenadas!$C$176)^2+(Coordenadas!$D$24-Coordenadas!$D$176)^2)),0)</f>
        <v>0.588091974386756</v>
      </c>
    </row>
    <row r="112" customFormat="false" ht="15" hidden="false" customHeight="false" outlineLevel="0" collapsed="false">
      <c r="A112" s="0" t="s">
        <v>69</v>
      </c>
      <c r="B112" s="0" t="s">
        <v>283</v>
      </c>
      <c r="C112" s="17" t="n">
        <f aca="false">IF(SQRT((Coordenadas!$C$24-Coordenadas!$C$178)^2+(Coordenadas!$D$24-Coordenadas!$D$178)^2)&lt;=LEEME!$B$20,EXP(-LEEME!$B$19*SQRT((Coordenadas!$C$24-Coordenadas!$C$178)^2+(Coordenadas!$D$24-Coordenadas!$D$178)^2)),0)</f>
        <v>0.516841545873808</v>
      </c>
    </row>
    <row r="113" customFormat="false" ht="15" hidden="false" customHeight="false" outlineLevel="0" collapsed="false">
      <c r="A113" s="0" t="s">
        <v>69</v>
      </c>
      <c r="B113" s="0" t="s">
        <v>284</v>
      </c>
      <c r="C113" s="17" t="n">
        <f aca="false">IF(SQRT((Coordenadas!$C$24-Coordenadas!$C$179)^2+(Coordenadas!$D$24-Coordenadas!$D$179)^2)&lt;=LEEME!$B$20,EXP(-LEEME!$B$19*SQRT((Coordenadas!$C$24-Coordenadas!$C$179)^2+(Coordenadas!$D$24-Coordenadas!$D$179)^2)),0)</f>
        <v>0.4923378311126</v>
      </c>
    </row>
    <row r="114" customFormat="false" ht="15" hidden="false" customHeight="false" outlineLevel="0" collapsed="false">
      <c r="A114" s="0" t="s">
        <v>69</v>
      </c>
      <c r="B114" s="0" t="s">
        <v>289</v>
      </c>
      <c r="C114" s="17" t="n">
        <f aca="false">IF(SQRT((Coordenadas!$C$24-Coordenadas!$C$184)^2+(Coordenadas!$D$24-Coordenadas!$D$184)^2)&lt;=LEEME!$B$20,EXP(-LEEME!$B$19*SQRT((Coordenadas!$C$24-Coordenadas!$C$184)^2+(Coordenadas!$D$24-Coordenadas!$D$184)^2)),0)</f>
        <v>0.421593830556235</v>
      </c>
    </row>
    <row r="115" customFormat="false" ht="15" hidden="false" customHeight="false" outlineLevel="0" collapsed="false">
      <c r="A115" s="0" t="s">
        <v>69</v>
      </c>
      <c r="B115" s="0" t="s">
        <v>292</v>
      </c>
      <c r="C115" s="17" t="n">
        <f aca="false">IF(SQRT((Coordenadas!$C$24-Coordenadas!$C$187)^2+(Coordenadas!$D$24-Coordenadas!$D$187)^2)&lt;=LEEME!$B$20,EXP(-LEEME!$B$19*SQRT((Coordenadas!$C$24-Coordenadas!$C$187)^2+(Coordenadas!$D$24-Coordenadas!$D$187)^2)),0)</f>
        <v>0.590151746471151</v>
      </c>
    </row>
    <row r="116" customFormat="false" ht="15" hidden="false" customHeight="false" outlineLevel="0" collapsed="false">
      <c r="A116" s="0" t="s">
        <v>70</v>
      </c>
      <c r="B116" s="0" t="s">
        <v>281</v>
      </c>
      <c r="C116" s="17" t="n">
        <f aca="false">IF(SQRT((Coordenadas!$C$25-Coordenadas!$C$176)^2+(Coordenadas!$D$25-Coordenadas!$D$176)^2)&lt;=LEEME!$B$20,EXP(-LEEME!$B$19*SQRT((Coordenadas!$C$25-Coordenadas!$C$176)^2+(Coordenadas!$D$25-Coordenadas!$D$176)^2)),0)</f>
        <v>0.541577054586888</v>
      </c>
    </row>
    <row r="117" customFormat="false" ht="15" hidden="false" customHeight="false" outlineLevel="0" collapsed="false">
      <c r="A117" s="0" t="s">
        <v>70</v>
      </c>
      <c r="B117" s="0" t="s">
        <v>283</v>
      </c>
      <c r="C117" s="17" t="n">
        <f aca="false">IF(SQRT((Coordenadas!$C$25-Coordenadas!$C$178)^2+(Coordenadas!$D$25-Coordenadas!$D$178)^2)&lt;=LEEME!$B$20,EXP(-LEEME!$B$19*SQRT((Coordenadas!$C$25-Coordenadas!$C$178)^2+(Coordenadas!$D$25-Coordenadas!$D$178)^2)),0)</f>
        <v>0.444213791229986</v>
      </c>
    </row>
    <row r="118" customFormat="false" ht="15" hidden="false" customHeight="false" outlineLevel="0" collapsed="false">
      <c r="A118" s="0" t="s">
        <v>70</v>
      </c>
      <c r="B118" s="0" t="s">
        <v>284</v>
      </c>
      <c r="C118" s="17" t="n">
        <f aca="false">IF(SQRT((Coordenadas!$C$25-Coordenadas!$C$179)^2+(Coordenadas!$D$25-Coordenadas!$D$179)^2)&lt;=LEEME!$B$20,EXP(-LEEME!$B$19*SQRT((Coordenadas!$C$25-Coordenadas!$C$179)^2+(Coordenadas!$D$25-Coordenadas!$D$179)^2)),0)</f>
        <v>0.420298521240944</v>
      </c>
    </row>
    <row r="119" customFormat="false" ht="15" hidden="false" customHeight="false" outlineLevel="0" collapsed="false">
      <c r="A119" s="0" t="s">
        <v>71</v>
      </c>
      <c r="B119" s="0" t="s">
        <v>279</v>
      </c>
      <c r="C119" s="17" t="n">
        <f aca="false">IF(SQRT((Coordenadas!$C$26-Coordenadas!$C$174)^2+(Coordenadas!$D$26-Coordenadas!$D$174)^2)&lt;=LEEME!$B$20,EXP(-LEEME!$B$19*SQRT((Coordenadas!$C$26-Coordenadas!$C$174)^2+(Coordenadas!$D$26-Coordenadas!$D$174)^2)),0)</f>
        <v>0.73270916394686</v>
      </c>
    </row>
    <row r="120" customFormat="false" ht="15" hidden="false" customHeight="false" outlineLevel="0" collapsed="false">
      <c r="A120" s="0" t="s">
        <v>71</v>
      </c>
      <c r="B120" s="0" t="s">
        <v>281</v>
      </c>
      <c r="C120" s="17" t="n">
        <f aca="false">IF(SQRT((Coordenadas!$C$26-Coordenadas!$C$176)^2+(Coordenadas!$D$26-Coordenadas!$D$176)^2)&lt;=LEEME!$B$20,EXP(-LEEME!$B$19*SQRT((Coordenadas!$C$26-Coordenadas!$C$176)^2+(Coordenadas!$D$26-Coordenadas!$D$176)^2)),0)</f>
        <v>0.50200358155819</v>
      </c>
    </row>
    <row r="121" customFormat="false" ht="15" hidden="false" customHeight="false" outlineLevel="0" collapsed="false">
      <c r="A121" s="0" t="s">
        <v>71</v>
      </c>
      <c r="B121" s="0" t="s">
        <v>283</v>
      </c>
      <c r="C121" s="17" t="n">
        <f aca="false">IF(SQRT((Coordenadas!$C$26-Coordenadas!$C$178)^2+(Coordenadas!$D$26-Coordenadas!$D$178)^2)&lt;=LEEME!$B$20,EXP(-LEEME!$B$19*SQRT((Coordenadas!$C$26-Coordenadas!$C$178)^2+(Coordenadas!$D$26-Coordenadas!$D$178)^2)),0)</f>
        <v>0.538367853202473</v>
      </c>
    </row>
    <row r="122" customFormat="false" ht="15" hidden="false" customHeight="false" outlineLevel="0" collapsed="false">
      <c r="A122" s="0" t="s">
        <v>71</v>
      </c>
      <c r="B122" s="0" t="s">
        <v>284</v>
      </c>
      <c r="C122" s="17" t="n">
        <f aca="false">IF(SQRT((Coordenadas!$C$26-Coordenadas!$C$179)^2+(Coordenadas!$D$26-Coordenadas!$D$179)^2)&lt;=LEEME!$B$20,EXP(-LEEME!$B$19*SQRT((Coordenadas!$C$26-Coordenadas!$C$179)^2+(Coordenadas!$D$26-Coordenadas!$D$179)^2)),0)</f>
        <v>0.544982920292577</v>
      </c>
    </row>
    <row r="123" customFormat="false" ht="15" hidden="false" customHeight="false" outlineLevel="0" collapsed="false">
      <c r="A123" s="0" t="s">
        <v>71</v>
      </c>
      <c r="B123" s="0" t="s">
        <v>287</v>
      </c>
      <c r="C123" s="17" t="n">
        <f aca="false">IF(SQRT((Coordenadas!$C$26-Coordenadas!$C$182)^2+(Coordenadas!$D$26-Coordenadas!$D$182)^2)&lt;=LEEME!$B$20,EXP(-LEEME!$B$19*SQRT((Coordenadas!$C$26-Coordenadas!$C$182)^2+(Coordenadas!$D$26-Coordenadas!$D$182)^2)),0)</f>
        <v>0.50877961391797</v>
      </c>
    </row>
    <row r="124" customFormat="false" ht="15" hidden="false" customHeight="false" outlineLevel="0" collapsed="false">
      <c r="A124" s="0" t="s">
        <v>71</v>
      </c>
      <c r="B124" s="0" t="s">
        <v>288</v>
      </c>
      <c r="C124" s="17" t="n">
        <f aca="false">IF(SQRT((Coordenadas!$C$26-Coordenadas!$C$183)^2+(Coordenadas!$D$26-Coordenadas!$D$183)^2)&lt;=LEEME!$B$20,EXP(-LEEME!$B$19*SQRT((Coordenadas!$C$26-Coordenadas!$C$183)^2+(Coordenadas!$D$26-Coordenadas!$D$183)^2)),0)</f>
        <v>0.50098629519759</v>
      </c>
    </row>
    <row r="125" customFormat="false" ht="15" hidden="false" customHeight="false" outlineLevel="0" collapsed="false">
      <c r="A125" s="0" t="s">
        <v>71</v>
      </c>
      <c r="B125" s="0" t="s">
        <v>289</v>
      </c>
      <c r="C125" s="17" t="n">
        <f aca="false">IF(SQRT((Coordenadas!$C$26-Coordenadas!$C$184)^2+(Coordenadas!$D$26-Coordenadas!$D$184)^2)&lt;=LEEME!$B$20,EXP(-LEEME!$B$19*SQRT((Coordenadas!$C$26-Coordenadas!$C$184)^2+(Coordenadas!$D$26-Coordenadas!$D$184)^2)),0)</f>
        <v>0.493889671812097</v>
      </c>
    </row>
    <row r="126" customFormat="false" ht="15" hidden="false" customHeight="false" outlineLevel="0" collapsed="false">
      <c r="A126" s="0" t="s">
        <v>72</v>
      </c>
      <c r="B126" s="0" t="s">
        <v>285</v>
      </c>
      <c r="C126" s="17" t="n">
        <f aca="false">IF(SQRT((Coordenadas!$C$27-Coordenadas!$C$180)^2+(Coordenadas!$D$27-Coordenadas!$D$180)^2)&lt;=LEEME!$B$20,EXP(-LEEME!$B$19*SQRT((Coordenadas!$C$27-Coordenadas!$C$180)^2+(Coordenadas!$D$27-Coordenadas!$D$180)^2)),0)</f>
        <v>0.371623613225483</v>
      </c>
    </row>
    <row r="127" customFormat="false" ht="15" hidden="false" customHeight="false" outlineLevel="0" collapsed="false">
      <c r="A127" s="0" t="s">
        <v>72</v>
      </c>
      <c r="B127" s="0" t="s">
        <v>290</v>
      </c>
      <c r="C127" s="17" t="n">
        <f aca="false">IF(SQRT((Coordenadas!$C$27-Coordenadas!$C$185)^2+(Coordenadas!$D$27-Coordenadas!$D$185)^2)&lt;=LEEME!$B$20,EXP(-LEEME!$B$19*SQRT((Coordenadas!$C$27-Coordenadas!$C$185)^2+(Coordenadas!$D$27-Coordenadas!$D$185)^2)),0)</f>
        <v>0.42799405213785</v>
      </c>
    </row>
    <row r="128" customFormat="false" ht="15" hidden="false" customHeight="false" outlineLevel="0" collapsed="false">
      <c r="A128" s="0" t="s">
        <v>72</v>
      </c>
      <c r="B128" s="0" t="s">
        <v>293</v>
      </c>
      <c r="C128" s="17" t="n">
        <f aca="false">IF(SQRT((Coordenadas!$C$27-Coordenadas!$C$188)^2+(Coordenadas!$D$27-Coordenadas!$D$188)^2)&lt;=LEEME!$B$20,EXP(-LEEME!$B$19*SQRT((Coordenadas!$C$27-Coordenadas!$C$188)^2+(Coordenadas!$D$27-Coordenadas!$D$188)^2)),0)</f>
        <v>0.68009748518291</v>
      </c>
    </row>
    <row r="129" customFormat="false" ht="15" hidden="false" customHeight="false" outlineLevel="0" collapsed="false">
      <c r="A129" s="0" t="s">
        <v>72</v>
      </c>
      <c r="B129" s="0" t="s">
        <v>295</v>
      </c>
      <c r="C129" s="17" t="n">
        <f aca="false">IF(SQRT((Coordenadas!$C$27-Coordenadas!$C$190)^2+(Coordenadas!$D$27-Coordenadas!$D$190)^2)&lt;=LEEME!$B$20,EXP(-LEEME!$B$19*SQRT((Coordenadas!$C$27-Coordenadas!$C$190)^2+(Coordenadas!$D$27-Coordenadas!$D$190)^2)),0)</f>
        <v>0.659071498887882</v>
      </c>
    </row>
    <row r="130" customFormat="false" ht="15" hidden="false" customHeight="false" outlineLevel="0" collapsed="false">
      <c r="A130" s="0" t="s">
        <v>72</v>
      </c>
      <c r="B130" s="0" t="s">
        <v>298</v>
      </c>
      <c r="C130" s="17" t="n">
        <f aca="false">IF(SQRT((Coordenadas!$C$27-Coordenadas!$C$193)^2+(Coordenadas!$D$27-Coordenadas!$D$193)^2)&lt;=LEEME!$B$20,EXP(-LEEME!$B$19*SQRT((Coordenadas!$C$27-Coordenadas!$C$193)^2+(Coordenadas!$D$27-Coordenadas!$D$193)^2)),0)</f>
        <v>0.804123597353969</v>
      </c>
    </row>
    <row r="131" customFormat="false" ht="15" hidden="false" customHeight="false" outlineLevel="0" collapsed="false">
      <c r="A131" s="0" t="s">
        <v>72</v>
      </c>
      <c r="B131" s="0" t="s">
        <v>300</v>
      </c>
      <c r="C131" s="17" t="n">
        <f aca="false">IF(SQRT((Coordenadas!$C$27-Coordenadas!$C$195)^2+(Coordenadas!$D$27-Coordenadas!$D$195)^2)&lt;=LEEME!$B$20,EXP(-LEEME!$B$19*SQRT((Coordenadas!$C$27-Coordenadas!$C$195)^2+(Coordenadas!$D$27-Coordenadas!$D$195)^2)),0)</f>
        <v>0.657653971370506</v>
      </c>
    </row>
    <row r="132" customFormat="false" ht="15" hidden="false" customHeight="false" outlineLevel="0" collapsed="false">
      <c r="A132" s="0" t="s">
        <v>72</v>
      </c>
      <c r="B132" s="0" t="s">
        <v>301</v>
      </c>
      <c r="C132" s="17" t="n">
        <f aca="false">IF(SQRT((Coordenadas!$C$27-Coordenadas!$C$196)^2+(Coordenadas!$D$27-Coordenadas!$D$196)^2)&lt;=LEEME!$B$20,EXP(-LEEME!$B$19*SQRT((Coordenadas!$C$27-Coordenadas!$C$196)^2+(Coordenadas!$D$27-Coordenadas!$D$196)^2)),0)</f>
        <v>0.636832716922621</v>
      </c>
    </row>
    <row r="133" customFormat="false" ht="15" hidden="false" customHeight="false" outlineLevel="0" collapsed="false">
      <c r="A133" s="0" t="s">
        <v>72</v>
      </c>
      <c r="B133" s="0" t="s">
        <v>303</v>
      </c>
      <c r="C133" s="17" t="n">
        <f aca="false">IF(SQRT((Coordenadas!$C$27-Coordenadas!$C$198)^2+(Coordenadas!$D$27-Coordenadas!$D$198)^2)&lt;=LEEME!$B$20,EXP(-LEEME!$B$19*SQRT((Coordenadas!$C$27-Coordenadas!$C$198)^2+(Coordenadas!$D$27-Coordenadas!$D$198)^2)),0)</f>
        <v>0.397643875193902</v>
      </c>
    </row>
    <row r="134" customFormat="false" ht="15" hidden="false" customHeight="false" outlineLevel="0" collapsed="false">
      <c r="A134" s="0" t="s">
        <v>72</v>
      </c>
      <c r="B134" s="0" t="s">
        <v>305</v>
      </c>
      <c r="C134" s="17" t="n">
        <f aca="false">IF(SQRT((Coordenadas!$C$27-Coordenadas!$C$200)^2+(Coordenadas!$D$27-Coordenadas!$D$200)^2)&lt;=LEEME!$B$20,EXP(-LEEME!$B$19*SQRT((Coordenadas!$C$27-Coordenadas!$C$200)^2+(Coordenadas!$D$27-Coordenadas!$D$200)^2)),0)</f>
        <v>0.383907699222985</v>
      </c>
    </row>
    <row r="135" customFormat="false" ht="15" hidden="false" customHeight="false" outlineLevel="0" collapsed="false">
      <c r="A135" s="0" t="s">
        <v>73</v>
      </c>
      <c r="B135" s="0" t="s">
        <v>286</v>
      </c>
      <c r="C135" s="17" t="n">
        <f aca="false">IF(SQRT((Coordenadas!$C$28-Coordenadas!$C$181)^2+(Coordenadas!$D$28-Coordenadas!$D$181)^2)&lt;=LEEME!$B$20,EXP(-LEEME!$B$19*SQRT((Coordenadas!$C$28-Coordenadas!$C$181)^2+(Coordenadas!$D$28-Coordenadas!$D$181)^2)),0)</f>
        <v>0.41579303222715</v>
      </c>
    </row>
    <row r="136" customFormat="false" ht="15" hidden="false" customHeight="false" outlineLevel="0" collapsed="false">
      <c r="A136" s="0" t="s">
        <v>73</v>
      </c>
      <c r="B136" s="0" t="s">
        <v>290</v>
      </c>
      <c r="C136" s="17" t="n">
        <f aca="false">IF(SQRT((Coordenadas!$C$28-Coordenadas!$C$185)^2+(Coordenadas!$D$28-Coordenadas!$D$185)^2)&lt;=LEEME!$B$20,EXP(-LEEME!$B$19*SQRT((Coordenadas!$C$28-Coordenadas!$C$185)^2+(Coordenadas!$D$28-Coordenadas!$D$185)^2)),0)</f>
        <v>0.368376749935168</v>
      </c>
    </row>
    <row r="137" customFormat="false" ht="15" hidden="false" customHeight="false" outlineLevel="0" collapsed="false">
      <c r="A137" s="0" t="s">
        <v>73</v>
      </c>
      <c r="B137" s="0" t="s">
        <v>293</v>
      </c>
      <c r="C137" s="17" t="n">
        <f aca="false">IF(SQRT((Coordenadas!$C$28-Coordenadas!$C$188)^2+(Coordenadas!$D$28-Coordenadas!$D$188)^2)&lt;=LEEME!$B$20,EXP(-LEEME!$B$19*SQRT((Coordenadas!$C$28-Coordenadas!$C$188)^2+(Coordenadas!$D$28-Coordenadas!$D$188)^2)),0)</f>
        <v>0.653078783880436</v>
      </c>
    </row>
    <row r="138" customFormat="false" ht="15" hidden="false" customHeight="false" outlineLevel="0" collapsed="false">
      <c r="A138" s="0" t="s">
        <v>73</v>
      </c>
      <c r="B138" s="0" t="s">
        <v>294</v>
      </c>
      <c r="C138" s="17" t="n">
        <f aca="false">IF(SQRT((Coordenadas!$C$28-Coordenadas!$C$189)^2+(Coordenadas!$D$28-Coordenadas!$D$189)^2)&lt;=LEEME!$B$20,EXP(-LEEME!$B$19*SQRT((Coordenadas!$C$28-Coordenadas!$C$189)^2+(Coordenadas!$D$28-Coordenadas!$D$189)^2)),0)</f>
        <v>0.42799405213785</v>
      </c>
    </row>
    <row r="139" customFormat="false" ht="15" hidden="false" customHeight="false" outlineLevel="0" collapsed="false">
      <c r="A139" s="0" t="s">
        <v>73</v>
      </c>
      <c r="B139" s="0" t="s">
        <v>295</v>
      </c>
      <c r="C139" s="17" t="n">
        <f aca="false">IF(SQRT((Coordenadas!$C$28-Coordenadas!$C$190)^2+(Coordenadas!$D$28-Coordenadas!$D$190)^2)&lt;=LEEME!$B$20,EXP(-LEEME!$B$19*SQRT((Coordenadas!$C$28-Coordenadas!$C$190)^2+(Coordenadas!$D$28-Coordenadas!$D$190)^2)),0)</f>
        <v>0.821993363270167</v>
      </c>
    </row>
    <row r="140" customFormat="false" ht="15" hidden="false" customHeight="false" outlineLevel="0" collapsed="false">
      <c r="A140" s="0" t="s">
        <v>73</v>
      </c>
      <c r="B140" s="0" t="s">
        <v>298</v>
      </c>
      <c r="C140" s="17" t="n">
        <f aca="false">IF(SQRT((Coordenadas!$C$28-Coordenadas!$C$193)^2+(Coordenadas!$D$28-Coordenadas!$D$193)^2)&lt;=LEEME!$B$20,EXP(-LEEME!$B$19*SQRT((Coordenadas!$C$28-Coordenadas!$C$193)^2+(Coordenadas!$D$28-Coordenadas!$D$193)^2)),0)</f>
        <v>0.657497105346558</v>
      </c>
    </row>
    <row r="141" customFormat="false" ht="15" hidden="false" customHeight="false" outlineLevel="0" collapsed="false">
      <c r="A141" s="0" t="s">
        <v>73</v>
      </c>
      <c r="B141" s="0" t="s">
        <v>300</v>
      </c>
      <c r="C141" s="17" t="n">
        <f aca="false">IF(SQRT((Coordenadas!$C$28-Coordenadas!$C$195)^2+(Coordenadas!$D$28-Coordenadas!$D$195)^2)&lt;=LEEME!$B$20,EXP(-LEEME!$B$19*SQRT((Coordenadas!$C$28-Coordenadas!$C$195)^2+(Coordenadas!$D$28-Coordenadas!$D$195)^2)),0)</f>
        <v>0.5681590558922</v>
      </c>
    </row>
    <row r="142" customFormat="false" ht="15" hidden="false" customHeight="false" outlineLevel="0" collapsed="false">
      <c r="A142" s="0" t="s">
        <v>73</v>
      </c>
      <c r="B142" s="0" t="s">
        <v>301</v>
      </c>
      <c r="C142" s="17" t="n">
        <f aca="false">IF(SQRT((Coordenadas!$C$28-Coordenadas!$C$196)^2+(Coordenadas!$D$28-Coordenadas!$D$196)^2)&lt;=LEEME!$B$20,EXP(-LEEME!$B$19*SQRT((Coordenadas!$C$28-Coordenadas!$C$196)^2+(Coordenadas!$D$28-Coordenadas!$D$196)^2)),0)</f>
        <v>0.545353608299102</v>
      </c>
    </row>
    <row r="143" customFormat="false" ht="15" hidden="false" customHeight="false" outlineLevel="0" collapsed="false">
      <c r="A143" s="0" t="s">
        <v>74</v>
      </c>
      <c r="B143" s="0" t="s">
        <v>282</v>
      </c>
      <c r="C143" s="17" t="n">
        <f aca="false">IF(SQRT((Coordenadas!$C$29-Coordenadas!$C$177)^2+(Coordenadas!$D$29-Coordenadas!$D$177)^2)&lt;=LEEME!$B$20,EXP(-LEEME!$B$19*SQRT((Coordenadas!$C$29-Coordenadas!$C$177)^2+(Coordenadas!$D$29-Coordenadas!$D$177)^2)),0)</f>
        <v>0.43572776447987</v>
      </c>
    </row>
    <row r="144" customFormat="false" ht="15" hidden="false" customHeight="false" outlineLevel="0" collapsed="false">
      <c r="A144" s="0" t="s">
        <v>74</v>
      </c>
      <c r="B144" s="0" t="s">
        <v>286</v>
      </c>
      <c r="C144" s="17" t="n">
        <f aca="false">IF(SQRT((Coordenadas!$C$29-Coordenadas!$C$181)^2+(Coordenadas!$D$29-Coordenadas!$D$181)^2)&lt;=LEEME!$B$20,EXP(-LEEME!$B$19*SQRT((Coordenadas!$C$29-Coordenadas!$C$181)^2+(Coordenadas!$D$29-Coordenadas!$D$181)^2)),0)</f>
        <v>0.500073234892626</v>
      </c>
    </row>
    <row r="145" customFormat="false" ht="15" hidden="false" customHeight="false" outlineLevel="0" collapsed="false">
      <c r="A145" s="0" t="s">
        <v>74</v>
      </c>
      <c r="B145" s="0" t="s">
        <v>287</v>
      </c>
      <c r="C145" s="17" t="n">
        <f aca="false">IF(SQRT((Coordenadas!$C$29-Coordenadas!$C$182)^2+(Coordenadas!$D$29-Coordenadas!$D$182)^2)&lt;=LEEME!$B$20,EXP(-LEEME!$B$19*SQRT((Coordenadas!$C$29-Coordenadas!$C$182)^2+(Coordenadas!$D$29-Coordenadas!$D$182)^2)),0)</f>
        <v>0.401608570437348</v>
      </c>
    </row>
    <row r="146" customFormat="false" ht="15" hidden="false" customHeight="false" outlineLevel="0" collapsed="false">
      <c r="A146" s="0" t="s">
        <v>74</v>
      </c>
      <c r="B146" s="0" t="s">
        <v>288</v>
      </c>
      <c r="C146" s="17" t="n">
        <f aca="false">IF(SQRT((Coordenadas!$C$29-Coordenadas!$C$183)^2+(Coordenadas!$D$29-Coordenadas!$D$183)^2)&lt;=LEEME!$B$20,EXP(-LEEME!$B$19*SQRT((Coordenadas!$C$29-Coordenadas!$C$183)^2+(Coordenadas!$D$29-Coordenadas!$D$183)^2)),0)</f>
        <v>0.397740917894093</v>
      </c>
    </row>
    <row r="147" customFormat="false" ht="15" hidden="false" customHeight="false" outlineLevel="0" collapsed="false">
      <c r="A147" s="0" t="s">
        <v>74</v>
      </c>
      <c r="B147" s="0" t="s">
        <v>293</v>
      </c>
      <c r="C147" s="17" t="n">
        <f aca="false">IF(SQRT((Coordenadas!$C$29-Coordenadas!$C$188)^2+(Coordenadas!$D$29-Coordenadas!$D$188)^2)&lt;=LEEME!$B$20,EXP(-LEEME!$B$19*SQRT((Coordenadas!$C$29-Coordenadas!$C$188)^2+(Coordenadas!$D$29-Coordenadas!$D$188)^2)),0)</f>
        <v>0.519590811634933</v>
      </c>
    </row>
    <row r="148" customFormat="false" ht="15" hidden="false" customHeight="false" outlineLevel="0" collapsed="false">
      <c r="A148" s="0" t="s">
        <v>74</v>
      </c>
      <c r="B148" s="0" t="s">
        <v>294</v>
      </c>
      <c r="C148" s="17" t="n">
        <f aca="false">IF(SQRT((Coordenadas!$C$29-Coordenadas!$C$189)^2+(Coordenadas!$D$29-Coordenadas!$D$189)^2)&lt;=LEEME!$B$20,EXP(-LEEME!$B$19*SQRT((Coordenadas!$C$29-Coordenadas!$C$189)^2+(Coordenadas!$D$29-Coordenadas!$D$189)^2)),0)</f>
        <v>0.64096833405618</v>
      </c>
    </row>
    <row r="149" customFormat="false" ht="15" hidden="false" customHeight="false" outlineLevel="0" collapsed="false">
      <c r="A149" s="0" t="s">
        <v>74</v>
      </c>
      <c r="B149" s="0" t="s">
        <v>295</v>
      </c>
      <c r="C149" s="17" t="n">
        <f aca="false">IF(SQRT((Coordenadas!$C$29-Coordenadas!$C$190)^2+(Coordenadas!$D$29-Coordenadas!$D$190)^2)&lt;=LEEME!$B$20,EXP(-LEEME!$B$19*SQRT((Coordenadas!$C$29-Coordenadas!$C$190)^2+(Coordenadas!$D$29-Coordenadas!$D$190)^2)),0)</f>
        <v>0.80088650538178</v>
      </c>
    </row>
    <row r="150" customFormat="false" ht="15" hidden="false" customHeight="false" outlineLevel="0" collapsed="false">
      <c r="A150" s="0" t="s">
        <v>74</v>
      </c>
      <c r="B150" s="0" t="s">
        <v>298</v>
      </c>
      <c r="C150" s="17" t="n">
        <f aca="false">IF(SQRT((Coordenadas!$C$29-Coordenadas!$C$193)^2+(Coordenadas!$D$29-Coordenadas!$D$193)^2)&lt;=LEEME!$B$20,EXP(-LEEME!$B$19*SQRT((Coordenadas!$C$29-Coordenadas!$C$193)^2+(Coordenadas!$D$29-Coordenadas!$D$193)^2)),0)</f>
        <v>0.440149871002756</v>
      </c>
    </row>
    <row r="151" customFormat="false" ht="15" hidden="false" customHeight="false" outlineLevel="0" collapsed="false">
      <c r="A151" s="0" t="s">
        <v>74</v>
      </c>
      <c r="B151" s="0" t="s">
        <v>300</v>
      </c>
      <c r="C151" s="17" t="n">
        <f aca="false">IF(SQRT((Coordenadas!$C$29-Coordenadas!$C$195)^2+(Coordenadas!$D$29-Coordenadas!$D$195)^2)&lt;=LEEME!$B$20,EXP(-LEEME!$B$19*SQRT((Coordenadas!$C$29-Coordenadas!$C$195)^2+(Coordenadas!$D$29-Coordenadas!$D$195)^2)),0)</f>
        <v>0.391168837623667</v>
      </c>
    </row>
    <row r="152" customFormat="false" ht="15" hidden="false" customHeight="false" outlineLevel="0" collapsed="false">
      <c r="A152" s="0" t="s">
        <v>74</v>
      </c>
      <c r="B152" s="0" t="s">
        <v>301</v>
      </c>
      <c r="C152" s="17" t="n">
        <f aca="false">IF(SQRT((Coordenadas!$C$29-Coordenadas!$C$196)^2+(Coordenadas!$D$29-Coordenadas!$D$196)^2)&lt;=LEEME!$B$20,EXP(-LEEME!$B$19*SQRT((Coordenadas!$C$29-Coordenadas!$C$196)^2+(Coordenadas!$D$29-Coordenadas!$D$196)^2)),0)</f>
        <v>0.374432349242686</v>
      </c>
    </row>
    <row r="153" customFormat="false" ht="15" hidden="false" customHeight="false" outlineLevel="0" collapsed="false">
      <c r="A153" s="0" t="s">
        <v>75</v>
      </c>
      <c r="B153" s="0" t="s">
        <v>282</v>
      </c>
      <c r="C153" s="17" t="n">
        <f aca="false">IF(SQRT((Coordenadas!$C$30-Coordenadas!$C$177)^2+(Coordenadas!$D$30-Coordenadas!$D$177)^2)&lt;=LEEME!$B$20,EXP(-LEEME!$B$19*SQRT((Coordenadas!$C$30-Coordenadas!$C$177)^2+(Coordenadas!$D$30-Coordenadas!$D$177)^2)),0)</f>
        <v>0.391246994496183</v>
      </c>
    </row>
    <row r="154" customFormat="false" ht="15" hidden="false" customHeight="false" outlineLevel="0" collapsed="false">
      <c r="A154" s="0" t="s">
        <v>75</v>
      </c>
      <c r="B154" s="0" t="s">
        <v>286</v>
      </c>
      <c r="C154" s="17" t="n">
        <f aca="false">IF(SQRT((Coordenadas!$C$30-Coordenadas!$C$181)^2+(Coordenadas!$D$30-Coordenadas!$D$181)^2)&lt;=LEEME!$B$20,EXP(-LEEME!$B$19*SQRT((Coordenadas!$C$30-Coordenadas!$C$181)^2+(Coordenadas!$D$30-Coordenadas!$D$181)^2)),0)</f>
        <v>0.456810881048755</v>
      </c>
    </row>
    <row r="155" customFormat="false" ht="15" hidden="false" customHeight="false" outlineLevel="0" collapsed="false">
      <c r="A155" s="0" t="s">
        <v>75</v>
      </c>
      <c r="B155" s="0" t="s">
        <v>293</v>
      </c>
      <c r="C155" s="17" t="n">
        <f aca="false">IF(SQRT((Coordenadas!$C$30-Coordenadas!$C$188)^2+(Coordenadas!$D$30-Coordenadas!$D$188)^2)&lt;=LEEME!$B$20,EXP(-LEEME!$B$19*SQRT((Coordenadas!$C$30-Coordenadas!$C$188)^2+(Coordenadas!$D$30-Coordenadas!$D$188)^2)),0)</f>
        <v>0.609432415977924</v>
      </c>
    </row>
    <row r="156" customFormat="false" ht="15" hidden="false" customHeight="false" outlineLevel="0" collapsed="false">
      <c r="A156" s="0" t="s">
        <v>75</v>
      </c>
      <c r="B156" s="0" t="s">
        <v>294</v>
      </c>
      <c r="C156" s="17" t="n">
        <f aca="false">IF(SQRT((Coordenadas!$C$30-Coordenadas!$C$189)^2+(Coordenadas!$D$30-Coordenadas!$D$189)^2)&lt;=LEEME!$B$20,EXP(-LEEME!$B$19*SQRT((Coordenadas!$C$30-Coordenadas!$C$189)^2+(Coordenadas!$D$30-Coordenadas!$D$189)^2)),0)</f>
        <v>0.505382114429554</v>
      </c>
    </row>
    <row r="157" customFormat="false" ht="15" hidden="false" customHeight="false" outlineLevel="0" collapsed="false">
      <c r="A157" s="0" t="s">
        <v>75</v>
      </c>
      <c r="B157" s="0" t="s">
        <v>295</v>
      </c>
      <c r="C157" s="17" t="n">
        <f aca="false">IF(SQRT((Coordenadas!$C$30-Coordenadas!$C$190)^2+(Coordenadas!$D$30-Coordenadas!$D$190)^2)&lt;=LEEME!$B$20,EXP(-LEEME!$B$19*SQRT((Coordenadas!$C$30-Coordenadas!$C$190)^2+(Coordenadas!$D$30-Coordenadas!$D$190)^2)),0)</f>
        <v>0.941764533584249</v>
      </c>
    </row>
    <row r="158" customFormat="false" ht="15" hidden="false" customHeight="false" outlineLevel="0" collapsed="false">
      <c r="A158" s="0" t="s">
        <v>75</v>
      </c>
      <c r="B158" s="0" t="s">
        <v>298</v>
      </c>
      <c r="C158" s="17" t="n">
        <f aca="false">IF(SQRT((Coordenadas!$C$30-Coordenadas!$C$193)^2+(Coordenadas!$D$30-Coordenadas!$D$193)^2)&lt;=LEEME!$B$20,EXP(-LEEME!$B$19*SQRT((Coordenadas!$C$30-Coordenadas!$C$193)^2+(Coordenadas!$D$30-Coordenadas!$D$193)^2)),0)</f>
        <v>0.557761624842958</v>
      </c>
    </row>
    <row r="159" customFormat="false" ht="15" hidden="false" customHeight="false" outlineLevel="0" collapsed="false">
      <c r="A159" s="0" t="s">
        <v>75</v>
      </c>
      <c r="B159" s="0" t="s">
        <v>300</v>
      </c>
      <c r="C159" s="17" t="n">
        <f aca="false">IF(SQRT((Coordenadas!$C$30-Coordenadas!$C$195)^2+(Coordenadas!$D$30-Coordenadas!$D$195)^2)&lt;=LEEME!$B$20,EXP(-LEEME!$B$19*SQRT((Coordenadas!$C$30-Coordenadas!$C$195)^2+(Coordenadas!$D$30-Coordenadas!$D$195)^2)),0)</f>
        <v>0.489577329282208</v>
      </c>
    </row>
    <row r="160" customFormat="false" ht="15" hidden="false" customHeight="false" outlineLevel="0" collapsed="false">
      <c r="A160" s="0" t="s">
        <v>75</v>
      </c>
      <c r="B160" s="0" t="s">
        <v>301</v>
      </c>
      <c r="C160" s="17" t="n">
        <f aca="false">IF(SQRT((Coordenadas!$C$30-Coordenadas!$C$196)^2+(Coordenadas!$D$30-Coordenadas!$D$196)^2)&lt;=LEEME!$B$20,EXP(-LEEME!$B$19*SQRT((Coordenadas!$C$30-Coordenadas!$C$196)^2+(Coordenadas!$D$30-Coordenadas!$D$196)^2)),0)</f>
        <v>0.469117701747932</v>
      </c>
    </row>
    <row r="161" customFormat="false" ht="15" hidden="false" customHeight="false" outlineLevel="0" collapsed="false">
      <c r="A161" s="0" t="s">
        <v>76</v>
      </c>
      <c r="B161" s="0" t="s">
        <v>282</v>
      </c>
      <c r="C161" s="17" t="n">
        <f aca="false">IF(SQRT((Coordenadas!$C$31-Coordenadas!$C$177)^2+(Coordenadas!$D$31-Coordenadas!$D$177)^2)&lt;=LEEME!$B$20,EXP(-LEEME!$B$19*SQRT((Coordenadas!$C$31-Coordenadas!$C$177)^2+(Coordenadas!$D$31-Coordenadas!$D$177)^2)),0)</f>
        <v>0.435596681173455</v>
      </c>
    </row>
    <row r="162" customFormat="false" ht="15" hidden="false" customHeight="false" outlineLevel="0" collapsed="false">
      <c r="A162" s="0" t="s">
        <v>76</v>
      </c>
      <c r="B162" s="0" t="s">
        <v>286</v>
      </c>
      <c r="C162" s="17" t="n">
        <f aca="false">IF(SQRT((Coordenadas!$C$31-Coordenadas!$C$181)^2+(Coordenadas!$D$31-Coordenadas!$D$181)^2)&lt;=LEEME!$B$20,EXP(-LEEME!$B$19*SQRT((Coordenadas!$C$31-Coordenadas!$C$181)^2+(Coordenadas!$D$31-Coordenadas!$D$181)^2)),0)</f>
        <v>0.481612139691635</v>
      </c>
    </row>
    <row r="163" customFormat="false" ht="15" hidden="false" customHeight="false" outlineLevel="0" collapsed="false">
      <c r="A163" s="0" t="s">
        <v>76</v>
      </c>
      <c r="B163" s="0" t="s">
        <v>287</v>
      </c>
      <c r="C163" s="17" t="n">
        <f aca="false">IF(SQRT((Coordenadas!$C$31-Coordenadas!$C$182)^2+(Coordenadas!$D$31-Coordenadas!$D$182)^2)&lt;=LEEME!$B$20,EXP(-LEEME!$B$19*SQRT((Coordenadas!$C$31-Coordenadas!$C$182)^2+(Coordenadas!$D$31-Coordenadas!$D$182)^2)),0)</f>
        <v>0.497118052852947</v>
      </c>
    </row>
    <row r="164" customFormat="false" ht="15" hidden="false" customHeight="false" outlineLevel="0" collapsed="false">
      <c r="A164" s="0" t="s">
        <v>76</v>
      </c>
      <c r="B164" s="0" t="s">
        <v>288</v>
      </c>
      <c r="C164" s="17" t="n">
        <f aca="false">IF(SQRT((Coordenadas!$C$31-Coordenadas!$C$183)^2+(Coordenadas!$D$31-Coordenadas!$D$183)^2)&lt;=LEEME!$B$20,EXP(-LEEME!$B$19*SQRT((Coordenadas!$C$31-Coordenadas!$C$183)^2+(Coordenadas!$D$31-Coordenadas!$D$183)^2)),0)</f>
        <v>0.497919787578957</v>
      </c>
    </row>
    <row r="165" customFormat="false" ht="15" hidden="false" customHeight="false" outlineLevel="0" collapsed="false">
      <c r="A165" s="0" t="s">
        <v>76</v>
      </c>
      <c r="B165" s="0" t="s">
        <v>293</v>
      </c>
      <c r="C165" s="17" t="n">
        <f aca="false">IF(SQRT((Coordenadas!$C$31-Coordenadas!$C$188)^2+(Coordenadas!$D$31-Coordenadas!$D$188)^2)&lt;=LEEME!$B$20,EXP(-LEEME!$B$19*SQRT((Coordenadas!$C$31-Coordenadas!$C$188)^2+(Coordenadas!$D$31-Coordenadas!$D$188)^2)),0)</f>
        <v>0.406186059623347</v>
      </c>
    </row>
    <row r="166" customFormat="false" ht="15" hidden="false" customHeight="false" outlineLevel="0" collapsed="false">
      <c r="A166" s="0" t="s">
        <v>76</v>
      </c>
      <c r="B166" s="0" t="s">
        <v>294</v>
      </c>
      <c r="C166" s="17" t="n">
        <f aca="false">IF(SQRT((Coordenadas!$C$31-Coordenadas!$C$189)^2+(Coordenadas!$D$31-Coordenadas!$D$189)^2)&lt;=LEEME!$B$20,EXP(-LEEME!$B$19*SQRT((Coordenadas!$C$31-Coordenadas!$C$189)^2+(Coordenadas!$D$31-Coordenadas!$D$189)^2)),0)</f>
        <v>0.832686270142872</v>
      </c>
    </row>
    <row r="167" customFormat="false" ht="15" hidden="false" customHeight="false" outlineLevel="0" collapsed="false">
      <c r="A167" s="0" t="s">
        <v>76</v>
      </c>
      <c r="B167" s="0" t="s">
        <v>295</v>
      </c>
      <c r="C167" s="17" t="n">
        <f aca="false">IF(SQRT((Coordenadas!$C$31-Coordenadas!$C$190)^2+(Coordenadas!$D$31-Coordenadas!$D$190)^2)&lt;=LEEME!$B$20,EXP(-LEEME!$B$19*SQRT((Coordenadas!$C$31-Coordenadas!$C$190)^2+(Coordenadas!$D$31-Coordenadas!$D$190)^2)),0)</f>
        <v>0.611162669634127</v>
      </c>
    </row>
    <row r="168" customFormat="false" ht="15" hidden="false" customHeight="false" outlineLevel="0" collapsed="false">
      <c r="A168" s="0" t="s">
        <v>77</v>
      </c>
      <c r="B168" s="0" t="s">
        <v>283</v>
      </c>
      <c r="C168" s="17" t="n">
        <f aca="false">IF(SQRT((Coordenadas!$C$32-Coordenadas!$C$178)^2+(Coordenadas!$D$32-Coordenadas!$D$178)^2)&lt;=LEEME!$B$20,EXP(-LEEME!$B$19*SQRT((Coordenadas!$C$32-Coordenadas!$C$178)^2+(Coordenadas!$D$32-Coordenadas!$D$178)^2)),0)</f>
        <v>0.369793129212373</v>
      </c>
    </row>
    <row r="169" customFormat="false" ht="15" hidden="false" customHeight="false" outlineLevel="0" collapsed="false">
      <c r="A169" s="0" t="s">
        <v>77</v>
      </c>
      <c r="B169" s="0" t="s">
        <v>284</v>
      </c>
      <c r="C169" s="17" t="n">
        <f aca="false">IF(SQRT((Coordenadas!$C$32-Coordenadas!$C$179)^2+(Coordenadas!$D$32-Coordenadas!$D$179)^2)&lt;=LEEME!$B$20,EXP(-LEEME!$B$19*SQRT((Coordenadas!$C$32-Coordenadas!$C$179)^2+(Coordenadas!$D$32-Coordenadas!$D$179)^2)),0)</f>
        <v>0.390311234666003</v>
      </c>
    </row>
    <row r="170" customFormat="false" ht="15" hidden="false" customHeight="false" outlineLevel="0" collapsed="false">
      <c r="A170" s="0" t="s">
        <v>77</v>
      </c>
      <c r="B170" s="0" t="s">
        <v>287</v>
      </c>
      <c r="C170" s="17" t="n">
        <f aca="false">IF(SQRT((Coordenadas!$C$32-Coordenadas!$C$182)^2+(Coordenadas!$D$32-Coordenadas!$D$182)^2)&lt;=LEEME!$B$20,EXP(-LEEME!$B$19*SQRT((Coordenadas!$C$32-Coordenadas!$C$182)^2+(Coordenadas!$D$32-Coordenadas!$D$182)^2)),0)</f>
        <v>0.493120995924483</v>
      </c>
    </row>
    <row r="171" customFormat="false" ht="15" hidden="false" customHeight="false" outlineLevel="0" collapsed="false">
      <c r="A171" s="0" t="s">
        <v>77</v>
      </c>
      <c r="B171" s="0" t="s">
        <v>288</v>
      </c>
      <c r="C171" s="17" t="n">
        <f aca="false">IF(SQRT((Coordenadas!$C$32-Coordenadas!$C$183)^2+(Coordenadas!$D$32-Coordenadas!$D$183)^2)&lt;=LEEME!$B$20,EXP(-LEEME!$B$19*SQRT((Coordenadas!$C$32-Coordenadas!$C$183)^2+(Coordenadas!$D$32-Coordenadas!$D$183)^2)),0)</f>
        <v>0.515368790380931</v>
      </c>
    </row>
    <row r="172" customFormat="false" ht="15" hidden="false" customHeight="false" outlineLevel="0" collapsed="false">
      <c r="A172" s="0" t="s">
        <v>77</v>
      </c>
      <c r="B172" s="0" t="s">
        <v>289</v>
      </c>
      <c r="C172" s="17" t="n">
        <f aca="false">IF(SQRT((Coordenadas!$C$32-Coordenadas!$C$184)^2+(Coordenadas!$D$32-Coordenadas!$D$184)^2)&lt;=LEEME!$B$20,EXP(-LEEME!$B$19*SQRT((Coordenadas!$C$32-Coordenadas!$C$184)^2+(Coordenadas!$D$32-Coordenadas!$D$184)^2)),0)</f>
        <v>0.497750270589332</v>
      </c>
    </row>
    <row r="173" customFormat="false" ht="15" hidden="false" customHeight="false" outlineLevel="0" collapsed="false">
      <c r="A173" s="0" t="s">
        <v>77</v>
      </c>
      <c r="B173" s="0" t="s">
        <v>292</v>
      </c>
      <c r="C173" s="17" t="n">
        <f aca="false">IF(SQRT((Coordenadas!$C$32-Coordenadas!$C$187)^2+(Coordenadas!$D$32-Coordenadas!$D$187)^2)&lt;=LEEME!$B$20,EXP(-LEEME!$B$19*SQRT((Coordenadas!$C$32-Coordenadas!$C$187)^2+(Coordenadas!$D$32-Coordenadas!$D$187)^2)),0)</f>
        <v>0.425314281500287</v>
      </c>
    </row>
    <row r="174" customFormat="false" ht="15" hidden="false" customHeight="false" outlineLevel="0" collapsed="false">
      <c r="A174" s="0" t="s">
        <v>77</v>
      </c>
      <c r="B174" s="0" t="s">
        <v>294</v>
      </c>
      <c r="C174" s="17" t="n">
        <f aca="false">IF(SQRT((Coordenadas!$C$32-Coordenadas!$C$189)^2+(Coordenadas!$D$32-Coordenadas!$D$189)^2)&lt;=LEEME!$B$20,EXP(-LEEME!$B$19*SQRT((Coordenadas!$C$32-Coordenadas!$C$189)^2+(Coordenadas!$D$32-Coordenadas!$D$189)^2)),0)</f>
        <v>0.628067575218123</v>
      </c>
    </row>
    <row r="175" customFormat="false" ht="15" hidden="false" customHeight="false" outlineLevel="0" collapsed="false">
      <c r="A175" s="0" t="s">
        <v>78</v>
      </c>
      <c r="B175" s="0" t="s">
        <v>282</v>
      </c>
      <c r="C175" s="17" t="n">
        <f aca="false">IF(SQRT((Coordenadas!$C$33-Coordenadas!$C$177)^2+(Coordenadas!$D$33-Coordenadas!$D$177)^2)&lt;=LEEME!$B$20,EXP(-LEEME!$B$19*SQRT((Coordenadas!$C$33-Coordenadas!$C$177)^2+(Coordenadas!$D$33-Coordenadas!$D$177)^2)),0)</f>
        <v>0.387332238780474</v>
      </c>
    </row>
    <row r="176" customFormat="false" ht="15" hidden="false" customHeight="false" outlineLevel="0" collapsed="false">
      <c r="A176" s="0" t="s">
        <v>78</v>
      </c>
      <c r="B176" s="0" t="s">
        <v>286</v>
      </c>
      <c r="C176" s="17" t="n">
        <f aca="false">IF(SQRT((Coordenadas!$C$33-Coordenadas!$C$181)^2+(Coordenadas!$D$33-Coordenadas!$D$181)^2)&lt;=LEEME!$B$20,EXP(-LEEME!$B$19*SQRT((Coordenadas!$C$33-Coordenadas!$C$181)^2+(Coordenadas!$D$33-Coordenadas!$D$181)^2)),0)</f>
        <v>0.425009807843188</v>
      </c>
    </row>
    <row r="177" customFormat="false" ht="15" hidden="false" customHeight="false" outlineLevel="0" collapsed="false">
      <c r="A177" s="0" t="s">
        <v>78</v>
      </c>
      <c r="B177" s="0" t="s">
        <v>287</v>
      </c>
      <c r="C177" s="17" t="n">
        <f aca="false">IF(SQRT((Coordenadas!$C$33-Coordenadas!$C$182)^2+(Coordenadas!$D$33-Coordenadas!$D$182)^2)&lt;=LEEME!$B$20,EXP(-LEEME!$B$19*SQRT((Coordenadas!$C$33-Coordenadas!$C$182)^2+(Coordenadas!$D$33-Coordenadas!$D$182)^2)),0)</f>
        <v>0.484090891278036</v>
      </c>
    </row>
    <row r="178" customFormat="false" ht="15" hidden="false" customHeight="false" outlineLevel="0" collapsed="false">
      <c r="A178" s="0" t="s">
        <v>78</v>
      </c>
      <c r="B178" s="0" t="s">
        <v>288</v>
      </c>
      <c r="C178" s="17" t="n">
        <f aca="false">IF(SQRT((Coordenadas!$C$33-Coordenadas!$C$183)^2+(Coordenadas!$D$33-Coordenadas!$D$183)^2)&lt;=LEEME!$B$20,EXP(-LEEME!$B$19*SQRT((Coordenadas!$C$33-Coordenadas!$C$183)^2+(Coordenadas!$D$33-Coordenadas!$D$183)^2)),0)</f>
        <v>0.489911773914432</v>
      </c>
    </row>
    <row r="179" customFormat="false" ht="15" hidden="false" customHeight="false" outlineLevel="0" collapsed="false">
      <c r="A179" s="0" t="s">
        <v>78</v>
      </c>
      <c r="B179" s="0" t="s">
        <v>289</v>
      </c>
      <c r="C179" s="17" t="n">
        <f aca="false">IF(SQRT((Coordenadas!$C$33-Coordenadas!$C$184)^2+(Coordenadas!$D$33-Coordenadas!$D$184)^2)&lt;=LEEME!$B$20,EXP(-LEEME!$B$19*SQRT((Coordenadas!$C$33-Coordenadas!$C$184)^2+(Coordenadas!$D$33-Coordenadas!$D$184)^2)),0)</f>
        <v>0.374118156713782</v>
      </c>
    </row>
    <row r="180" customFormat="false" ht="15" hidden="false" customHeight="false" outlineLevel="0" collapsed="false">
      <c r="A180" s="0" t="s">
        <v>78</v>
      </c>
      <c r="B180" s="0" t="s">
        <v>294</v>
      </c>
      <c r="C180" s="17" t="n">
        <f aca="false">IF(SQRT((Coordenadas!$C$33-Coordenadas!$C$189)^2+(Coordenadas!$D$33-Coordenadas!$D$189)^2)&lt;=LEEME!$B$20,EXP(-LEEME!$B$19*SQRT((Coordenadas!$C$33-Coordenadas!$C$189)^2+(Coordenadas!$D$33-Coordenadas!$D$189)^2)),0)</f>
        <v>0.821626943436699</v>
      </c>
    </row>
    <row r="181" customFormat="false" ht="15" hidden="false" customHeight="false" outlineLevel="0" collapsed="false">
      <c r="A181" s="0" t="s">
        <v>78</v>
      </c>
      <c r="B181" s="0" t="s">
        <v>295</v>
      </c>
      <c r="C181" s="17" t="n">
        <f aca="false">IF(SQRT((Coordenadas!$C$33-Coordenadas!$C$190)^2+(Coordenadas!$D$33-Coordenadas!$D$190)^2)&lt;=LEEME!$B$20,EXP(-LEEME!$B$19*SQRT((Coordenadas!$C$33-Coordenadas!$C$190)^2+(Coordenadas!$D$33-Coordenadas!$D$190)^2)),0)</f>
        <v>0.557105861812174</v>
      </c>
    </row>
    <row r="182" customFormat="false" ht="15" hidden="false" customHeight="false" outlineLevel="0" collapsed="false">
      <c r="A182" s="0" t="s">
        <v>79</v>
      </c>
      <c r="B182" s="0" t="s">
        <v>297</v>
      </c>
      <c r="C182" s="17" t="n">
        <f aca="false">IF(SQRT((Coordenadas!$C$34-Coordenadas!$C$192)^2+(Coordenadas!$D$34-Coordenadas!$D$192)^2)&lt;=LEEME!$B$20,EXP(-LEEME!$B$19*SQRT((Coordenadas!$C$34-Coordenadas!$C$192)^2+(Coordenadas!$D$34-Coordenadas!$D$192)^2)),0)</f>
        <v>0.768076842086736</v>
      </c>
    </row>
    <row r="183" customFormat="false" ht="15" hidden="false" customHeight="false" outlineLevel="0" collapsed="false">
      <c r="A183" s="0" t="s">
        <v>79</v>
      </c>
      <c r="B183" s="0" t="s">
        <v>299</v>
      </c>
      <c r="C183" s="17" t="n">
        <f aca="false">IF(SQRT((Coordenadas!$C$34-Coordenadas!$C$194)^2+(Coordenadas!$D$34-Coordenadas!$D$194)^2)&lt;=LEEME!$B$20,EXP(-LEEME!$B$19*SQRT((Coordenadas!$C$34-Coordenadas!$C$194)^2+(Coordenadas!$D$34-Coordenadas!$D$194)^2)),0)</f>
        <v>0.587414582203065</v>
      </c>
    </row>
    <row r="184" customFormat="false" ht="15" hidden="false" customHeight="false" outlineLevel="0" collapsed="false">
      <c r="A184" s="0" t="s">
        <v>79</v>
      </c>
      <c r="B184" s="0" t="s">
        <v>302</v>
      </c>
      <c r="C184" s="17" t="n">
        <f aca="false">IF(SQRT((Coordenadas!$C$34-Coordenadas!$C$197)^2+(Coordenadas!$D$34-Coordenadas!$D$197)^2)&lt;=LEEME!$B$20,EXP(-LEEME!$B$19*SQRT((Coordenadas!$C$34-Coordenadas!$C$197)^2+(Coordenadas!$D$34-Coordenadas!$D$197)^2)),0)</f>
        <v>0.798029046195459</v>
      </c>
    </row>
    <row r="185" customFormat="false" ht="15" hidden="false" customHeight="false" outlineLevel="0" collapsed="false">
      <c r="A185" s="0" t="s">
        <v>79</v>
      </c>
      <c r="B185" s="0" t="s">
        <v>304</v>
      </c>
      <c r="C185" s="17" t="n">
        <f aca="false">IF(SQRT((Coordenadas!$C$34-Coordenadas!$C$199)^2+(Coordenadas!$D$34-Coordenadas!$D$199)^2)&lt;=LEEME!$B$20,EXP(-LEEME!$B$19*SQRT((Coordenadas!$C$34-Coordenadas!$C$199)^2+(Coordenadas!$D$34-Coordenadas!$D$199)^2)),0)</f>
        <v>0.840904454790255</v>
      </c>
    </row>
    <row r="186" customFormat="false" ht="15" hidden="false" customHeight="false" outlineLevel="0" collapsed="false">
      <c r="A186" s="0" t="s">
        <v>79</v>
      </c>
      <c r="B186" s="0" t="s">
        <v>306</v>
      </c>
      <c r="C186" s="17" t="n">
        <f aca="false">IF(SQRT((Coordenadas!$C$34-Coordenadas!$C$201)^2+(Coordenadas!$D$34-Coordenadas!$D$201)^2)&lt;=LEEME!$B$20,EXP(-LEEME!$B$19*SQRT((Coordenadas!$C$34-Coordenadas!$C$201)^2+(Coordenadas!$D$34-Coordenadas!$D$201)^2)),0)</f>
        <v>0.636216247154326</v>
      </c>
    </row>
    <row r="187" customFormat="false" ht="15" hidden="false" customHeight="false" outlineLevel="0" collapsed="false">
      <c r="A187" s="0" t="s">
        <v>79</v>
      </c>
      <c r="B187" s="0" t="s">
        <v>307</v>
      </c>
      <c r="C187" s="17" t="n">
        <f aca="false">IF(SQRT((Coordenadas!$C$34-Coordenadas!$C$202)^2+(Coordenadas!$D$34-Coordenadas!$D$202)^2)&lt;=LEEME!$B$20,EXP(-LEEME!$B$19*SQRT((Coordenadas!$C$34-Coordenadas!$C$202)^2+(Coordenadas!$D$34-Coordenadas!$D$202)^2)),0)</f>
        <v>0.593479944907668</v>
      </c>
    </row>
    <row r="188" customFormat="false" ht="15" hidden="false" customHeight="false" outlineLevel="0" collapsed="false">
      <c r="A188" s="0" t="s">
        <v>79</v>
      </c>
      <c r="B188" s="0" t="s">
        <v>308</v>
      </c>
      <c r="C188" s="17" t="n">
        <f aca="false">IF(SQRT((Coordenadas!$C$34-Coordenadas!$C$203)^2+(Coordenadas!$D$34-Coordenadas!$D$203)^2)&lt;=LEEME!$B$20,EXP(-LEEME!$B$19*SQRT((Coordenadas!$C$34-Coordenadas!$C$203)^2+(Coordenadas!$D$34-Coordenadas!$D$203)^2)),0)</f>
        <v>0.683120518581838</v>
      </c>
    </row>
    <row r="189" customFormat="false" ht="15" hidden="false" customHeight="false" outlineLevel="0" collapsed="false">
      <c r="A189" s="0" t="s">
        <v>81</v>
      </c>
      <c r="B189" s="0" t="s">
        <v>297</v>
      </c>
      <c r="C189" s="17" t="n">
        <f aca="false">IF(SQRT((Coordenadas!$C$35-Coordenadas!$C$192)^2+(Coordenadas!$D$35-Coordenadas!$D$192)^2)&lt;=LEEME!$B$20,EXP(-LEEME!$B$19*SQRT((Coordenadas!$C$35-Coordenadas!$C$192)^2+(Coordenadas!$D$35-Coordenadas!$D$192)^2)),0)</f>
        <v>0.610048661694966</v>
      </c>
    </row>
    <row r="190" customFormat="false" ht="15" hidden="false" customHeight="false" outlineLevel="0" collapsed="false">
      <c r="A190" s="0" t="s">
        <v>81</v>
      </c>
      <c r="B190" s="0" t="s">
        <v>299</v>
      </c>
      <c r="C190" s="17" t="n">
        <f aca="false">IF(SQRT((Coordenadas!$C$35-Coordenadas!$C$194)^2+(Coordenadas!$D$35-Coordenadas!$D$194)^2)&lt;=LEEME!$B$20,EXP(-LEEME!$B$19*SQRT((Coordenadas!$C$35-Coordenadas!$C$194)^2+(Coordenadas!$D$35-Coordenadas!$D$194)^2)),0)</f>
        <v>0.542317980298453</v>
      </c>
    </row>
    <row r="191" customFormat="false" ht="15" hidden="false" customHeight="false" outlineLevel="0" collapsed="false">
      <c r="A191" s="0" t="s">
        <v>81</v>
      </c>
      <c r="B191" s="0" t="s">
        <v>302</v>
      </c>
      <c r="C191" s="17" t="n">
        <f aca="false">IF(SQRT((Coordenadas!$C$35-Coordenadas!$C$197)^2+(Coordenadas!$D$35-Coordenadas!$D$197)^2)&lt;=LEEME!$B$20,EXP(-LEEME!$B$19*SQRT((Coordenadas!$C$35-Coordenadas!$C$197)^2+(Coordenadas!$D$35-Coordenadas!$D$197)^2)),0)</f>
        <v>0.783505295859673</v>
      </c>
    </row>
    <row r="192" customFormat="false" ht="15" hidden="false" customHeight="false" outlineLevel="0" collapsed="false">
      <c r="A192" s="0" t="s">
        <v>81</v>
      </c>
      <c r="B192" s="0" t="s">
        <v>304</v>
      </c>
      <c r="C192" s="17" t="n">
        <f aca="false">IF(SQRT((Coordenadas!$C$35-Coordenadas!$C$199)^2+(Coordenadas!$D$35-Coordenadas!$D$199)^2)&lt;=LEEME!$B$20,EXP(-LEEME!$B$19*SQRT((Coordenadas!$C$35-Coordenadas!$C$199)^2+(Coordenadas!$D$35-Coordenadas!$D$199)^2)),0)</f>
        <v>0.815394432693997</v>
      </c>
    </row>
    <row r="193" customFormat="false" ht="15" hidden="false" customHeight="false" outlineLevel="0" collapsed="false">
      <c r="A193" s="0" t="s">
        <v>81</v>
      </c>
      <c r="B193" s="0" t="s">
        <v>306</v>
      </c>
      <c r="C193" s="17" t="n">
        <f aca="false">IF(SQRT((Coordenadas!$C$35-Coordenadas!$C$201)^2+(Coordenadas!$D$35-Coordenadas!$D$201)^2)&lt;=LEEME!$B$20,EXP(-LEEME!$B$19*SQRT((Coordenadas!$C$35-Coordenadas!$C$201)^2+(Coordenadas!$D$35-Coordenadas!$D$201)^2)),0)</f>
        <v>0.724764595977075</v>
      </c>
    </row>
    <row r="194" customFormat="false" ht="15" hidden="false" customHeight="false" outlineLevel="0" collapsed="false">
      <c r="A194" s="0" t="s">
        <v>81</v>
      </c>
      <c r="B194" s="0" t="s">
        <v>307</v>
      </c>
      <c r="C194" s="17" t="n">
        <f aca="false">IF(SQRT((Coordenadas!$C$35-Coordenadas!$C$202)^2+(Coordenadas!$D$35-Coordenadas!$D$202)^2)&lt;=LEEME!$B$20,EXP(-LEEME!$B$19*SQRT((Coordenadas!$C$35-Coordenadas!$C$202)^2+(Coordenadas!$D$35-Coordenadas!$D$202)^2)),0)</f>
        <v>0.692893669550339</v>
      </c>
    </row>
    <row r="195" customFormat="false" ht="15" hidden="false" customHeight="false" outlineLevel="0" collapsed="false">
      <c r="A195" s="0" t="s">
        <v>81</v>
      </c>
      <c r="B195" s="0" t="s">
        <v>308</v>
      </c>
      <c r="C195" s="17" t="n">
        <f aca="false">IF(SQRT((Coordenadas!$C$35-Coordenadas!$C$203)^2+(Coordenadas!$D$35-Coordenadas!$D$203)^2)&lt;=LEEME!$B$20,EXP(-LEEME!$B$19*SQRT((Coordenadas!$C$35-Coordenadas!$C$203)^2+(Coordenadas!$D$35-Coordenadas!$D$203)^2)),0)</f>
        <v>0.856899658261715</v>
      </c>
    </row>
    <row r="196" customFormat="false" ht="15" hidden="false" customHeight="false" outlineLevel="0" collapsed="false">
      <c r="A196" s="0" t="s">
        <v>82</v>
      </c>
      <c r="B196" s="0" t="s">
        <v>297</v>
      </c>
      <c r="C196" s="17" t="n">
        <f aca="false">IF(SQRT((Coordenadas!$C$36-Coordenadas!$C$192)^2+(Coordenadas!$D$36-Coordenadas!$D$192)^2)&lt;=LEEME!$B$20,EXP(-LEEME!$B$19*SQRT((Coordenadas!$C$36-Coordenadas!$C$192)^2+(Coordenadas!$D$36-Coordenadas!$D$192)^2)),0)</f>
        <v>0.5214442967088</v>
      </c>
    </row>
    <row r="197" customFormat="false" ht="15" hidden="false" customHeight="false" outlineLevel="0" collapsed="false">
      <c r="A197" s="0" t="s">
        <v>82</v>
      </c>
      <c r="B197" s="0" t="s">
        <v>299</v>
      </c>
      <c r="C197" s="17" t="n">
        <f aca="false">IF(SQRT((Coordenadas!$C$36-Coordenadas!$C$194)^2+(Coordenadas!$D$36-Coordenadas!$D$194)^2)&lt;=LEEME!$B$20,EXP(-LEEME!$B$19*SQRT((Coordenadas!$C$36-Coordenadas!$C$194)^2+(Coordenadas!$D$36-Coordenadas!$D$194)^2)),0)</f>
        <v>0.490633983766972</v>
      </c>
    </row>
    <row r="198" customFormat="false" ht="15" hidden="false" customHeight="false" outlineLevel="0" collapsed="false">
      <c r="A198" s="0" t="s">
        <v>82</v>
      </c>
      <c r="B198" s="0" t="s">
        <v>302</v>
      </c>
      <c r="C198" s="17" t="n">
        <f aca="false">IF(SQRT((Coordenadas!$C$36-Coordenadas!$C$197)^2+(Coordenadas!$D$36-Coordenadas!$D$197)^2)&lt;=LEEME!$B$20,EXP(-LEEME!$B$19*SQRT((Coordenadas!$C$36-Coordenadas!$C$197)^2+(Coordenadas!$D$36-Coordenadas!$D$197)^2)),0)</f>
        <v>0.697361670893609</v>
      </c>
    </row>
    <row r="199" customFormat="false" ht="15" hidden="false" customHeight="false" outlineLevel="0" collapsed="false">
      <c r="A199" s="0" t="s">
        <v>82</v>
      </c>
      <c r="B199" s="0" t="s">
        <v>304</v>
      </c>
      <c r="C199" s="17" t="n">
        <f aca="false">IF(SQRT((Coordenadas!$C$36-Coordenadas!$C$199)^2+(Coordenadas!$D$36-Coordenadas!$D$199)^2)&lt;=LEEME!$B$20,EXP(-LEEME!$B$19*SQRT((Coordenadas!$C$36-Coordenadas!$C$199)^2+(Coordenadas!$D$36-Coordenadas!$D$199)^2)),0)</f>
        <v>0.720345450743003</v>
      </c>
    </row>
    <row r="200" customFormat="false" ht="15" hidden="false" customHeight="false" outlineLevel="0" collapsed="false">
      <c r="A200" s="0" t="s">
        <v>82</v>
      </c>
      <c r="B200" s="0" t="s">
        <v>306</v>
      </c>
      <c r="C200" s="17" t="n">
        <f aca="false">IF(SQRT((Coordenadas!$C$36-Coordenadas!$C$201)^2+(Coordenadas!$D$36-Coordenadas!$D$201)^2)&lt;=LEEME!$B$20,EXP(-LEEME!$B$19*SQRT((Coordenadas!$C$36-Coordenadas!$C$201)^2+(Coordenadas!$D$36-Coordenadas!$D$201)^2)),0)</f>
        <v>0.727258772739442</v>
      </c>
    </row>
    <row r="201" customFormat="false" ht="15" hidden="false" customHeight="false" outlineLevel="0" collapsed="false">
      <c r="A201" s="0" t="s">
        <v>82</v>
      </c>
      <c r="B201" s="0" t="s">
        <v>307</v>
      </c>
      <c r="C201" s="17" t="n">
        <f aca="false">IF(SQRT((Coordenadas!$C$36-Coordenadas!$C$202)^2+(Coordenadas!$D$36-Coordenadas!$D$202)^2)&lt;=LEEME!$B$20,EXP(-LEEME!$B$19*SQRT((Coordenadas!$C$36-Coordenadas!$C$202)^2+(Coordenadas!$D$36-Coordenadas!$D$202)^2)),0)</f>
        <v>0.720290558914281</v>
      </c>
    </row>
    <row r="202" customFormat="false" ht="15" hidden="false" customHeight="false" outlineLevel="0" collapsed="false">
      <c r="A202" s="0" t="s">
        <v>82</v>
      </c>
      <c r="B202" s="0" t="s">
        <v>308</v>
      </c>
      <c r="C202" s="17" t="n">
        <f aca="false">IF(SQRT((Coordenadas!$C$36-Coordenadas!$C$203)^2+(Coordenadas!$D$36-Coordenadas!$D$203)^2)&lt;=LEEME!$B$20,EXP(-LEEME!$B$19*SQRT((Coordenadas!$C$36-Coordenadas!$C$203)^2+(Coordenadas!$D$36-Coordenadas!$D$203)^2)),0)</f>
        <v>0.947572670308266</v>
      </c>
    </row>
    <row r="203" customFormat="false" ht="15" hidden="false" customHeight="false" outlineLevel="0" collapsed="false">
      <c r="A203" s="0" t="s">
        <v>83</v>
      </c>
      <c r="B203" s="0" t="s">
        <v>297</v>
      </c>
      <c r="C203" s="17" t="n">
        <f aca="false">IF(SQRT((Coordenadas!$C$37-Coordenadas!$C$192)^2+(Coordenadas!$D$37-Coordenadas!$D$192)^2)&lt;=LEEME!$B$20,EXP(-LEEME!$B$19*SQRT((Coordenadas!$C$37-Coordenadas!$C$192)^2+(Coordenadas!$D$37-Coordenadas!$D$192)^2)),0)</f>
        <v>0.375454768332553</v>
      </c>
    </row>
    <row r="204" customFormat="false" ht="15" hidden="false" customHeight="false" outlineLevel="0" collapsed="false">
      <c r="A204" s="0" t="s">
        <v>83</v>
      </c>
      <c r="B204" s="0" t="s">
        <v>299</v>
      </c>
      <c r="C204" s="17" t="n">
        <f aca="false">IF(SQRT((Coordenadas!$C$37-Coordenadas!$C$194)^2+(Coordenadas!$D$37-Coordenadas!$D$194)^2)&lt;=LEEME!$B$20,EXP(-LEEME!$B$19*SQRT((Coordenadas!$C$37-Coordenadas!$C$194)^2+(Coordenadas!$D$37-Coordenadas!$D$194)^2)),0)</f>
        <v>0.424836035040304</v>
      </c>
    </row>
    <row r="205" customFormat="false" ht="15" hidden="false" customHeight="false" outlineLevel="0" collapsed="false">
      <c r="A205" s="0" t="s">
        <v>83</v>
      </c>
      <c r="B205" s="0" t="s">
        <v>302</v>
      </c>
      <c r="C205" s="17" t="n">
        <f aca="false">IF(SQRT((Coordenadas!$C$37-Coordenadas!$C$197)^2+(Coordenadas!$D$37-Coordenadas!$D$197)^2)&lt;=LEEME!$B$20,EXP(-LEEME!$B$19*SQRT((Coordenadas!$C$37-Coordenadas!$C$197)^2+(Coordenadas!$D$37-Coordenadas!$D$197)^2)),0)</f>
        <v>0.546029301468407</v>
      </c>
    </row>
    <row r="206" customFormat="false" ht="15" hidden="false" customHeight="false" outlineLevel="0" collapsed="false">
      <c r="A206" s="0" t="s">
        <v>83</v>
      </c>
      <c r="B206" s="0" t="s">
        <v>304</v>
      </c>
      <c r="C206" s="17" t="n">
        <f aca="false">IF(SQRT((Coordenadas!$C$37-Coordenadas!$C$199)^2+(Coordenadas!$D$37-Coordenadas!$D$199)^2)&lt;=LEEME!$B$20,EXP(-LEEME!$B$19*SQRT((Coordenadas!$C$37-Coordenadas!$C$199)^2+(Coordenadas!$D$37-Coordenadas!$D$199)^2)),0)</f>
        <v>0.499209134685863</v>
      </c>
    </row>
    <row r="207" customFormat="false" ht="15" hidden="false" customHeight="false" outlineLevel="0" collapsed="false">
      <c r="A207" s="0" t="s">
        <v>83</v>
      </c>
      <c r="B207" s="0" t="s">
        <v>306</v>
      </c>
      <c r="C207" s="17" t="n">
        <f aca="false">IF(SQRT((Coordenadas!$C$37-Coordenadas!$C$201)^2+(Coordenadas!$D$37-Coordenadas!$D$201)^2)&lt;=LEEME!$B$20,EXP(-LEEME!$B$19*SQRT((Coordenadas!$C$37-Coordenadas!$C$201)^2+(Coordenadas!$D$37-Coordenadas!$D$201)^2)),0)</f>
        <v>0.679041968089836</v>
      </c>
    </row>
    <row r="208" customFormat="false" ht="15" hidden="false" customHeight="false" outlineLevel="0" collapsed="false">
      <c r="A208" s="0" t="s">
        <v>83</v>
      </c>
      <c r="B208" s="0" t="s">
        <v>307</v>
      </c>
      <c r="C208" s="17" t="n">
        <f aca="false">IF(SQRT((Coordenadas!$C$37-Coordenadas!$C$202)^2+(Coordenadas!$D$37-Coordenadas!$D$202)^2)&lt;=LEEME!$B$20,EXP(-LEEME!$B$19*SQRT((Coordenadas!$C$37-Coordenadas!$C$202)^2+(Coordenadas!$D$37-Coordenadas!$D$202)^2)),0)</f>
        <v>0.727744705430594</v>
      </c>
    </row>
    <row r="209" customFormat="false" ht="15" hidden="false" customHeight="false" outlineLevel="0" collapsed="false">
      <c r="A209" s="0" t="s">
        <v>83</v>
      </c>
      <c r="B209" s="0" t="s">
        <v>308</v>
      </c>
      <c r="C209" s="17" t="n">
        <f aca="false">IF(SQRT((Coordenadas!$C$37-Coordenadas!$C$203)^2+(Coordenadas!$D$37-Coordenadas!$D$203)^2)&lt;=LEEME!$B$20,EXP(-LEEME!$B$19*SQRT((Coordenadas!$C$37-Coordenadas!$C$203)^2+(Coordenadas!$D$37-Coordenadas!$D$203)^2)),0)</f>
        <v>0.703934621987953</v>
      </c>
    </row>
    <row r="210" customFormat="false" ht="15" hidden="false" customHeight="false" outlineLevel="0" collapsed="false">
      <c r="A210" s="0" t="s">
        <v>84</v>
      </c>
      <c r="B210" s="0" t="s">
        <v>296</v>
      </c>
      <c r="C210" s="17" t="n">
        <f aca="false">IF(SQRT((Coordenadas!$C$38-Coordenadas!$C$191)^2+(Coordenadas!$D$38-Coordenadas!$D$191)^2)&lt;=LEEME!$B$20,EXP(-LEEME!$B$19*SQRT((Coordenadas!$C$38-Coordenadas!$C$191)^2+(Coordenadas!$D$38-Coordenadas!$D$191)^2)),0)</f>
        <v>0.407855766497242</v>
      </c>
    </row>
    <row r="211" customFormat="false" ht="15" hidden="false" customHeight="false" outlineLevel="0" collapsed="false">
      <c r="A211" s="0" t="s">
        <v>84</v>
      </c>
      <c r="B211" s="0" t="s">
        <v>297</v>
      </c>
      <c r="C211" s="17" t="n">
        <f aca="false">IF(SQRT((Coordenadas!$C$38-Coordenadas!$C$192)^2+(Coordenadas!$D$38-Coordenadas!$D$192)^2)&lt;=LEEME!$B$20,EXP(-LEEME!$B$19*SQRT((Coordenadas!$C$38-Coordenadas!$C$192)^2+(Coordenadas!$D$38-Coordenadas!$D$192)^2)),0)</f>
        <v>0.460941704241493</v>
      </c>
    </row>
    <row r="212" customFormat="false" ht="15" hidden="false" customHeight="false" outlineLevel="0" collapsed="false">
      <c r="A212" s="0" t="s">
        <v>84</v>
      </c>
      <c r="B212" s="0" t="s">
        <v>299</v>
      </c>
      <c r="C212" s="17" t="n">
        <f aca="false">IF(SQRT((Coordenadas!$C$38-Coordenadas!$C$194)^2+(Coordenadas!$D$38-Coordenadas!$D$194)^2)&lt;=LEEME!$B$20,EXP(-LEEME!$B$19*SQRT((Coordenadas!$C$38-Coordenadas!$C$194)^2+(Coordenadas!$D$38-Coordenadas!$D$194)^2)),0)</f>
        <v>0.60955551467855</v>
      </c>
    </row>
    <row r="213" customFormat="false" ht="15" hidden="false" customHeight="false" outlineLevel="0" collapsed="false">
      <c r="A213" s="0" t="s">
        <v>84</v>
      </c>
      <c r="B213" s="0" t="s">
        <v>302</v>
      </c>
      <c r="C213" s="17" t="n">
        <f aca="false">IF(SQRT((Coordenadas!$C$38-Coordenadas!$C$197)^2+(Coordenadas!$D$38-Coordenadas!$D$197)^2)&lt;=LEEME!$B$20,EXP(-LEEME!$B$19*SQRT((Coordenadas!$C$38-Coordenadas!$C$197)^2+(Coordenadas!$D$38-Coordenadas!$D$197)^2)),0)</f>
        <v>0.69213975209529</v>
      </c>
    </row>
    <row r="214" customFormat="false" ht="15" hidden="false" customHeight="false" outlineLevel="0" collapsed="false">
      <c r="A214" s="0" t="s">
        <v>84</v>
      </c>
      <c r="B214" s="0" t="s">
        <v>303</v>
      </c>
      <c r="C214" s="17" t="n">
        <f aca="false">IF(SQRT((Coordenadas!$C$38-Coordenadas!$C$198)^2+(Coordenadas!$D$38-Coordenadas!$D$198)^2)&lt;=LEEME!$B$20,EXP(-LEEME!$B$19*SQRT((Coordenadas!$C$38-Coordenadas!$C$198)^2+(Coordenadas!$D$38-Coordenadas!$D$198)^2)),0)</f>
        <v>0.398167412112662</v>
      </c>
    </row>
    <row r="215" customFormat="false" ht="15" hidden="false" customHeight="false" outlineLevel="0" collapsed="false">
      <c r="A215" s="0" t="s">
        <v>84</v>
      </c>
      <c r="B215" s="0" t="s">
        <v>304</v>
      </c>
      <c r="C215" s="17" t="n">
        <f aca="false">IF(SQRT((Coordenadas!$C$38-Coordenadas!$C$199)^2+(Coordenadas!$D$38-Coordenadas!$D$199)^2)&lt;=LEEME!$B$20,EXP(-LEEME!$B$19*SQRT((Coordenadas!$C$38-Coordenadas!$C$199)^2+(Coordenadas!$D$38-Coordenadas!$D$199)^2)),0)</f>
        <v>0.526870610795052</v>
      </c>
    </row>
    <row r="216" customFormat="false" ht="15" hidden="false" customHeight="false" outlineLevel="0" collapsed="false">
      <c r="A216" s="0" t="s">
        <v>84</v>
      </c>
      <c r="B216" s="0" t="s">
        <v>305</v>
      </c>
      <c r="C216" s="17" t="n">
        <f aca="false">IF(SQRT((Coordenadas!$C$38-Coordenadas!$C$200)^2+(Coordenadas!$D$38-Coordenadas!$D$200)^2)&lt;=LEEME!$B$20,EXP(-LEEME!$B$19*SQRT((Coordenadas!$C$38-Coordenadas!$C$200)^2+(Coordenadas!$D$38-Coordenadas!$D$200)^2)),0)</f>
        <v>0.397643875193902</v>
      </c>
    </row>
    <row r="217" customFormat="false" ht="15" hidden="false" customHeight="false" outlineLevel="0" collapsed="false">
      <c r="A217" s="0" t="s">
        <v>84</v>
      </c>
      <c r="B217" s="0" t="s">
        <v>306</v>
      </c>
      <c r="C217" s="17" t="n">
        <f aca="false">IF(SQRT((Coordenadas!$C$38-Coordenadas!$C$201)^2+(Coordenadas!$D$38-Coordenadas!$D$201)^2)&lt;=LEEME!$B$20,EXP(-LEEME!$B$19*SQRT((Coordenadas!$C$38-Coordenadas!$C$201)^2+(Coordenadas!$D$38-Coordenadas!$D$201)^2)),0)</f>
        <v>0.881181986382846</v>
      </c>
    </row>
    <row r="218" customFormat="false" ht="15" hidden="false" customHeight="false" outlineLevel="0" collapsed="false">
      <c r="A218" s="0" t="s">
        <v>84</v>
      </c>
      <c r="B218" s="0" t="s">
        <v>307</v>
      </c>
      <c r="C218" s="17" t="n">
        <f aca="false">IF(SQRT((Coordenadas!$C$38-Coordenadas!$C$202)^2+(Coordenadas!$D$38-Coordenadas!$D$202)^2)&lt;=LEEME!$B$20,EXP(-LEEME!$B$19*SQRT((Coordenadas!$C$38-Coordenadas!$C$202)^2+(Coordenadas!$D$38-Coordenadas!$D$202)^2)),0)</f>
        <v>0.907949934988232</v>
      </c>
    </row>
    <row r="219" customFormat="false" ht="15" hidden="false" customHeight="false" outlineLevel="0" collapsed="false">
      <c r="A219" s="0" t="s">
        <v>84</v>
      </c>
      <c r="B219" s="0" t="s">
        <v>308</v>
      </c>
      <c r="C219" s="17" t="n">
        <f aca="false">IF(SQRT((Coordenadas!$C$38-Coordenadas!$C$203)^2+(Coordenadas!$D$38-Coordenadas!$D$203)^2)&lt;=LEEME!$B$20,EXP(-LEEME!$B$19*SQRT((Coordenadas!$C$38-Coordenadas!$C$203)^2+(Coordenadas!$D$38-Coordenadas!$D$203)^2)),0)</f>
        <v>0.690804350634783</v>
      </c>
    </row>
    <row r="220" customFormat="false" ht="15" hidden="false" customHeight="false" outlineLevel="0" collapsed="false">
      <c r="A220" s="0" t="s">
        <v>85</v>
      </c>
      <c r="B220" s="0" t="s">
        <v>296</v>
      </c>
      <c r="C220" s="17" t="n">
        <f aca="false">IF(SQRT((Coordenadas!$C$39-Coordenadas!$C$191)^2+(Coordenadas!$D$39-Coordenadas!$D$191)^2)&lt;=LEEME!$B$20,EXP(-LEEME!$B$19*SQRT((Coordenadas!$C$39-Coordenadas!$C$191)^2+(Coordenadas!$D$39-Coordenadas!$D$191)^2)),0)</f>
        <v>0.45099277387193</v>
      </c>
    </row>
    <row r="221" customFormat="false" ht="15" hidden="false" customHeight="false" outlineLevel="0" collapsed="false">
      <c r="A221" s="0" t="s">
        <v>85</v>
      </c>
      <c r="B221" s="0" t="s">
        <v>297</v>
      </c>
      <c r="C221" s="17" t="n">
        <f aca="false">IF(SQRT((Coordenadas!$C$39-Coordenadas!$C$192)^2+(Coordenadas!$D$39-Coordenadas!$D$192)^2)&lt;=LEEME!$B$20,EXP(-LEEME!$B$19*SQRT((Coordenadas!$C$39-Coordenadas!$C$192)^2+(Coordenadas!$D$39-Coordenadas!$D$192)^2)),0)</f>
        <v>0.543573674383029</v>
      </c>
    </row>
    <row r="222" customFormat="false" ht="15" hidden="false" customHeight="false" outlineLevel="0" collapsed="false">
      <c r="A222" s="0" t="s">
        <v>85</v>
      </c>
      <c r="B222" s="0" t="s">
        <v>299</v>
      </c>
      <c r="C222" s="17" t="n">
        <f aca="false">IF(SQRT((Coordenadas!$C$39-Coordenadas!$C$194)^2+(Coordenadas!$D$39-Coordenadas!$D$194)^2)&lt;=LEEME!$B$20,EXP(-LEEME!$B$19*SQRT((Coordenadas!$C$39-Coordenadas!$C$194)^2+(Coordenadas!$D$39-Coordenadas!$D$194)^2)),0)</f>
        <v>0.708631380737506</v>
      </c>
    </row>
    <row r="223" customFormat="false" ht="15" hidden="false" customHeight="false" outlineLevel="0" collapsed="false">
      <c r="A223" s="0" t="s">
        <v>85</v>
      </c>
      <c r="B223" s="0" t="s">
        <v>302</v>
      </c>
      <c r="C223" s="17" t="n">
        <f aca="false">IF(SQRT((Coordenadas!$C$39-Coordenadas!$C$197)^2+(Coordenadas!$D$39-Coordenadas!$D$197)^2)&lt;=LEEME!$B$20,EXP(-LEEME!$B$19*SQRT((Coordenadas!$C$39-Coordenadas!$C$197)^2+(Coordenadas!$D$39-Coordenadas!$D$197)^2)),0)</f>
        <v>0.806729131342333</v>
      </c>
    </row>
    <row r="224" customFormat="false" ht="15" hidden="false" customHeight="false" outlineLevel="0" collapsed="false">
      <c r="A224" s="0" t="s">
        <v>85</v>
      </c>
      <c r="B224" s="0" t="s">
        <v>303</v>
      </c>
      <c r="C224" s="17" t="n">
        <f aca="false">IF(SQRT((Coordenadas!$C$39-Coordenadas!$C$198)^2+(Coordenadas!$D$39-Coordenadas!$D$198)^2)&lt;=LEEME!$B$20,EXP(-LEEME!$B$19*SQRT((Coordenadas!$C$39-Coordenadas!$C$198)^2+(Coordenadas!$D$39-Coordenadas!$D$198)^2)),0)</f>
        <v>0.376955550043933</v>
      </c>
    </row>
    <row r="225" customFormat="false" ht="15" hidden="false" customHeight="false" outlineLevel="0" collapsed="false">
      <c r="A225" s="0" t="s">
        <v>85</v>
      </c>
      <c r="B225" s="0" t="s">
        <v>304</v>
      </c>
      <c r="C225" s="17" t="n">
        <f aca="false">IF(SQRT((Coordenadas!$C$39-Coordenadas!$C$199)^2+(Coordenadas!$D$39-Coordenadas!$D$199)^2)&lt;=LEEME!$B$20,EXP(-LEEME!$B$19*SQRT((Coordenadas!$C$39-Coordenadas!$C$199)^2+(Coordenadas!$D$39-Coordenadas!$D$199)^2)),0)</f>
        <v>0.582532533590596</v>
      </c>
    </row>
    <row r="226" customFormat="false" ht="15" hidden="false" customHeight="false" outlineLevel="0" collapsed="false">
      <c r="A226" s="0" t="s">
        <v>85</v>
      </c>
      <c r="B226" s="0" t="s">
        <v>305</v>
      </c>
      <c r="C226" s="17" t="n">
        <f aca="false">IF(SQRT((Coordenadas!$C$39-Coordenadas!$C$200)^2+(Coordenadas!$D$39-Coordenadas!$D$200)^2)&lt;=LEEME!$B$20,EXP(-LEEME!$B$19*SQRT((Coordenadas!$C$39-Coordenadas!$C$200)^2+(Coordenadas!$D$39-Coordenadas!$D$200)^2)),0)</f>
        <v>0.371197059558477</v>
      </c>
    </row>
    <row r="227" customFormat="false" ht="15" hidden="false" customHeight="false" outlineLevel="0" collapsed="false">
      <c r="A227" s="0" t="s">
        <v>85</v>
      </c>
      <c r="B227" s="0" t="s">
        <v>306</v>
      </c>
      <c r="C227" s="17" t="n">
        <f aca="false">IF(SQRT((Coordenadas!$C$39-Coordenadas!$C$201)^2+(Coordenadas!$D$39-Coordenadas!$D$201)^2)&lt;=LEEME!$B$20,EXP(-LEEME!$B$19*SQRT((Coordenadas!$C$39-Coordenadas!$C$201)^2+(Coordenadas!$D$39-Coordenadas!$D$201)^2)),0)</f>
        <v>0.879712564443459</v>
      </c>
    </row>
    <row r="228" customFormat="false" ht="15" hidden="false" customHeight="false" outlineLevel="0" collapsed="false">
      <c r="A228" s="0" t="s">
        <v>85</v>
      </c>
      <c r="B228" s="0" t="s">
        <v>307</v>
      </c>
      <c r="C228" s="17" t="n">
        <f aca="false">IF(SQRT((Coordenadas!$C$39-Coordenadas!$C$202)^2+(Coordenadas!$D$39-Coordenadas!$D$202)^2)&lt;=LEEME!$B$20,EXP(-LEEME!$B$19*SQRT((Coordenadas!$C$39-Coordenadas!$C$202)^2+(Coordenadas!$D$39-Coordenadas!$D$202)^2)),0)</f>
        <v>0.822360782426838</v>
      </c>
    </row>
    <row r="229" customFormat="false" ht="15" hidden="false" customHeight="false" outlineLevel="0" collapsed="false">
      <c r="A229" s="0" t="s">
        <v>85</v>
      </c>
      <c r="B229" s="0" t="s">
        <v>308</v>
      </c>
      <c r="C229" s="17" t="n">
        <f aca="false">IF(SQRT((Coordenadas!$C$39-Coordenadas!$C$203)^2+(Coordenadas!$D$39-Coordenadas!$D$203)^2)&lt;=LEEME!$B$20,EXP(-LEEME!$B$19*SQRT((Coordenadas!$C$39-Coordenadas!$C$203)^2+(Coordenadas!$D$39-Coordenadas!$D$203)^2)),0)</f>
        <v>0.694887376698728</v>
      </c>
    </row>
    <row r="230" customFormat="false" ht="15" hidden="false" customHeight="false" outlineLevel="0" collapsed="false">
      <c r="A230" s="0" t="s">
        <v>86</v>
      </c>
      <c r="B230" s="0" t="s">
        <v>291</v>
      </c>
      <c r="C230" s="17" t="n">
        <f aca="false">IF(SQRT((Coordenadas!$C$40-Coordenadas!$C$186)^2+(Coordenadas!$D$40-Coordenadas!$D$186)^2)&lt;=LEEME!$B$20,EXP(-LEEME!$B$19*SQRT((Coordenadas!$C$40-Coordenadas!$C$186)^2+(Coordenadas!$D$40-Coordenadas!$D$186)^2)),0)</f>
        <v>0.371778541046174</v>
      </c>
    </row>
    <row r="231" customFormat="false" ht="15" hidden="false" customHeight="false" outlineLevel="0" collapsed="false">
      <c r="A231" s="0" t="s">
        <v>86</v>
      </c>
      <c r="B231" s="0" t="s">
        <v>296</v>
      </c>
      <c r="C231" s="17" t="n">
        <f aca="false">IF(SQRT((Coordenadas!$C$40-Coordenadas!$C$191)^2+(Coordenadas!$D$40-Coordenadas!$D$191)^2)&lt;=LEEME!$B$20,EXP(-LEEME!$B$19*SQRT((Coordenadas!$C$40-Coordenadas!$C$191)^2+(Coordenadas!$D$40-Coordenadas!$D$191)^2)),0)</f>
        <v>0.604644077974073</v>
      </c>
    </row>
    <row r="232" customFormat="false" ht="15" hidden="false" customHeight="false" outlineLevel="0" collapsed="false">
      <c r="A232" s="0" t="s">
        <v>86</v>
      </c>
      <c r="B232" s="0" t="s">
        <v>297</v>
      </c>
      <c r="C232" s="17" t="n">
        <f aca="false">IF(SQRT((Coordenadas!$C$40-Coordenadas!$C$192)^2+(Coordenadas!$D$40-Coordenadas!$D$192)^2)&lt;=LEEME!$B$20,EXP(-LEEME!$B$19*SQRT((Coordenadas!$C$40-Coordenadas!$C$192)^2+(Coordenadas!$D$40-Coordenadas!$D$192)^2)),0)</f>
        <v>0.485194870616331</v>
      </c>
    </row>
    <row r="233" customFormat="false" ht="15" hidden="false" customHeight="false" outlineLevel="0" collapsed="false">
      <c r="A233" s="0" t="s">
        <v>86</v>
      </c>
      <c r="B233" s="0" t="s">
        <v>299</v>
      </c>
      <c r="C233" s="17" t="n">
        <f aca="false">IF(SQRT((Coordenadas!$C$40-Coordenadas!$C$194)^2+(Coordenadas!$D$40-Coordenadas!$D$194)^2)&lt;=LEEME!$B$20,EXP(-LEEME!$B$19*SQRT((Coordenadas!$C$40-Coordenadas!$C$194)^2+(Coordenadas!$D$40-Coordenadas!$D$194)^2)),0)</f>
        <v>0.814200972971465</v>
      </c>
    </row>
    <row r="234" customFormat="false" ht="15" hidden="false" customHeight="false" outlineLevel="0" collapsed="false">
      <c r="A234" s="0" t="s">
        <v>86</v>
      </c>
      <c r="B234" s="0" t="s">
        <v>302</v>
      </c>
      <c r="C234" s="17" t="n">
        <f aca="false">IF(SQRT((Coordenadas!$C$40-Coordenadas!$C$197)^2+(Coordenadas!$D$40-Coordenadas!$D$197)^2)&lt;=LEEME!$B$20,EXP(-LEEME!$B$19*SQRT((Coordenadas!$C$40-Coordenadas!$C$197)^2+(Coordenadas!$D$40-Coordenadas!$D$197)^2)),0)</f>
        <v>0.641563687754909</v>
      </c>
    </row>
    <row r="235" customFormat="false" ht="15" hidden="false" customHeight="false" outlineLevel="0" collapsed="false">
      <c r="A235" s="0" t="s">
        <v>86</v>
      </c>
      <c r="B235" s="0" t="s">
        <v>303</v>
      </c>
      <c r="C235" s="17" t="n">
        <f aca="false">IF(SQRT((Coordenadas!$C$40-Coordenadas!$C$198)^2+(Coordenadas!$D$40-Coordenadas!$D$198)^2)&lt;=LEEME!$B$20,EXP(-LEEME!$B$19*SQRT((Coordenadas!$C$40-Coordenadas!$C$198)^2+(Coordenadas!$D$40-Coordenadas!$D$198)^2)),0)</f>
        <v>0.468522035601671</v>
      </c>
    </row>
    <row r="236" customFormat="false" ht="15" hidden="false" customHeight="false" outlineLevel="0" collapsed="false">
      <c r="A236" s="0" t="s">
        <v>86</v>
      </c>
      <c r="B236" s="0" t="s">
        <v>304</v>
      </c>
      <c r="C236" s="17" t="n">
        <f aca="false">IF(SQRT((Coordenadas!$C$40-Coordenadas!$C$199)^2+(Coordenadas!$D$40-Coordenadas!$D$199)^2)&lt;=LEEME!$B$20,EXP(-LEEME!$B$19*SQRT((Coordenadas!$C$40-Coordenadas!$C$199)^2+(Coordenadas!$D$40-Coordenadas!$D$199)^2)),0)</f>
        <v>0.45129742304421</v>
      </c>
    </row>
    <row r="237" customFormat="false" ht="15" hidden="false" customHeight="false" outlineLevel="0" collapsed="false">
      <c r="A237" s="0" t="s">
        <v>86</v>
      </c>
      <c r="B237" s="0" t="s">
        <v>305</v>
      </c>
      <c r="C237" s="17" t="n">
        <f aca="false">IF(SQRT((Coordenadas!$C$40-Coordenadas!$C$200)^2+(Coordenadas!$D$40-Coordenadas!$D$200)^2)&lt;=LEEME!$B$20,EXP(-LEEME!$B$19*SQRT((Coordenadas!$C$40-Coordenadas!$C$200)^2+(Coordenadas!$D$40-Coordenadas!$D$200)^2)),0)</f>
        <v>0.452142949255804</v>
      </c>
    </row>
    <row r="238" customFormat="false" ht="15" hidden="false" customHeight="false" outlineLevel="0" collapsed="false">
      <c r="A238" s="0" t="s">
        <v>86</v>
      </c>
      <c r="B238" s="0" t="s">
        <v>306</v>
      </c>
      <c r="C238" s="17" t="n">
        <f aca="false">IF(SQRT((Coordenadas!$C$40-Coordenadas!$C$201)^2+(Coordenadas!$D$40-Coordenadas!$D$201)^2)&lt;=LEEME!$B$20,EXP(-LEEME!$B$19*SQRT((Coordenadas!$C$40-Coordenadas!$C$201)^2+(Coordenadas!$D$40-Coordenadas!$D$201)^2)),0)</f>
        <v>0.653635231902603</v>
      </c>
    </row>
    <row r="239" customFormat="false" ht="15" hidden="false" customHeight="false" outlineLevel="0" collapsed="false">
      <c r="A239" s="0" t="s">
        <v>86</v>
      </c>
      <c r="B239" s="0" t="s">
        <v>307</v>
      </c>
      <c r="C239" s="17" t="n">
        <f aca="false">IF(SQRT((Coordenadas!$C$40-Coordenadas!$C$202)^2+(Coordenadas!$D$40-Coordenadas!$D$202)^2)&lt;=LEEME!$B$20,EXP(-LEEME!$B$19*SQRT((Coordenadas!$C$40-Coordenadas!$C$202)^2+(Coordenadas!$D$40-Coordenadas!$D$202)^2)),0)</f>
        <v>0.626587671214094</v>
      </c>
    </row>
    <row r="240" customFormat="false" ht="15" hidden="false" customHeight="false" outlineLevel="0" collapsed="false">
      <c r="A240" s="0" t="s">
        <v>86</v>
      </c>
      <c r="B240" s="0" t="s">
        <v>308</v>
      </c>
      <c r="C240" s="17" t="n">
        <f aca="false">IF(SQRT((Coordenadas!$C$40-Coordenadas!$C$203)^2+(Coordenadas!$D$40-Coordenadas!$D$203)^2)&lt;=LEEME!$B$20,EXP(-LEEME!$B$19*SQRT((Coordenadas!$C$40-Coordenadas!$C$203)^2+(Coordenadas!$D$40-Coordenadas!$D$203)^2)),0)</f>
        <v>0.510518682828038</v>
      </c>
    </row>
    <row r="241" customFormat="false" ht="15" hidden="false" customHeight="false" outlineLevel="0" collapsed="false">
      <c r="A241" s="0" t="s">
        <v>87</v>
      </c>
      <c r="B241" s="0" t="s">
        <v>296</v>
      </c>
      <c r="C241" s="17" t="n">
        <f aca="false">IF(SQRT((Coordenadas!$C$41-Coordenadas!$C$191)^2+(Coordenadas!$D$41-Coordenadas!$D$191)^2)&lt;=LEEME!$B$20,EXP(-LEEME!$B$19*SQRT((Coordenadas!$C$41-Coordenadas!$C$191)^2+(Coordenadas!$D$41-Coordenadas!$D$191)^2)),0)</f>
        <v>0.491332829581007</v>
      </c>
    </row>
    <row r="242" customFormat="false" ht="15" hidden="false" customHeight="false" outlineLevel="0" collapsed="false">
      <c r="A242" s="0" t="s">
        <v>87</v>
      </c>
      <c r="B242" s="0" t="s">
        <v>297</v>
      </c>
      <c r="C242" s="17" t="n">
        <f aca="false">IF(SQRT((Coordenadas!$C$41-Coordenadas!$C$192)^2+(Coordenadas!$D$41-Coordenadas!$D$192)^2)&lt;=LEEME!$B$20,EXP(-LEEME!$B$19*SQRT((Coordenadas!$C$41-Coordenadas!$C$192)^2+(Coordenadas!$D$41-Coordenadas!$D$192)^2)),0)</f>
        <v>0.656656113475881</v>
      </c>
    </row>
    <row r="243" customFormat="false" ht="15" hidden="false" customHeight="false" outlineLevel="0" collapsed="false">
      <c r="A243" s="0" t="s">
        <v>87</v>
      </c>
      <c r="B243" s="0" t="s">
        <v>299</v>
      </c>
      <c r="C243" s="17" t="n">
        <f aca="false">IF(SQRT((Coordenadas!$C$41-Coordenadas!$C$194)^2+(Coordenadas!$D$41-Coordenadas!$D$194)^2)&lt;=LEEME!$B$20,EXP(-LEEME!$B$19*SQRT((Coordenadas!$C$41-Coordenadas!$C$194)^2+(Coordenadas!$D$41-Coordenadas!$D$194)^2)),0)</f>
        <v>0.804863216444907</v>
      </c>
    </row>
    <row r="244" customFormat="false" ht="15" hidden="false" customHeight="false" outlineLevel="0" collapsed="false">
      <c r="A244" s="0" t="s">
        <v>87</v>
      </c>
      <c r="B244" s="0" t="s">
        <v>302</v>
      </c>
      <c r="C244" s="17" t="n">
        <f aca="false">IF(SQRT((Coordenadas!$C$41-Coordenadas!$C$197)^2+(Coordenadas!$D$41-Coordenadas!$D$197)^2)&lt;=LEEME!$B$20,EXP(-LEEME!$B$19*SQRT((Coordenadas!$C$41-Coordenadas!$C$197)^2+(Coordenadas!$D$41-Coordenadas!$D$197)^2)),0)</f>
        <v>0.858928958260865</v>
      </c>
    </row>
    <row r="245" customFormat="false" ht="15" hidden="false" customHeight="false" outlineLevel="0" collapsed="false">
      <c r="A245" s="0" t="s">
        <v>87</v>
      </c>
      <c r="B245" s="0" t="s">
        <v>304</v>
      </c>
      <c r="C245" s="17" t="n">
        <f aca="false">IF(SQRT((Coordenadas!$C$41-Coordenadas!$C$199)^2+(Coordenadas!$D$41-Coordenadas!$D$199)^2)&lt;=LEEME!$B$20,EXP(-LEEME!$B$19*SQRT((Coordenadas!$C$41-Coordenadas!$C$199)^2+(Coordenadas!$D$41-Coordenadas!$D$199)^2)),0)</f>
        <v>0.615903592953688</v>
      </c>
    </row>
    <row r="246" customFormat="false" ht="15" hidden="false" customHeight="false" outlineLevel="0" collapsed="false">
      <c r="A246" s="0" t="s">
        <v>87</v>
      </c>
      <c r="B246" s="0" t="s">
        <v>306</v>
      </c>
      <c r="C246" s="17" t="n">
        <f aca="false">IF(SQRT((Coordenadas!$C$41-Coordenadas!$C$201)^2+(Coordenadas!$D$41-Coordenadas!$D$201)^2)&lt;=LEEME!$B$20,EXP(-LEEME!$B$19*SQRT((Coordenadas!$C$41-Coordenadas!$C$201)^2+(Coordenadas!$D$41-Coordenadas!$D$201)^2)),0)</f>
        <v>0.723866299650305</v>
      </c>
    </row>
    <row r="247" customFormat="false" ht="15" hidden="false" customHeight="false" outlineLevel="0" collapsed="false">
      <c r="A247" s="0" t="s">
        <v>87</v>
      </c>
      <c r="B247" s="0" t="s">
        <v>307</v>
      </c>
      <c r="C247" s="17" t="n">
        <f aca="false">IF(SQRT((Coordenadas!$C$41-Coordenadas!$C$202)^2+(Coordenadas!$D$41-Coordenadas!$D$202)^2)&lt;=LEEME!$B$20,EXP(-LEEME!$B$19*SQRT((Coordenadas!$C$41-Coordenadas!$C$202)^2+(Coordenadas!$D$41-Coordenadas!$D$202)^2)),0)</f>
        <v>0.668942474490638</v>
      </c>
    </row>
    <row r="248" customFormat="false" ht="15" hidden="false" customHeight="false" outlineLevel="0" collapsed="false">
      <c r="A248" s="0" t="s">
        <v>87</v>
      </c>
      <c r="B248" s="0" t="s">
        <v>308</v>
      </c>
      <c r="C248" s="17" t="n">
        <f aca="false">IF(SQRT((Coordenadas!$C$41-Coordenadas!$C$203)^2+(Coordenadas!$D$41-Coordenadas!$D$203)^2)&lt;=LEEME!$B$20,EXP(-LEEME!$B$19*SQRT((Coordenadas!$C$41-Coordenadas!$C$203)^2+(Coordenadas!$D$41-Coordenadas!$D$203)^2)),0)</f>
        <v>0.628016942745019</v>
      </c>
    </row>
    <row r="249" customFormat="false" ht="15" hidden="false" customHeight="false" outlineLevel="0" collapsed="false">
      <c r="A249" s="0" t="s">
        <v>88</v>
      </c>
      <c r="B249" s="0" t="s">
        <v>291</v>
      </c>
      <c r="C249" s="17" t="n">
        <f aca="false">IF(SQRT((Coordenadas!$C$42-Coordenadas!$C$186)^2+(Coordenadas!$D$42-Coordenadas!$D$186)^2)&lt;=LEEME!$B$20,EXP(-LEEME!$B$19*SQRT((Coordenadas!$C$42-Coordenadas!$C$186)^2+(Coordenadas!$D$42-Coordenadas!$D$186)^2)),0)</f>
        <v>0.434271082217346</v>
      </c>
    </row>
    <row r="250" customFormat="false" ht="15" hidden="false" customHeight="false" outlineLevel="0" collapsed="false">
      <c r="A250" s="0" t="s">
        <v>88</v>
      </c>
      <c r="B250" s="0" t="s">
        <v>296</v>
      </c>
      <c r="C250" s="17" t="n">
        <f aca="false">IF(SQRT((Coordenadas!$C$42-Coordenadas!$C$191)^2+(Coordenadas!$D$42-Coordenadas!$D$191)^2)&lt;=LEEME!$B$20,EXP(-LEEME!$B$19*SQRT((Coordenadas!$C$42-Coordenadas!$C$191)^2+(Coordenadas!$D$42-Coordenadas!$D$191)^2)),0)</f>
        <v>0.675199728547562</v>
      </c>
    </row>
    <row r="251" customFormat="false" ht="15" hidden="false" customHeight="false" outlineLevel="0" collapsed="false">
      <c r="A251" s="0" t="s">
        <v>88</v>
      </c>
      <c r="B251" s="0" t="s">
        <v>297</v>
      </c>
      <c r="C251" s="17" t="n">
        <f aca="false">IF(SQRT((Coordenadas!$C$42-Coordenadas!$C$192)^2+(Coordenadas!$D$42-Coordenadas!$D$192)^2)&lt;=LEEME!$B$20,EXP(-LEEME!$B$19*SQRT((Coordenadas!$C$42-Coordenadas!$C$192)^2+(Coordenadas!$D$42-Coordenadas!$D$192)^2)),0)</f>
        <v>0.556143893771172</v>
      </c>
    </row>
    <row r="252" customFormat="false" ht="15" hidden="false" customHeight="false" outlineLevel="0" collapsed="false">
      <c r="A252" s="0" t="s">
        <v>88</v>
      </c>
      <c r="B252" s="0" t="s">
        <v>299</v>
      </c>
      <c r="C252" s="17" t="n">
        <f aca="false">IF(SQRT((Coordenadas!$C$42-Coordenadas!$C$194)^2+(Coordenadas!$D$42-Coordenadas!$D$194)^2)&lt;=LEEME!$B$20,EXP(-LEEME!$B$19*SQRT((Coordenadas!$C$42-Coordenadas!$C$194)^2+(Coordenadas!$D$42-Coordenadas!$D$194)^2)),0)</f>
        <v>0.887942186643984</v>
      </c>
    </row>
    <row r="253" customFormat="false" ht="15" hidden="false" customHeight="false" outlineLevel="0" collapsed="false">
      <c r="A253" s="0" t="s">
        <v>88</v>
      </c>
      <c r="B253" s="0" t="s">
        <v>302</v>
      </c>
      <c r="C253" s="17" t="n">
        <f aca="false">IF(SQRT((Coordenadas!$C$42-Coordenadas!$C$197)^2+(Coordenadas!$D$42-Coordenadas!$D$197)^2)&lt;=LEEME!$B$20,EXP(-LEEME!$B$19*SQRT((Coordenadas!$C$42-Coordenadas!$C$197)^2+(Coordenadas!$D$42-Coordenadas!$D$197)^2)),0)</f>
        <v>0.620060465601715</v>
      </c>
    </row>
    <row r="254" customFormat="false" ht="15" hidden="false" customHeight="false" outlineLevel="0" collapsed="false">
      <c r="A254" s="0" t="s">
        <v>88</v>
      </c>
      <c r="B254" s="0" t="s">
        <v>303</v>
      </c>
      <c r="C254" s="17" t="n">
        <f aca="false">IF(SQRT((Coordenadas!$C$42-Coordenadas!$C$198)^2+(Coordenadas!$D$42-Coordenadas!$D$198)^2)&lt;=LEEME!$B$20,EXP(-LEEME!$B$19*SQRT((Coordenadas!$C$42-Coordenadas!$C$198)^2+(Coordenadas!$D$42-Coordenadas!$D$198)^2)),0)</f>
        <v>0.38917893304885</v>
      </c>
    </row>
    <row r="255" customFormat="false" ht="15" hidden="false" customHeight="false" outlineLevel="0" collapsed="false">
      <c r="A255" s="0" t="s">
        <v>88</v>
      </c>
      <c r="B255" s="0" t="s">
        <v>304</v>
      </c>
      <c r="C255" s="17" t="n">
        <f aca="false">IF(SQRT((Coordenadas!$C$42-Coordenadas!$C$199)^2+(Coordenadas!$D$42-Coordenadas!$D$199)^2)&lt;=LEEME!$B$20,EXP(-LEEME!$B$19*SQRT((Coordenadas!$C$42-Coordenadas!$C$199)^2+(Coordenadas!$D$42-Coordenadas!$D$199)^2)),0)</f>
        <v>0.454204171886336</v>
      </c>
    </row>
    <row r="256" customFormat="false" ht="15" hidden="false" customHeight="false" outlineLevel="0" collapsed="false">
      <c r="A256" s="0" t="s">
        <v>88</v>
      </c>
      <c r="B256" s="0" t="s">
        <v>305</v>
      </c>
      <c r="C256" s="17" t="n">
        <f aca="false">IF(SQRT((Coordenadas!$C$42-Coordenadas!$C$200)^2+(Coordenadas!$D$42-Coordenadas!$D$200)^2)&lt;=LEEME!$B$20,EXP(-LEEME!$B$19*SQRT((Coordenadas!$C$42-Coordenadas!$C$200)^2+(Coordenadas!$D$42-Coordenadas!$D$200)^2)),0)</f>
        <v>0.370039559458165</v>
      </c>
    </row>
    <row r="257" customFormat="false" ht="15" hidden="false" customHeight="false" outlineLevel="0" collapsed="false">
      <c r="A257" s="0" t="s">
        <v>88</v>
      </c>
      <c r="B257" s="0" t="s">
        <v>306</v>
      </c>
      <c r="C257" s="17" t="n">
        <f aca="false">IF(SQRT((Coordenadas!$C$42-Coordenadas!$C$201)^2+(Coordenadas!$D$42-Coordenadas!$D$201)^2)&lt;=LEEME!$B$20,EXP(-LEEME!$B$19*SQRT((Coordenadas!$C$42-Coordenadas!$C$201)^2+(Coordenadas!$D$42-Coordenadas!$D$201)^2)),0)</f>
        <v>0.554315540847632</v>
      </c>
    </row>
    <row r="258" customFormat="false" ht="15" hidden="false" customHeight="false" outlineLevel="0" collapsed="false">
      <c r="A258" s="0" t="s">
        <v>88</v>
      </c>
      <c r="B258" s="0" t="s">
        <v>307</v>
      </c>
      <c r="C258" s="17" t="n">
        <f aca="false">IF(SQRT((Coordenadas!$C$42-Coordenadas!$C$202)^2+(Coordenadas!$D$42-Coordenadas!$D$202)^2)&lt;=LEEME!$B$20,EXP(-LEEME!$B$19*SQRT((Coordenadas!$C$42-Coordenadas!$C$202)^2+(Coordenadas!$D$42-Coordenadas!$D$202)^2)),0)</f>
        <v>0.519372683180313</v>
      </c>
    </row>
    <row r="259" customFormat="false" ht="15" hidden="false" customHeight="false" outlineLevel="0" collapsed="false">
      <c r="A259" s="0" t="s">
        <v>88</v>
      </c>
      <c r="B259" s="0" t="s">
        <v>308</v>
      </c>
      <c r="C259" s="17" t="n">
        <f aca="false">IF(SQRT((Coordenadas!$C$42-Coordenadas!$C$203)^2+(Coordenadas!$D$42-Coordenadas!$D$203)^2)&lt;=LEEME!$B$20,EXP(-LEEME!$B$19*SQRT((Coordenadas!$C$42-Coordenadas!$C$203)^2+(Coordenadas!$D$42-Coordenadas!$D$203)^2)),0)</f>
        <v>0.456636042434358</v>
      </c>
    </row>
    <row r="260" customFormat="false" ht="15" hidden="false" customHeight="false" outlineLevel="0" collapsed="false">
      <c r="A260" s="0" t="s">
        <v>89</v>
      </c>
      <c r="B260" s="0" t="s">
        <v>296</v>
      </c>
      <c r="C260" s="17" t="n">
        <f aca="false">IF(SQRT((Coordenadas!$C$43-Coordenadas!$C$191)^2+(Coordenadas!$D$43-Coordenadas!$D$191)^2)&lt;=LEEME!$B$20,EXP(-LEEME!$B$19*SQRT((Coordenadas!$C$43-Coordenadas!$C$191)^2+(Coordenadas!$D$43-Coordenadas!$D$191)^2)),0)</f>
        <v>0.543785563016397</v>
      </c>
    </row>
    <row r="261" customFormat="false" ht="15" hidden="false" customHeight="false" outlineLevel="0" collapsed="false">
      <c r="A261" s="0" t="s">
        <v>89</v>
      </c>
      <c r="B261" s="0" t="s">
        <v>297</v>
      </c>
      <c r="C261" s="17" t="n">
        <f aca="false">IF(SQRT((Coordenadas!$C$43-Coordenadas!$C$192)^2+(Coordenadas!$D$43-Coordenadas!$D$192)^2)&lt;=LEEME!$B$20,EXP(-LEEME!$B$19*SQRT((Coordenadas!$C$43-Coordenadas!$C$192)^2+(Coordenadas!$D$43-Coordenadas!$D$192)^2)),0)</f>
        <v>0.703459026320087</v>
      </c>
    </row>
    <row r="262" customFormat="false" ht="15" hidden="false" customHeight="false" outlineLevel="0" collapsed="false">
      <c r="A262" s="0" t="s">
        <v>89</v>
      </c>
      <c r="B262" s="0" t="s">
        <v>299</v>
      </c>
      <c r="C262" s="17" t="n">
        <f aca="false">IF(SQRT((Coordenadas!$C$43-Coordenadas!$C$194)^2+(Coordenadas!$D$43-Coordenadas!$D$194)^2)&lt;=LEEME!$B$20,EXP(-LEEME!$B$19*SQRT((Coordenadas!$C$43-Coordenadas!$C$194)^2+(Coordenadas!$D$43-Coordenadas!$D$194)^2)),0)</f>
        <v>0.806776092745303</v>
      </c>
    </row>
    <row r="263" customFormat="false" ht="15" hidden="false" customHeight="false" outlineLevel="0" collapsed="false">
      <c r="A263" s="0" t="s">
        <v>89</v>
      </c>
      <c r="B263" s="0" t="s">
        <v>302</v>
      </c>
      <c r="C263" s="17" t="n">
        <f aca="false">IF(SQRT((Coordenadas!$C$43-Coordenadas!$C$197)^2+(Coordenadas!$D$43-Coordenadas!$D$197)^2)&lt;=LEEME!$B$20,EXP(-LEEME!$B$19*SQRT((Coordenadas!$C$43-Coordenadas!$C$197)^2+(Coordenadas!$D$43-Coordenadas!$D$197)^2)),0)</f>
        <v>0.700951374619529</v>
      </c>
    </row>
    <row r="264" customFormat="false" ht="15" hidden="false" customHeight="false" outlineLevel="0" collapsed="false">
      <c r="A264" s="0" t="s">
        <v>89</v>
      </c>
      <c r="B264" s="0" t="s">
        <v>304</v>
      </c>
      <c r="C264" s="17" t="n">
        <f aca="false">IF(SQRT((Coordenadas!$C$43-Coordenadas!$C$199)^2+(Coordenadas!$D$43-Coordenadas!$D$199)^2)&lt;=LEEME!$B$20,EXP(-LEEME!$B$19*SQRT((Coordenadas!$C$43-Coordenadas!$C$199)^2+(Coordenadas!$D$43-Coordenadas!$D$199)^2)),0)</f>
        <v>0.550130715678841</v>
      </c>
    </row>
    <row r="265" customFormat="false" ht="15" hidden="false" customHeight="false" outlineLevel="0" collapsed="false">
      <c r="A265" s="0" t="s">
        <v>89</v>
      </c>
      <c r="B265" s="0" t="s">
        <v>306</v>
      </c>
      <c r="C265" s="17" t="n">
        <f aca="false">IF(SQRT((Coordenadas!$C$43-Coordenadas!$C$201)^2+(Coordenadas!$D$43-Coordenadas!$D$201)^2)&lt;=LEEME!$B$20,EXP(-LEEME!$B$19*SQRT((Coordenadas!$C$43-Coordenadas!$C$201)^2+(Coordenadas!$D$43-Coordenadas!$D$201)^2)),0)</f>
        <v>0.571898733370394</v>
      </c>
    </row>
    <row r="266" customFormat="false" ht="15" hidden="false" customHeight="false" outlineLevel="0" collapsed="false">
      <c r="A266" s="0" t="s">
        <v>89</v>
      </c>
      <c r="B266" s="0" t="s">
        <v>307</v>
      </c>
      <c r="C266" s="17" t="n">
        <f aca="false">IF(SQRT((Coordenadas!$C$43-Coordenadas!$C$202)^2+(Coordenadas!$D$43-Coordenadas!$D$202)^2)&lt;=LEEME!$B$20,EXP(-LEEME!$B$19*SQRT((Coordenadas!$C$43-Coordenadas!$C$202)^2+(Coordenadas!$D$43-Coordenadas!$D$202)^2)),0)</f>
        <v>0.528811926283486</v>
      </c>
    </row>
    <row r="267" customFormat="false" ht="15" hidden="false" customHeight="false" outlineLevel="0" collapsed="false">
      <c r="A267" s="0" t="s">
        <v>89</v>
      </c>
      <c r="B267" s="0" t="s">
        <v>308</v>
      </c>
      <c r="C267" s="17" t="n">
        <f aca="false">IF(SQRT((Coordenadas!$C$43-Coordenadas!$C$203)^2+(Coordenadas!$D$43-Coordenadas!$D$203)^2)&lt;=LEEME!$B$20,EXP(-LEEME!$B$19*SQRT((Coordenadas!$C$43-Coordenadas!$C$203)^2+(Coordenadas!$D$43-Coordenadas!$D$203)^2)),0)</f>
        <v>0.506980514066846</v>
      </c>
    </row>
    <row r="268" customFormat="false" ht="15" hidden="false" customHeight="false" outlineLevel="0" collapsed="false">
      <c r="A268" s="0" t="s">
        <v>90</v>
      </c>
      <c r="B268" s="0" t="s">
        <v>296</v>
      </c>
      <c r="C268" s="17" t="n">
        <f aca="false">IF(SQRT((Coordenadas!$C$44-Coordenadas!$C$191)^2+(Coordenadas!$D$44-Coordenadas!$D$191)^2)&lt;=LEEME!$B$20,EXP(-LEEME!$B$19*SQRT((Coordenadas!$C$44-Coordenadas!$C$191)^2+(Coordenadas!$D$44-Coordenadas!$D$191)^2)),0)</f>
        <v>0.437334015167301</v>
      </c>
    </row>
    <row r="269" customFormat="false" ht="15" hidden="false" customHeight="false" outlineLevel="0" collapsed="false">
      <c r="A269" s="0" t="s">
        <v>90</v>
      </c>
      <c r="B269" s="0" t="s">
        <v>297</v>
      </c>
      <c r="C269" s="17" t="n">
        <f aca="false">IF(SQRT((Coordenadas!$C$44-Coordenadas!$C$192)^2+(Coordenadas!$D$44-Coordenadas!$D$192)^2)&lt;=LEEME!$B$20,EXP(-LEEME!$B$19*SQRT((Coordenadas!$C$44-Coordenadas!$C$192)^2+(Coordenadas!$D$44-Coordenadas!$D$192)^2)),0)</f>
        <v>0.867435061925297</v>
      </c>
    </row>
    <row r="270" customFormat="false" ht="15" hidden="false" customHeight="false" outlineLevel="0" collapsed="false">
      <c r="A270" s="0" t="s">
        <v>90</v>
      </c>
      <c r="B270" s="0" t="s">
        <v>299</v>
      </c>
      <c r="C270" s="17" t="n">
        <f aca="false">IF(SQRT((Coordenadas!$C$44-Coordenadas!$C$194)^2+(Coordenadas!$D$44-Coordenadas!$D$194)^2)&lt;=LEEME!$B$20,EXP(-LEEME!$B$19*SQRT((Coordenadas!$C$44-Coordenadas!$C$194)^2+(Coordenadas!$D$44-Coordenadas!$D$194)^2)),0)</f>
        <v>0.668984073981638</v>
      </c>
    </row>
    <row r="271" customFormat="false" ht="15" hidden="false" customHeight="false" outlineLevel="0" collapsed="false">
      <c r="A271" s="0" t="s">
        <v>90</v>
      </c>
      <c r="B271" s="0" t="s">
        <v>302</v>
      </c>
      <c r="C271" s="17" t="n">
        <f aca="false">IF(SQRT((Coordenadas!$C$44-Coordenadas!$C$197)^2+(Coordenadas!$D$44-Coordenadas!$D$197)^2)&lt;=LEEME!$B$20,EXP(-LEEME!$B$19*SQRT((Coordenadas!$C$44-Coordenadas!$C$197)^2+(Coordenadas!$D$44-Coordenadas!$D$197)^2)),0)</f>
        <v>0.732561980691631</v>
      </c>
    </row>
    <row r="272" customFormat="false" ht="15" hidden="false" customHeight="false" outlineLevel="0" collapsed="false">
      <c r="A272" s="0" t="s">
        <v>90</v>
      </c>
      <c r="B272" s="0" t="s">
        <v>304</v>
      </c>
      <c r="C272" s="17" t="n">
        <f aca="false">IF(SQRT((Coordenadas!$C$44-Coordenadas!$C$199)^2+(Coordenadas!$D$44-Coordenadas!$D$199)^2)&lt;=LEEME!$B$20,EXP(-LEEME!$B$19*SQRT((Coordenadas!$C$44-Coordenadas!$C$199)^2+(Coordenadas!$D$44-Coordenadas!$D$199)^2)),0)</f>
        <v>0.658597838270653</v>
      </c>
    </row>
    <row r="273" customFormat="false" ht="15" hidden="false" customHeight="false" outlineLevel="0" collapsed="false">
      <c r="A273" s="0" t="s">
        <v>90</v>
      </c>
      <c r="B273" s="0" t="s">
        <v>306</v>
      </c>
      <c r="C273" s="17" t="n">
        <f aca="false">IF(SQRT((Coordenadas!$C$44-Coordenadas!$C$201)^2+(Coordenadas!$D$44-Coordenadas!$D$201)^2)&lt;=LEEME!$B$20,EXP(-LEEME!$B$19*SQRT((Coordenadas!$C$44-Coordenadas!$C$201)^2+(Coordenadas!$D$44-Coordenadas!$D$201)^2)),0)</f>
        <v>0.5676446582214</v>
      </c>
    </row>
    <row r="274" customFormat="false" ht="15" hidden="false" customHeight="false" outlineLevel="0" collapsed="false">
      <c r="A274" s="0" t="s">
        <v>90</v>
      </c>
      <c r="B274" s="0" t="s">
        <v>307</v>
      </c>
      <c r="C274" s="17" t="n">
        <f aca="false">IF(SQRT((Coordenadas!$C$44-Coordenadas!$C$202)^2+(Coordenadas!$D$44-Coordenadas!$D$202)^2)&lt;=LEEME!$B$20,EXP(-LEEME!$B$19*SQRT((Coordenadas!$C$44-Coordenadas!$C$202)^2+(Coordenadas!$D$44-Coordenadas!$D$202)^2)),0)</f>
        <v>0.523891231130149</v>
      </c>
    </row>
    <row r="275" customFormat="false" ht="15" hidden="false" customHeight="false" outlineLevel="0" collapsed="false">
      <c r="A275" s="0" t="s">
        <v>90</v>
      </c>
      <c r="B275" s="0" t="s">
        <v>308</v>
      </c>
      <c r="C275" s="17" t="n">
        <f aca="false">IF(SQRT((Coordenadas!$C$44-Coordenadas!$C$203)^2+(Coordenadas!$D$44-Coordenadas!$D$203)^2)&lt;=LEEME!$B$20,EXP(-LEEME!$B$19*SQRT((Coordenadas!$C$44-Coordenadas!$C$203)^2+(Coordenadas!$D$44-Coordenadas!$D$203)^2)),0)</f>
        <v>0.551145839995359</v>
      </c>
    </row>
    <row r="276" customFormat="false" ht="15" hidden="false" customHeight="false" outlineLevel="0" collapsed="false">
      <c r="A276" s="0" t="s">
        <v>91</v>
      </c>
      <c r="B276" s="0" t="s">
        <v>297</v>
      </c>
      <c r="C276" s="17" t="n">
        <f aca="false">IF(SQRT((Coordenadas!$C$45-Coordenadas!$C$192)^2+(Coordenadas!$D$45-Coordenadas!$D$192)^2)&lt;=LEEME!$B$20,EXP(-LEEME!$B$19*SQRT((Coordenadas!$C$45-Coordenadas!$C$192)^2+(Coordenadas!$D$45-Coordenadas!$D$192)^2)),0)</f>
        <v>0.679129703521628</v>
      </c>
    </row>
    <row r="277" customFormat="false" ht="15" hidden="false" customHeight="false" outlineLevel="0" collapsed="false">
      <c r="A277" s="0" t="s">
        <v>91</v>
      </c>
      <c r="B277" s="0" t="s">
        <v>299</v>
      </c>
      <c r="C277" s="17" t="n">
        <f aca="false">IF(SQRT((Coordenadas!$C$45-Coordenadas!$C$194)^2+(Coordenadas!$D$45-Coordenadas!$D$194)^2)&lt;=LEEME!$B$20,EXP(-LEEME!$B$19*SQRT((Coordenadas!$C$45-Coordenadas!$C$194)^2+(Coordenadas!$D$45-Coordenadas!$D$194)^2)),0)</f>
        <v>0.441279413489687</v>
      </c>
    </row>
    <row r="278" customFormat="false" ht="15" hidden="false" customHeight="false" outlineLevel="0" collapsed="false">
      <c r="A278" s="0" t="s">
        <v>91</v>
      </c>
      <c r="B278" s="0" t="s">
        <v>302</v>
      </c>
      <c r="C278" s="17" t="n">
        <f aca="false">IF(SQRT((Coordenadas!$C$45-Coordenadas!$C$197)^2+(Coordenadas!$D$45-Coordenadas!$D$197)^2)&lt;=LEEME!$B$20,EXP(-LEEME!$B$19*SQRT((Coordenadas!$C$45-Coordenadas!$C$197)^2+(Coordenadas!$D$45-Coordenadas!$D$197)^2)),0)</f>
        <v>0.454881549936702</v>
      </c>
    </row>
    <row r="279" customFormat="false" ht="15" hidden="false" customHeight="false" outlineLevel="0" collapsed="false">
      <c r="A279" s="0" t="s">
        <v>91</v>
      </c>
      <c r="B279" s="0" t="s">
        <v>304</v>
      </c>
      <c r="C279" s="17" t="n">
        <f aca="false">IF(SQRT((Coordenadas!$C$45-Coordenadas!$C$199)^2+(Coordenadas!$D$45-Coordenadas!$D$199)^2)&lt;=LEEME!$B$20,EXP(-LEEME!$B$19*SQRT((Coordenadas!$C$45-Coordenadas!$C$199)^2+(Coordenadas!$D$45-Coordenadas!$D$199)^2)),0)</f>
        <v>0.479538081013173</v>
      </c>
    </row>
    <row r="280" customFormat="false" ht="15" hidden="false" customHeight="false" outlineLevel="0" collapsed="false">
      <c r="A280" s="0" t="s">
        <v>92</v>
      </c>
      <c r="B280" s="0" t="s">
        <v>278</v>
      </c>
      <c r="C280" s="17" t="n">
        <f aca="false">IF(SQRT((Coordenadas!$C$46-Coordenadas!$C$173)^2+(Coordenadas!$D$46-Coordenadas!$D$173)^2)&lt;=LEEME!$B$20,EXP(-LEEME!$B$19*SQRT((Coordenadas!$C$46-Coordenadas!$C$173)^2+(Coordenadas!$D$46-Coordenadas!$D$173)^2)),0)</f>
        <v>0.382828084574384</v>
      </c>
    </row>
    <row r="281" customFormat="false" ht="15" hidden="false" customHeight="false" outlineLevel="0" collapsed="false">
      <c r="A281" s="0" t="s">
        <v>92</v>
      </c>
      <c r="B281" s="0" t="s">
        <v>280</v>
      </c>
      <c r="C281" s="17" t="n">
        <f aca="false">IF(SQRT((Coordenadas!$C$46-Coordenadas!$C$175)^2+(Coordenadas!$D$46-Coordenadas!$D$175)^2)&lt;=LEEME!$B$20,EXP(-LEEME!$B$19*SQRT((Coordenadas!$C$46-Coordenadas!$C$175)^2+(Coordenadas!$D$46-Coordenadas!$D$175)^2)),0)</f>
        <v>0.408402262765221</v>
      </c>
    </row>
    <row r="282" customFormat="false" ht="15" hidden="false" customHeight="false" outlineLevel="0" collapsed="false">
      <c r="A282" s="0" t="s">
        <v>92</v>
      </c>
      <c r="B282" s="0" t="s">
        <v>285</v>
      </c>
      <c r="C282" s="17" t="n">
        <f aca="false">IF(SQRT((Coordenadas!$C$46-Coordenadas!$C$180)^2+(Coordenadas!$D$46-Coordenadas!$D$180)^2)&lt;=LEEME!$B$20,EXP(-LEEME!$B$19*SQRT((Coordenadas!$C$46-Coordenadas!$C$180)^2+(Coordenadas!$D$46-Coordenadas!$D$180)^2)),0)</f>
        <v>0.409385289277192</v>
      </c>
    </row>
    <row r="283" customFormat="false" ht="15" hidden="false" customHeight="false" outlineLevel="0" collapsed="false">
      <c r="A283" s="0" t="s">
        <v>92</v>
      </c>
      <c r="B283" s="0" t="s">
        <v>290</v>
      </c>
      <c r="C283" s="17" t="n">
        <f aca="false">IF(SQRT((Coordenadas!$C$46-Coordenadas!$C$185)^2+(Coordenadas!$D$46-Coordenadas!$D$185)^2)&lt;=LEEME!$B$20,EXP(-LEEME!$B$19*SQRT((Coordenadas!$C$46-Coordenadas!$C$185)^2+(Coordenadas!$D$46-Coordenadas!$D$185)^2)),0)</f>
        <v>0.590599852866527</v>
      </c>
    </row>
    <row r="284" customFormat="false" ht="15" hidden="false" customHeight="false" outlineLevel="0" collapsed="false">
      <c r="A284" s="0" t="s">
        <v>92</v>
      </c>
      <c r="B284" s="0" t="s">
        <v>291</v>
      </c>
      <c r="C284" s="17" t="n">
        <f aca="false">IF(SQRT((Coordenadas!$C$46-Coordenadas!$C$186)^2+(Coordenadas!$D$46-Coordenadas!$D$186)^2)&lt;=LEEME!$B$20,EXP(-LEEME!$B$19*SQRT((Coordenadas!$C$46-Coordenadas!$C$186)^2+(Coordenadas!$D$46-Coordenadas!$D$186)^2)),0)</f>
        <v>0.946485147953484</v>
      </c>
    </row>
    <row r="285" customFormat="false" ht="15" hidden="false" customHeight="false" outlineLevel="0" collapsed="false">
      <c r="A285" s="0" t="s">
        <v>92</v>
      </c>
      <c r="B285" s="0" t="s">
        <v>296</v>
      </c>
      <c r="C285" s="17" t="n">
        <f aca="false">IF(SQRT((Coordenadas!$C$46-Coordenadas!$C$191)^2+(Coordenadas!$D$46-Coordenadas!$D$191)^2)&lt;=LEEME!$B$20,EXP(-LEEME!$B$19*SQRT((Coordenadas!$C$46-Coordenadas!$C$191)^2+(Coordenadas!$D$46-Coordenadas!$D$191)^2)),0)</f>
        <v>0.6462258457236</v>
      </c>
    </row>
    <row r="286" customFormat="false" ht="15" hidden="false" customHeight="false" outlineLevel="0" collapsed="false">
      <c r="A286" s="0" t="s">
        <v>92</v>
      </c>
      <c r="B286" s="0" t="s">
        <v>299</v>
      </c>
      <c r="C286" s="17" t="n">
        <f aca="false">IF(SQRT((Coordenadas!$C$46-Coordenadas!$C$194)^2+(Coordenadas!$D$46-Coordenadas!$D$194)^2)&lt;=LEEME!$B$20,EXP(-LEEME!$B$19*SQRT((Coordenadas!$C$46-Coordenadas!$C$194)^2+(Coordenadas!$D$46-Coordenadas!$D$194)^2)),0)</f>
        <v>0.404491603325525</v>
      </c>
    </row>
    <row r="287" customFormat="false" ht="15" hidden="false" customHeight="false" outlineLevel="0" collapsed="false">
      <c r="A287" s="0" t="s">
        <v>93</v>
      </c>
      <c r="B287" s="0" t="s">
        <v>278</v>
      </c>
      <c r="C287" s="17" t="n">
        <f aca="false">IF(SQRT((Coordenadas!$C$47-Coordenadas!$C$173)^2+(Coordenadas!$D$47-Coordenadas!$D$173)^2)&lt;=LEEME!$B$20,EXP(-LEEME!$B$19*SQRT((Coordenadas!$C$47-Coordenadas!$C$173)^2+(Coordenadas!$D$47-Coordenadas!$D$173)^2)),0)</f>
        <v>0.372079377607388</v>
      </c>
    </row>
    <row r="288" customFormat="false" ht="15" hidden="false" customHeight="false" outlineLevel="0" collapsed="false">
      <c r="A288" s="0" t="s">
        <v>93</v>
      </c>
      <c r="B288" s="0" t="s">
        <v>280</v>
      </c>
      <c r="C288" s="17" t="n">
        <f aca="false">IF(SQRT((Coordenadas!$C$47-Coordenadas!$C$175)^2+(Coordenadas!$D$47-Coordenadas!$D$175)^2)&lt;=LEEME!$B$20,EXP(-LEEME!$B$19*SQRT((Coordenadas!$C$47-Coordenadas!$C$175)^2+(Coordenadas!$D$47-Coordenadas!$D$175)^2)),0)</f>
        <v>0.410580788004299</v>
      </c>
    </row>
    <row r="289" customFormat="false" ht="15" hidden="false" customHeight="false" outlineLevel="0" collapsed="false">
      <c r="A289" s="0" t="s">
        <v>93</v>
      </c>
      <c r="B289" s="0" t="s">
        <v>285</v>
      </c>
      <c r="C289" s="17" t="n">
        <f aca="false">IF(SQRT((Coordenadas!$C$47-Coordenadas!$C$180)^2+(Coordenadas!$D$47-Coordenadas!$D$180)^2)&lt;=LEEME!$B$20,EXP(-LEEME!$B$19*SQRT((Coordenadas!$C$47-Coordenadas!$C$180)^2+(Coordenadas!$D$47-Coordenadas!$D$180)^2)),0)</f>
        <v>0.519402414344747</v>
      </c>
    </row>
    <row r="290" customFormat="false" ht="15" hidden="false" customHeight="false" outlineLevel="0" collapsed="false">
      <c r="A290" s="0" t="s">
        <v>93</v>
      </c>
      <c r="B290" s="0" t="s">
        <v>290</v>
      </c>
      <c r="C290" s="17" t="n">
        <f aca="false">IF(SQRT((Coordenadas!$C$47-Coordenadas!$C$185)^2+(Coordenadas!$D$47-Coordenadas!$D$185)^2)&lt;=LEEME!$B$20,EXP(-LEEME!$B$19*SQRT((Coordenadas!$C$47-Coordenadas!$C$185)^2+(Coordenadas!$D$47-Coordenadas!$D$185)^2)),0)</f>
        <v>0.762077087751684</v>
      </c>
    </row>
    <row r="291" customFormat="false" ht="15" hidden="false" customHeight="false" outlineLevel="0" collapsed="false">
      <c r="A291" s="0" t="s">
        <v>93</v>
      </c>
      <c r="B291" s="0" t="s">
        <v>291</v>
      </c>
      <c r="C291" s="17" t="n">
        <f aca="false">IF(SQRT((Coordenadas!$C$47-Coordenadas!$C$186)^2+(Coordenadas!$D$47-Coordenadas!$D$186)^2)&lt;=LEEME!$B$20,EXP(-LEEME!$B$19*SQRT((Coordenadas!$C$47-Coordenadas!$C$186)^2+(Coordenadas!$D$47-Coordenadas!$D$186)^2)),0)</f>
        <v>0.778761847898767</v>
      </c>
    </row>
    <row r="292" customFormat="false" ht="15" hidden="false" customHeight="false" outlineLevel="0" collapsed="false">
      <c r="A292" s="0" t="s">
        <v>93</v>
      </c>
      <c r="B292" s="0" t="s">
        <v>293</v>
      </c>
      <c r="C292" s="17" t="n">
        <f aca="false">IF(SQRT((Coordenadas!$C$47-Coordenadas!$C$188)^2+(Coordenadas!$D$47-Coordenadas!$D$188)^2)&lt;=LEEME!$B$20,EXP(-LEEME!$B$19*SQRT((Coordenadas!$C$47-Coordenadas!$C$188)^2+(Coordenadas!$D$47-Coordenadas!$D$188)^2)),0)</f>
        <v>0.426925272937354</v>
      </c>
    </row>
    <row r="293" customFormat="false" ht="15" hidden="false" customHeight="false" outlineLevel="0" collapsed="false">
      <c r="A293" s="0" t="s">
        <v>93</v>
      </c>
      <c r="B293" s="0" t="s">
        <v>296</v>
      </c>
      <c r="C293" s="17" t="n">
        <f aca="false">IF(SQRT((Coordenadas!$C$47-Coordenadas!$C$191)^2+(Coordenadas!$D$47-Coordenadas!$D$191)^2)&lt;=LEEME!$B$20,EXP(-LEEME!$B$19*SQRT((Coordenadas!$C$47-Coordenadas!$C$191)^2+(Coordenadas!$D$47-Coordenadas!$D$191)^2)),0)</f>
        <v>0.538498310312804</v>
      </c>
    </row>
    <row r="294" customFormat="false" ht="15" hidden="false" customHeight="false" outlineLevel="0" collapsed="false">
      <c r="A294" s="0" t="s">
        <v>94</v>
      </c>
      <c r="B294" s="0" t="s">
        <v>285</v>
      </c>
      <c r="C294" s="17" t="n">
        <f aca="false">IF(SQRT((Coordenadas!$C$48-Coordenadas!$C$180)^2+(Coordenadas!$D$48-Coordenadas!$D$180)^2)&lt;=LEEME!$B$20,EXP(-LEEME!$B$19*SQRT((Coordenadas!$C$48-Coordenadas!$C$180)^2+(Coordenadas!$D$48-Coordenadas!$D$180)^2)),0)</f>
        <v>0.410252439093581</v>
      </c>
    </row>
    <row r="295" customFormat="false" ht="15" hidden="false" customHeight="false" outlineLevel="0" collapsed="false">
      <c r="A295" s="0" t="s">
        <v>94</v>
      </c>
      <c r="B295" s="0" t="s">
        <v>290</v>
      </c>
      <c r="C295" s="17" t="n">
        <f aca="false">IF(SQRT((Coordenadas!$C$48-Coordenadas!$C$185)^2+(Coordenadas!$D$48-Coordenadas!$D$185)^2)&lt;=LEEME!$B$20,EXP(-LEEME!$B$19*SQRT((Coordenadas!$C$48-Coordenadas!$C$185)^2+(Coordenadas!$D$48-Coordenadas!$D$185)^2)),0)</f>
        <v>0.621835966293324</v>
      </c>
    </row>
    <row r="296" customFormat="false" ht="15" hidden="false" customHeight="false" outlineLevel="0" collapsed="false">
      <c r="A296" s="0" t="s">
        <v>94</v>
      </c>
      <c r="B296" s="0" t="s">
        <v>291</v>
      </c>
      <c r="C296" s="17" t="n">
        <f aca="false">IF(SQRT((Coordenadas!$C$48-Coordenadas!$C$186)^2+(Coordenadas!$D$48-Coordenadas!$D$186)^2)&lt;=LEEME!$B$20,EXP(-LEEME!$B$19*SQRT((Coordenadas!$C$48-Coordenadas!$C$186)^2+(Coordenadas!$D$48-Coordenadas!$D$186)^2)),0)</f>
        <v>0.741995228649059</v>
      </c>
    </row>
    <row r="297" customFormat="false" ht="15" hidden="false" customHeight="false" outlineLevel="0" collapsed="false">
      <c r="A297" s="0" t="s">
        <v>94</v>
      </c>
      <c r="B297" s="0" t="s">
        <v>293</v>
      </c>
      <c r="C297" s="17" t="n">
        <f aca="false">IF(SQRT((Coordenadas!$C$48-Coordenadas!$C$188)^2+(Coordenadas!$D$48-Coordenadas!$D$188)^2)&lt;=LEEME!$B$20,EXP(-LEEME!$B$19*SQRT((Coordenadas!$C$48-Coordenadas!$C$188)^2+(Coordenadas!$D$48-Coordenadas!$D$188)^2)),0)</f>
        <v>0.393027250374165</v>
      </c>
    </row>
    <row r="298" customFormat="false" ht="15" hidden="false" customHeight="false" outlineLevel="0" collapsed="false">
      <c r="A298" s="0" t="s">
        <v>94</v>
      </c>
      <c r="B298" s="0" t="s">
        <v>296</v>
      </c>
      <c r="C298" s="17" t="n">
        <f aca="false">IF(SQRT((Coordenadas!$C$48-Coordenadas!$C$191)^2+(Coordenadas!$D$48-Coordenadas!$D$191)^2)&lt;=LEEME!$B$20,EXP(-LEEME!$B$19*SQRT((Coordenadas!$C$48-Coordenadas!$C$191)^2+(Coordenadas!$D$48-Coordenadas!$D$191)^2)),0)</f>
        <v>0.679855075608368</v>
      </c>
    </row>
    <row r="299" customFormat="false" ht="15" hidden="false" customHeight="false" outlineLevel="0" collapsed="false">
      <c r="A299" s="0" t="s">
        <v>94</v>
      </c>
      <c r="B299" s="0" t="s">
        <v>298</v>
      </c>
      <c r="C299" s="17" t="n">
        <f aca="false">IF(SQRT((Coordenadas!$C$48-Coordenadas!$C$193)^2+(Coordenadas!$D$48-Coordenadas!$D$193)^2)&lt;=LEEME!$B$20,EXP(-LEEME!$B$19*SQRT((Coordenadas!$C$48-Coordenadas!$C$193)^2+(Coordenadas!$D$48-Coordenadas!$D$193)^2)),0)</f>
        <v>0.38765410847171</v>
      </c>
    </row>
    <row r="300" customFormat="false" ht="15" hidden="false" customHeight="false" outlineLevel="0" collapsed="false">
      <c r="A300" s="0" t="s">
        <v>94</v>
      </c>
      <c r="B300" s="0" t="s">
        <v>299</v>
      </c>
      <c r="C300" s="17" t="n">
        <f aca="false">IF(SQRT((Coordenadas!$C$48-Coordenadas!$C$194)^2+(Coordenadas!$D$48-Coordenadas!$D$194)^2)&lt;=LEEME!$B$20,EXP(-LEEME!$B$19*SQRT((Coordenadas!$C$48-Coordenadas!$C$194)^2+(Coordenadas!$D$48-Coordenadas!$D$194)^2)),0)</f>
        <v>0.415982645364185</v>
      </c>
    </row>
    <row r="301" customFormat="false" ht="15" hidden="false" customHeight="false" outlineLevel="0" collapsed="false">
      <c r="A301" s="0" t="s">
        <v>94</v>
      </c>
      <c r="B301" s="0" t="s">
        <v>303</v>
      </c>
      <c r="C301" s="17" t="n">
        <f aca="false">IF(SQRT((Coordenadas!$C$48-Coordenadas!$C$198)^2+(Coordenadas!$D$48-Coordenadas!$D$198)^2)&lt;=LEEME!$B$20,EXP(-LEEME!$B$19*SQRT((Coordenadas!$C$48-Coordenadas!$C$198)^2+(Coordenadas!$D$48-Coordenadas!$D$198)^2)),0)</f>
        <v>0.433556476478989</v>
      </c>
    </row>
    <row r="302" customFormat="false" ht="15" hidden="false" customHeight="false" outlineLevel="0" collapsed="false">
      <c r="A302" s="0" t="s">
        <v>94</v>
      </c>
      <c r="B302" s="0" t="s">
        <v>305</v>
      </c>
      <c r="C302" s="17" t="n">
        <f aca="false">IF(SQRT((Coordenadas!$C$48-Coordenadas!$C$200)^2+(Coordenadas!$D$48-Coordenadas!$D$200)^2)&lt;=LEEME!$B$20,EXP(-LEEME!$B$19*SQRT((Coordenadas!$C$48-Coordenadas!$C$200)^2+(Coordenadas!$D$48-Coordenadas!$D$200)^2)),0)</f>
        <v>0.399686754725111</v>
      </c>
    </row>
    <row r="303" customFormat="false" ht="15" hidden="false" customHeight="false" outlineLevel="0" collapsed="false">
      <c r="A303" s="0" t="s">
        <v>95</v>
      </c>
      <c r="B303" s="0" t="s">
        <v>297</v>
      </c>
      <c r="C303" s="17" t="n">
        <f aca="false">IF(SQRT((Coordenadas!$C$49-Coordenadas!$C$192)^2+(Coordenadas!$D$49-Coordenadas!$D$192)^2)&lt;=LEEME!$B$20,EXP(-LEEME!$B$19*SQRT((Coordenadas!$C$49-Coordenadas!$C$192)^2+(Coordenadas!$D$49-Coordenadas!$D$192)^2)),0)</f>
        <v>0.746722508573037</v>
      </c>
    </row>
    <row r="304" customFormat="false" ht="15" hidden="false" customHeight="false" outlineLevel="0" collapsed="false">
      <c r="A304" s="0" t="s">
        <v>95</v>
      </c>
      <c r="B304" s="0" t="s">
        <v>299</v>
      </c>
      <c r="C304" s="17" t="n">
        <f aca="false">IF(SQRT((Coordenadas!$C$49-Coordenadas!$C$194)^2+(Coordenadas!$D$49-Coordenadas!$D$194)^2)&lt;=LEEME!$B$20,EXP(-LEEME!$B$19*SQRT((Coordenadas!$C$49-Coordenadas!$C$194)^2+(Coordenadas!$D$49-Coordenadas!$D$194)^2)),0)</f>
        <v>0.459282122536576</v>
      </c>
    </row>
    <row r="305" customFormat="false" ht="15" hidden="false" customHeight="false" outlineLevel="0" collapsed="false">
      <c r="A305" s="0" t="s">
        <v>95</v>
      </c>
      <c r="B305" s="0" t="s">
        <v>302</v>
      </c>
      <c r="C305" s="17" t="n">
        <f aca="false">IF(SQRT((Coordenadas!$C$49-Coordenadas!$C$197)^2+(Coordenadas!$D$49-Coordenadas!$D$197)^2)&lt;=LEEME!$B$20,EXP(-LEEME!$B$19*SQRT((Coordenadas!$C$49-Coordenadas!$C$197)^2+(Coordenadas!$D$49-Coordenadas!$D$197)^2)),0)</f>
        <v>0.496718360993679</v>
      </c>
    </row>
    <row r="306" customFormat="false" ht="15" hidden="false" customHeight="false" outlineLevel="0" collapsed="false">
      <c r="A306" s="0" t="s">
        <v>95</v>
      </c>
      <c r="B306" s="0" t="s">
        <v>304</v>
      </c>
      <c r="C306" s="17" t="n">
        <f aca="false">IF(SQRT((Coordenadas!$C$49-Coordenadas!$C$199)^2+(Coordenadas!$D$49-Coordenadas!$D$199)^2)&lt;=LEEME!$B$20,EXP(-LEEME!$B$19*SQRT((Coordenadas!$C$49-Coordenadas!$C$199)^2+(Coordenadas!$D$49-Coordenadas!$D$199)^2)),0)</f>
        <v>0.538944663523247</v>
      </c>
    </row>
    <row r="307" customFormat="false" ht="15" hidden="false" customHeight="false" outlineLevel="0" collapsed="false">
      <c r="A307" s="0" t="s">
        <v>95</v>
      </c>
      <c r="B307" s="0" t="s">
        <v>306</v>
      </c>
      <c r="C307" s="17" t="n">
        <f aca="false">IF(SQRT((Coordenadas!$C$49-Coordenadas!$C$201)^2+(Coordenadas!$D$49-Coordenadas!$D$201)^2)&lt;=LEEME!$B$20,EXP(-LEEME!$B$19*SQRT((Coordenadas!$C$49-Coordenadas!$C$201)^2+(Coordenadas!$D$49-Coordenadas!$D$201)^2)),0)</f>
        <v>0.383907699222985</v>
      </c>
    </row>
    <row r="308" customFormat="false" ht="15" hidden="false" customHeight="false" outlineLevel="0" collapsed="false">
      <c r="A308" s="0" t="s">
        <v>95</v>
      </c>
      <c r="B308" s="0" t="s">
        <v>308</v>
      </c>
      <c r="C308" s="17" t="n">
        <f aca="false">IF(SQRT((Coordenadas!$C$49-Coordenadas!$C$203)^2+(Coordenadas!$D$49-Coordenadas!$D$203)^2)&lt;=LEEME!$B$20,EXP(-LEEME!$B$19*SQRT((Coordenadas!$C$49-Coordenadas!$C$203)^2+(Coordenadas!$D$49-Coordenadas!$D$203)^2)),0)</f>
        <v>0.39882250306522</v>
      </c>
    </row>
    <row r="309" customFormat="false" ht="15" hidden="false" customHeight="false" outlineLevel="0" collapsed="false">
      <c r="A309" s="0" t="s">
        <v>96</v>
      </c>
      <c r="B309" s="0" t="s">
        <v>278</v>
      </c>
      <c r="C309" s="17" t="n">
        <f aca="false">IF(SQRT((Coordenadas!$C$50-Coordenadas!$C$173)^2+(Coordenadas!$D$50-Coordenadas!$D$173)^2)&lt;=LEEME!$B$20,EXP(-LEEME!$B$19*SQRT((Coordenadas!$C$50-Coordenadas!$C$173)^2+(Coordenadas!$D$50-Coordenadas!$D$173)^2)),0)</f>
        <v>0.394553710371601</v>
      </c>
    </row>
    <row r="310" customFormat="false" ht="15" hidden="false" customHeight="false" outlineLevel="0" collapsed="false">
      <c r="A310" s="0" t="s">
        <v>96</v>
      </c>
      <c r="B310" s="0" t="s">
        <v>280</v>
      </c>
      <c r="C310" s="17" t="n">
        <f aca="false">IF(SQRT((Coordenadas!$C$50-Coordenadas!$C$175)^2+(Coordenadas!$D$50-Coordenadas!$D$175)^2)&lt;=LEEME!$B$20,EXP(-LEEME!$B$19*SQRT((Coordenadas!$C$50-Coordenadas!$C$175)^2+(Coordenadas!$D$50-Coordenadas!$D$175)^2)),0)</f>
        <v>0.410217908470177</v>
      </c>
    </row>
    <row r="311" customFormat="false" ht="15" hidden="false" customHeight="false" outlineLevel="0" collapsed="false">
      <c r="A311" s="0" t="s">
        <v>96</v>
      </c>
      <c r="B311" s="0" t="s">
        <v>290</v>
      </c>
      <c r="C311" s="17" t="n">
        <f aca="false">IF(SQRT((Coordenadas!$C$50-Coordenadas!$C$185)^2+(Coordenadas!$D$50-Coordenadas!$D$185)^2)&lt;=LEEME!$B$20,EXP(-LEEME!$B$19*SQRT((Coordenadas!$C$50-Coordenadas!$C$185)^2+(Coordenadas!$D$50-Coordenadas!$D$185)^2)),0)</f>
        <v>0.500796115367281</v>
      </c>
    </row>
    <row r="312" customFormat="false" ht="15" hidden="false" customHeight="false" outlineLevel="0" collapsed="false">
      <c r="A312" s="0" t="s">
        <v>96</v>
      </c>
      <c r="B312" s="0" t="s">
        <v>291</v>
      </c>
      <c r="C312" s="17" t="n">
        <f aca="false">IF(SQRT((Coordenadas!$C$50-Coordenadas!$C$186)^2+(Coordenadas!$D$50-Coordenadas!$D$186)^2)&lt;=LEEME!$B$20,EXP(-LEEME!$B$19*SQRT((Coordenadas!$C$50-Coordenadas!$C$186)^2+(Coordenadas!$D$50-Coordenadas!$D$186)^2)),0)</f>
        <v>0.839757187051289</v>
      </c>
    </row>
    <row r="313" customFormat="false" ht="15" hidden="false" customHeight="false" outlineLevel="0" collapsed="false">
      <c r="A313" s="0" t="s">
        <v>96</v>
      </c>
      <c r="B313" s="0" t="s">
        <v>296</v>
      </c>
      <c r="C313" s="17" t="n">
        <f aca="false">IF(SQRT((Coordenadas!$C$50-Coordenadas!$C$191)^2+(Coordenadas!$D$50-Coordenadas!$D$191)^2)&lt;=LEEME!$B$20,EXP(-LEEME!$B$19*SQRT((Coordenadas!$C$50-Coordenadas!$C$191)^2+(Coordenadas!$D$50-Coordenadas!$D$191)^2)),0)</f>
        <v>0.660320391958754</v>
      </c>
    </row>
    <row r="314" customFormat="false" ht="15" hidden="false" customHeight="false" outlineLevel="0" collapsed="false">
      <c r="A314" s="0" t="s">
        <v>96</v>
      </c>
      <c r="B314" s="0" t="s">
        <v>299</v>
      </c>
      <c r="C314" s="17" t="n">
        <f aca="false">IF(SQRT((Coordenadas!$C$50-Coordenadas!$C$194)^2+(Coordenadas!$D$50-Coordenadas!$D$194)^2)&lt;=LEEME!$B$20,EXP(-LEEME!$B$19*SQRT((Coordenadas!$C$50-Coordenadas!$C$194)^2+(Coordenadas!$D$50-Coordenadas!$D$194)^2)),0)</f>
        <v>0.438102238474063</v>
      </c>
    </row>
    <row r="315" customFormat="false" ht="15" hidden="false" customHeight="false" outlineLevel="0" collapsed="false">
      <c r="A315" s="0" t="s">
        <v>97</v>
      </c>
      <c r="B315" s="0" t="s">
        <v>290</v>
      </c>
      <c r="C315" s="17" t="n">
        <f aca="false">IF(SQRT((Coordenadas!$C$51-Coordenadas!$C$185)^2+(Coordenadas!$D$51-Coordenadas!$D$185)^2)&lt;=LEEME!$B$20,EXP(-LEEME!$B$19*SQRT((Coordenadas!$C$51-Coordenadas!$C$185)^2+(Coordenadas!$D$51-Coordenadas!$D$185)^2)),0)</f>
        <v>0.484049191337145</v>
      </c>
    </row>
    <row r="316" customFormat="false" ht="15" hidden="false" customHeight="false" outlineLevel="0" collapsed="false">
      <c r="A316" s="0" t="s">
        <v>97</v>
      </c>
      <c r="B316" s="0" t="s">
        <v>291</v>
      </c>
      <c r="C316" s="17" t="n">
        <f aca="false">IF(SQRT((Coordenadas!$C$51-Coordenadas!$C$186)^2+(Coordenadas!$D$51-Coordenadas!$D$186)^2)&lt;=LEEME!$B$20,EXP(-LEEME!$B$19*SQRT((Coordenadas!$C$51-Coordenadas!$C$186)^2+(Coordenadas!$D$51-Coordenadas!$D$186)^2)),0)</f>
        <v>0.708348699587786</v>
      </c>
    </row>
    <row r="317" customFormat="false" ht="15" hidden="false" customHeight="false" outlineLevel="0" collapsed="false">
      <c r="A317" s="0" t="s">
        <v>97</v>
      </c>
      <c r="B317" s="0" t="s">
        <v>296</v>
      </c>
      <c r="C317" s="17" t="n">
        <f aca="false">IF(SQRT((Coordenadas!$C$51-Coordenadas!$C$191)^2+(Coordenadas!$D$51-Coordenadas!$D$191)^2)&lt;=LEEME!$B$20,EXP(-LEEME!$B$19*SQRT((Coordenadas!$C$51-Coordenadas!$C$191)^2+(Coordenadas!$D$51-Coordenadas!$D$191)^2)),0)</f>
        <v>0.864353200038977</v>
      </c>
    </row>
    <row r="318" customFormat="false" ht="15" hidden="false" customHeight="false" outlineLevel="0" collapsed="false">
      <c r="A318" s="0" t="s">
        <v>97</v>
      </c>
      <c r="B318" s="0" t="s">
        <v>299</v>
      </c>
      <c r="C318" s="17" t="n">
        <f aca="false">IF(SQRT((Coordenadas!$C$51-Coordenadas!$C$194)^2+(Coordenadas!$D$51-Coordenadas!$D$194)^2)&lt;=LEEME!$B$20,EXP(-LEEME!$B$19*SQRT((Coordenadas!$C$51-Coordenadas!$C$194)^2+(Coordenadas!$D$51-Coordenadas!$D$194)^2)),0)</f>
        <v>0.531023265043573</v>
      </c>
    </row>
    <row r="319" customFormat="false" ht="15" hidden="false" customHeight="false" outlineLevel="0" collapsed="false">
      <c r="A319" s="0" t="s">
        <v>97</v>
      </c>
      <c r="B319" s="0" t="s">
        <v>303</v>
      </c>
      <c r="C319" s="17" t="n">
        <f aca="false">IF(SQRT((Coordenadas!$C$51-Coordenadas!$C$198)^2+(Coordenadas!$D$51-Coordenadas!$D$198)^2)&lt;=LEEME!$B$20,EXP(-LEEME!$B$19*SQRT((Coordenadas!$C$51-Coordenadas!$C$198)^2+(Coordenadas!$D$51-Coordenadas!$D$198)^2)),0)</f>
        <v>0.422768838667969</v>
      </c>
    </row>
    <row r="320" customFormat="false" ht="15" hidden="false" customHeight="false" outlineLevel="0" collapsed="false">
      <c r="A320" s="0" t="s">
        <v>97</v>
      </c>
      <c r="B320" s="0" t="s">
        <v>305</v>
      </c>
      <c r="C320" s="17" t="n">
        <f aca="false">IF(SQRT((Coordenadas!$C$51-Coordenadas!$C$200)^2+(Coordenadas!$D$51-Coordenadas!$D$200)^2)&lt;=LEEME!$B$20,EXP(-LEEME!$B$19*SQRT((Coordenadas!$C$51-Coordenadas!$C$200)^2+(Coordenadas!$D$51-Coordenadas!$D$200)^2)),0)</f>
        <v>0.391497313417309</v>
      </c>
    </row>
    <row r="321" customFormat="false" ht="15" hidden="false" customHeight="false" outlineLevel="0" collapsed="false">
      <c r="A321" s="0" t="s">
        <v>98</v>
      </c>
      <c r="B321" s="0" t="s">
        <v>275</v>
      </c>
      <c r="C321" s="17" t="n">
        <f aca="false">IF(SQRT((Coordenadas!$C$52-Coordenadas!$C$170)^2+(Coordenadas!$D$52-Coordenadas!$D$170)^2)&lt;=LEEME!$B$20,EXP(-LEEME!$B$19*SQRT((Coordenadas!$C$52-Coordenadas!$C$170)^2+(Coordenadas!$D$52-Coordenadas!$D$170)^2)),0)</f>
        <v>0.472760574710813</v>
      </c>
    </row>
    <row r="322" customFormat="false" ht="15" hidden="false" customHeight="false" outlineLevel="0" collapsed="false">
      <c r="A322" s="0" t="s">
        <v>98</v>
      </c>
      <c r="B322" s="0" t="s">
        <v>277</v>
      </c>
      <c r="C322" s="17" t="n">
        <f aca="false">IF(SQRT((Coordenadas!$C$52-Coordenadas!$C$172)^2+(Coordenadas!$D$52-Coordenadas!$D$172)^2)&lt;=LEEME!$B$20,EXP(-LEEME!$B$19*SQRT((Coordenadas!$C$52-Coordenadas!$C$172)^2+(Coordenadas!$D$52-Coordenadas!$D$172)^2)),0)</f>
        <v>0.758745586184157</v>
      </c>
    </row>
    <row r="323" customFormat="false" ht="15" hidden="false" customHeight="false" outlineLevel="0" collapsed="false">
      <c r="A323" s="0" t="s">
        <v>98</v>
      </c>
      <c r="B323" s="0" t="s">
        <v>278</v>
      </c>
      <c r="C323" s="17" t="n">
        <f aca="false">IF(SQRT((Coordenadas!$C$52-Coordenadas!$C$173)^2+(Coordenadas!$D$52-Coordenadas!$D$173)^2)&lt;=LEEME!$B$20,EXP(-LEEME!$B$19*SQRT((Coordenadas!$C$52-Coordenadas!$C$173)^2+(Coordenadas!$D$52-Coordenadas!$D$173)^2)),0)</f>
        <v>0.626939834181233</v>
      </c>
    </row>
    <row r="324" customFormat="false" ht="15" hidden="false" customHeight="false" outlineLevel="0" collapsed="false">
      <c r="A324" s="0" t="s">
        <v>98</v>
      </c>
      <c r="B324" s="0" t="s">
        <v>280</v>
      </c>
      <c r="C324" s="17" t="n">
        <f aca="false">IF(SQRT((Coordenadas!$C$52-Coordenadas!$C$175)^2+(Coordenadas!$D$52-Coordenadas!$D$175)^2)&lt;=LEEME!$B$20,EXP(-LEEME!$B$19*SQRT((Coordenadas!$C$52-Coordenadas!$C$175)^2+(Coordenadas!$D$52-Coordenadas!$D$175)^2)),0)</f>
        <v>0.547126385398027</v>
      </c>
    </row>
    <row r="325" customFormat="false" ht="15" hidden="false" customHeight="false" outlineLevel="0" collapsed="false">
      <c r="A325" s="0" t="s">
        <v>100</v>
      </c>
      <c r="B325" s="0" t="s">
        <v>271</v>
      </c>
      <c r="C325" s="17" t="n">
        <f aca="false">IF(SQRT((Coordenadas!$C$53-Coordenadas!$C$166)^2+(Coordenadas!$D$53-Coordenadas!$D$166)^2)&lt;=LEEME!$B$20,EXP(-LEEME!$B$19*SQRT((Coordenadas!$C$53-Coordenadas!$C$166)^2+(Coordenadas!$D$53-Coordenadas!$D$166)^2)),0)</f>
        <v>0.435596681173455</v>
      </c>
    </row>
    <row r="326" customFormat="false" ht="15" hidden="false" customHeight="false" outlineLevel="0" collapsed="false">
      <c r="A326" s="0" t="s">
        <v>100</v>
      </c>
      <c r="B326" s="0" t="s">
        <v>274</v>
      </c>
      <c r="C326" s="17" t="n">
        <f aca="false">IF(SQRT((Coordenadas!$C$53-Coordenadas!$C$169)^2+(Coordenadas!$D$53-Coordenadas!$D$169)^2)&lt;=LEEME!$B$20,EXP(-LEEME!$B$19*SQRT((Coordenadas!$C$53-Coordenadas!$C$169)^2+(Coordenadas!$D$53-Coordenadas!$D$169)^2)),0)</f>
        <v>0.446623330243347</v>
      </c>
    </row>
    <row r="327" customFormat="false" ht="15" hidden="false" customHeight="false" outlineLevel="0" collapsed="false">
      <c r="A327" s="0" t="s">
        <v>100</v>
      </c>
      <c r="B327" s="0" t="s">
        <v>275</v>
      </c>
      <c r="C327" s="17" t="n">
        <f aca="false">IF(SQRT((Coordenadas!$C$53-Coordenadas!$C$170)^2+(Coordenadas!$D$53-Coordenadas!$D$170)^2)&lt;=LEEME!$B$20,EXP(-LEEME!$B$19*SQRT((Coordenadas!$C$53-Coordenadas!$C$170)^2+(Coordenadas!$D$53-Coordenadas!$D$170)^2)),0)</f>
        <v>0.635689367012702</v>
      </c>
    </row>
    <row r="328" customFormat="false" ht="15" hidden="false" customHeight="false" outlineLevel="0" collapsed="false">
      <c r="A328" s="0" t="s">
        <v>100</v>
      </c>
      <c r="B328" s="0" t="s">
        <v>276</v>
      </c>
      <c r="C328" s="17" t="n">
        <f aca="false">IF(SQRT((Coordenadas!$C$53-Coordenadas!$C$171)^2+(Coordenadas!$D$53-Coordenadas!$D$171)^2)&lt;=LEEME!$B$20,EXP(-LEEME!$B$19*SQRT((Coordenadas!$C$53-Coordenadas!$C$171)^2+(Coordenadas!$D$53-Coordenadas!$D$171)^2)),0)</f>
        <v>0.441819558000543</v>
      </c>
    </row>
    <row r="329" customFormat="false" ht="15" hidden="false" customHeight="false" outlineLevel="0" collapsed="false">
      <c r="A329" s="0" t="s">
        <v>100</v>
      </c>
      <c r="B329" s="0" t="s">
        <v>277</v>
      </c>
      <c r="C329" s="17" t="n">
        <f aca="false">IF(SQRT((Coordenadas!$C$53-Coordenadas!$C$172)^2+(Coordenadas!$D$53-Coordenadas!$D$172)^2)&lt;=LEEME!$B$20,EXP(-LEEME!$B$19*SQRT((Coordenadas!$C$53-Coordenadas!$C$172)^2+(Coordenadas!$D$53-Coordenadas!$D$172)^2)),0)</f>
        <v>0.79500935671909</v>
      </c>
    </row>
    <row r="330" customFormat="false" ht="15" hidden="false" customHeight="false" outlineLevel="0" collapsed="false">
      <c r="A330" s="0" t="s">
        <v>100</v>
      </c>
      <c r="B330" s="0" t="s">
        <v>278</v>
      </c>
      <c r="C330" s="17" t="n">
        <f aca="false">IF(SQRT((Coordenadas!$C$53-Coordenadas!$C$173)^2+(Coordenadas!$D$53-Coordenadas!$D$173)^2)&lt;=LEEME!$B$20,EXP(-LEEME!$B$19*SQRT((Coordenadas!$C$53-Coordenadas!$C$173)^2+(Coordenadas!$D$53-Coordenadas!$D$173)^2)),0)</f>
        <v>0.669567416318689</v>
      </c>
    </row>
    <row r="331" customFormat="false" ht="15" hidden="false" customHeight="false" outlineLevel="0" collapsed="false">
      <c r="A331" s="0" t="s">
        <v>100</v>
      </c>
      <c r="B331" s="0" t="s">
        <v>280</v>
      </c>
      <c r="C331" s="17" t="n">
        <f aca="false">IF(SQRT((Coordenadas!$C$53-Coordenadas!$C$175)^2+(Coordenadas!$D$53-Coordenadas!$D$175)^2)&lt;=LEEME!$B$20,EXP(-LEEME!$B$19*SQRT((Coordenadas!$C$53-Coordenadas!$C$175)^2+(Coordenadas!$D$53-Coordenadas!$D$175)^2)),0)</f>
        <v>0.618139858526976</v>
      </c>
    </row>
    <row r="332" customFormat="false" ht="15" hidden="false" customHeight="false" outlineLevel="0" collapsed="false">
      <c r="A332" s="0" t="s">
        <v>101</v>
      </c>
      <c r="B332" s="0" t="s">
        <v>271</v>
      </c>
      <c r="C332" s="17" t="n">
        <f aca="false">IF(SQRT((Coordenadas!$C$54-Coordenadas!$C$166)^2+(Coordenadas!$D$54-Coordenadas!$D$166)^2)&lt;=LEEME!$B$20,EXP(-LEEME!$B$19*SQRT((Coordenadas!$C$54-Coordenadas!$C$166)^2+(Coordenadas!$D$54-Coordenadas!$D$166)^2)),0)</f>
        <v>0.391497313417309</v>
      </c>
    </row>
    <row r="333" customFormat="false" ht="15" hidden="false" customHeight="false" outlineLevel="0" collapsed="false">
      <c r="A333" s="0" t="s">
        <v>101</v>
      </c>
      <c r="B333" s="0" t="s">
        <v>274</v>
      </c>
      <c r="C333" s="17" t="n">
        <f aca="false">IF(SQRT((Coordenadas!$C$54-Coordenadas!$C$169)^2+(Coordenadas!$D$54-Coordenadas!$D$169)^2)&lt;=LEEME!$B$20,EXP(-LEEME!$B$19*SQRT((Coordenadas!$C$54-Coordenadas!$C$169)^2+(Coordenadas!$D$54-Coordenadas!$D$169)^2)),0)</f>
        <v>0.446540233175207</v>
      </c>
    </row>
    <row r="334" customFormat="false" ht="15" hidden="false" customHeight="false" outlineLevel="0" collapsed="false">
      <c r="A334" s="0" t="s">
        <v>101</v>
      </c>
      <c r="B334" s="0" t="s">
        <v>275</v>
      </c>
      <c r="C334" s="17" t="n">
        <f aca="false">IF(SQRT((Coordenadas!$C$54-Coordenadas!$C$170)^2+(Coordenadas!$D$54-Coordenadas!$D$170)^2)&lt;=LEEME!$B$20,EXP(-LEEME!$B$19*SQRT((Coordenadas!$C$54-Coordenadas!$C$170)^2+(Coordenadas!$D$54-Coordenadas!$D$170)^2)),0)</f>
        <v>0.628253337706831</v>
      </c>
    </row>
    <row r="335" customFormat="false" ht="15" hidden="false" customHeight="false" outlineLevel="0" collapsed="false">
      <c r="A335" s="0" t="s">
        <v>101</v>
      </c>
      <c r="B335" s="0" t="s">
        <v>276</v>
      </c>
      <c r="C335" s="17" t="n">
        <f aca="false">IF(SQRT((Coordenadas!$C$54-Coordenadas!$C$171)^2+(Coordenadas!$D$54-Coordenadas!$D$171)^2)&lt;=LEEME!$B$20,EXP(-LEEME!$B$19*SQRT((Coordenadas!$C$54-Coordenadas!$C$171)^2+(Coordenadas!$D$54-Coordenadas!$D$171)^2)),0)</f>
        <v>0.451744609307976</v>
      </c>
    </row>
    <row r="336" customFormat="false" ht="15" hidden="false" customHeight="false" outlineLevel="0" collapsed="false">
      <c r="A336" s="0" t="s">
        <v>101</v>
      </c>
      <c r="B336" s="0" t="s">
        <v>277</v>
      </c>
      <c r="C336" s="17" t="n">
        <f aca="false">IF(SQRT((Coordenadas!$C$54-Coordenadas!$C$172)^2+(Coordenadas!$D$54-Coordenadas!$D$172)^2)&lt;=LEEME!$B$20,EXP(-LEEME!$B$19*SQRT((Coordenadas!$C$54-Coordenadas!$C$172)^2+(Coordenadas!$D$54-Coordenadas!$D$172)^2)),0)</f>
        <v>0.878349045947303</v>
      </c>
    </row>
    <row r="337" customFormat="false" ht="15" hidden="false" customHeight="false" outlineLevel="0" collapsed="false">
      <c r="A337" s="0" t="s">
        <v>101</v>
      </c>
      <c r="B337" s="0" t="s">
        <v>278</v>
      </c>
      <c r="C337" s="17" t="n">
        <f aca="false">IF(SQRT((Coordenadas!$C$54-Coordenadas!$C$173)^2+(Coordenadas!$D$54-Coordenadas!$D$173)^2)&lt;=LEEME!$B$20,EXP(-LEEME!$B$19*SQRT((Coordenadas!$C$54-Coordenadas!$C$173)^2+(Coordenadas!$D$54-Coordenadas!$D$173)^2)),0)</f>
        <v>0.785973744090531</v>
      </c>
    </row>
    <row r="338" customFormat="false" ht="15" hidden="false" customHeight="false" outlineLevel="0" collapsed="false">
      <c r="A338" s="0" t="s">
        <v>101</v>
      </c>
      <c r="B338" s="0" t="s">
        <v>280</v>
      </c>
      <c r="C338" s="17" t="n">
        <f aca="false">IF(SQRT((Coordenadas!$C$54-Coordenadas!$C$175)^2+(Coordenadas!$D$54-Coordenadas!$D$175)^2)&lt;=LEEME!$B$20,EXP(-LEEME!$B$19*SQRT((Coordenadas!$C$54-Coordenadas!$C$175)^2+(Coordenadas!$D$54-Coordenadas!$D$175)^2)),0)</f>
        <v>0.730630735594103</v>
      </c>
    </row>
    <row r="339" customFormat="false" ht="15" hidden="false" customHeight="false" outlineLevel="0" collapsed="false">
      <c r="A339" s="0" t="s">
        <v>102</v>
      </c>
      <c r="B339" s="0" t="s">
        <v>275</v>
      </c>
      <c r="C339" s="17" t="n">
        <f aca="false">IF(SQRT((Coordenadas!$C$55-Coordenadas!$C$170)^2+(Coordenadas!$D$55-Coordenadas!$D$170)^2)&lt;=LEEME!$B$20,EXP(-LEEME!$B$19*SQRT((Coordenadas!$C$55-Coordenadas!$C$170)^2+(Coordenadas!$D$55-Coordenadas!$D$170)^2)),0)</f>
        <v>0.459629204588251</v>
      </c>
    </row>
    <row r="340" customFormat="false" ht="15" hidden="false" customHeight="false" outlineLevel="0" collapsed="false">
      <c r="A340" s="0" t="s">
        <v>102</v>
      </c>
      <c r="B340" s="0" t="s">
        <v>277</v>
      </c>
      <c r="C340" s="17" t="n">
        <f aca="false">IF(SQRT((Coordenadas!$C$55-Coordenadas!$C$172)^2+(Coordenadas!$D$55-Coordenadas!$D$172)^2)&lt;=LEEME!$B$20,EXP(-LEEME!$B$19*SQRT((Coordenadas!$C$55-Coordenadas!$C$172)^2+(Coordenadas!$D$55-Coordenadas!$D$172)^2)),0)</f>
        <v>0.814647316411415</v>
      </c>
    </row>
    <row r="341" customFormat="false" ht="15" hidden="false" customHeight="false" outlineLevel="0" collapsed="false">
      <c r="A341" s="0" t="s">
        <v>102</v>
      </c>
      <c r="B341" s="0" t="s">
        <v>278</v>
      </c>
      <c r="C341" s="17" t="n">
        <f aca="false">IF(SQRT((Coordenadas!$C$55-Coordenadas!$C$173)^2+(Coordenadas!$D$55-Coordenadas!$D$173)^2)&lt;=LEEME!$B$20,EXP(-LEEME!$B$19*SQRT((Coordenadas!$C$55-Coordenadas!$C$173)^2+(Coordenadas!$D$55-Coordenadas!$D$173)^2)),0)</f>
        <v>0.704788787193022</v>
      </c>
    </row>
    <row r="342" customFormat="false" ht="15" hidden="false" customHeight="false" outlineLevel="0" collapsed="false">
      <c r="A342" s="0" t="s">
        <v>102</v>
      </c>
      <c r="B342" s="0" t="s">
        <v>280</v>
      </c>
      <c r="C342" s="17" t="n">
        <f aca="false">IF(SQRT((Coordenadas!$C$55-Coordenadas!$C$175)^2+(Coordenadas!$D$55-Coordenadas!$D$175)^2)&lt;=LEEME!$B$20,EXP(-LEEME!$B$19*SQRT((Coordenadas!$C$55-Coordenadas!$C$175)^2+(Coordenadas!$D$55-Coordenadas!$D$175)^2)),0)</f>
        <v>0.608664745110906</v>
      </c>
    </row>
    <row r="343" customFormat="false" ht="15" hidden="false" customHeight="false" outlineLevel="0" collapsed="false">
      <c r="A343" s="0" t="s">
        <v>103</v>
      </c>
      <c r="B343" s="0" t="s">
        <v>275</v>
      </c>
      <c r="C343" s="17" t="n">
        <f aca="false">IF(SQRT((Coordenadas!$C$56-Coordenadas!$C$170)^2+(Coordenadas!$D$56-Coordenadas!$D$170)^2)&lt;=LEEME!$B$20,EXP(-LEEME!$B$19*SQRT((Coordenadas!$C$56-Coordenadas!$C$170)^2+(Coordenadas!$D$56-Coordenadas!$D$170)^2)),0)</f>
        <v>0.373084136684312</v>
      </c>
    </row>
    <row r="344" customFormat="false" ht="15" hidden="false" customHeight="false" outlineLevel="0" collapsed="false">
      <c r="A344" s="0" t="s">
        <v>103</v>
      </c>
      <c r="B344" s="0" t="s">
        <v>277</v>
      </c>
      <c r="C344" s="17" t="n">
        <f aca="false">IF(SQRT((Coordenadas!$C$56-Coordenadas!$C$172)^2+(Coordenadas!$D$56-Coordenadas!$D$172)^2)&lt;=LEEME!$B$20,EXP(-LEEME!$B$19*SQRT((Coordenadas!$C$56-Coordenadas!$C$172)^2+(Coordenadas!$D$56-Coordenadas!$D$172)^2)),0)</f>
        <v>0.629015083060566</v>
      </c>
    </row>
    <row r="345" customFormat="false" ht="15" hidden="false" customHeight="false" outlineLevel="0" collapsed="false">
      <c r="A345" s="0" t="s">
        <v>103</v>
      </c>
      <c r="B345" s="0" t="s">
        <v>278</v>
      </c>
      <c r="C345" s="17" t="n">
        <f aca="false">IF(SQRT((Coordenadas!$C$56-Coordenadas!$C$173)^2+(Coordenadas!$D$56-Coordenadas!$D$173)^2)&lt;=LEEME!$B$20,EXP(-LEEME!$B$19*SQRT((Coordenadas!$C$56-Coordenadas!$C$173)^2+(Coordenadas!$D$56-Coordenadas!$D$173)^2)),0)</f>
        <v>0.706356744056511</v>
      </c>
    </row>
    <row r="346" customFormat="false" ht="15" hidden="false" customHeight="false" outlineLevel="0" collapsed="false">
      <c r="A346" s="0" t="s">
        <v>103</v>
      </c>
      <c r="B346" s="0" t="s">
        <v>280</v>
      </c>
      <c r="C346" s="17" t="n">
        <f aca="false">IF(SQRT((Coordenadas!$C$56-Coordenadas!$C$175)^2+(Coordenadas!$D$56-Coordenadas!$D$175)^2)&lt;=LEEME!$B$20,EXP(-LEEME!$B$19*SQRT((Coordenadas!$C$56-Coordenadas!$C$175)^2+(Coordenadas!$D$56-Coordenadas!$D$175)^2)),0)</f>
        <v>0.654675627239908</v>
      </c>
    </row>
    <row r="347" customFormat="false" ht="15" hidden="false" customHeight="false" outlineLevel="0" collapsed="false">
      <c r="A347" s="0" t="s">
        <v>103</v>
      </c>
      <c r="B347" s="0" t="s">
        <v>291</v>
      </c>
      <c r="C347" s="17" t="n">
        <f aca="false">IF(SQRT((Coordenadas!$C$56-Coordenadas!$C$186)^2+(Coordenadas!$D$56-Coordenadas!$D$186)^2)&lt;=LEEME!$B$20,EXP(-LEEME!$B$19*SQRT((Coordenadas!$C$56-Coordenadas!$C$186)^2+(Coordenadas!$D$56-Coordenadas!$D$186)^2)),0)</f>
        <v>0.477420402414473</v>
      </c>
    </row>
    <row r="348" customFormat="false" ht="15" hidden="false" customHeight="false" outlineLevel="0" collapsed="false">
      <c r="A348" s="0" t="s">
        <v>104</v>
      </c>
      <c r="B348" s="0" t="s">
        <v>275</v>
      </c>
      <c r="C348" s="17" t="n">
        <f aca="false">IF(SQRT((Coordenadas!$C$57-Coordenadas!$C$170)^2+(Coordenadas!$D$57-Coordenadas!$D$170)^2)&lt;=LEEME!$B$20,EXP(-LEEME!$B$19*SQRT((Coordenadas!$C$57-Coordenadas!$C$170)^2+(Coordenadas!$D$57-Coordenadas!$D$170)^2)),0)</f>
        <v>0.425009807843188</v>
      </c>
    </row>
    <row r="349" customFormat="false" ht="15" hidden="false" customHeight="false" outlineLevel="0" collapsed="false">
      <c r="A349" s="0" t="s">
        <v>104</v>
      </c>
      <c r="B349" s="0" t="s">
        <v>277</v>
      </c>
      <c r="C349" s="17" t="n">
        <f aca="false">IF(SQRT((Coordenadas!$C$57-Coordenadas!$C$172)^2+(Coordenadas!$D$57-Coordenadas!$D$172)^2)&lt;=LEEME!$B$20,EXP(-LEEME!$B$19*SQRT((Coordenadas!$C$57-Coordenadas!$C$172)^2+(Coordenadas!$D$57-Coordenadas!$D$172)^2)),0)</f>
        <v>0.768623560650874</v>
      </c>
    </row>
    <row r="350" customFormat="false" ht="15" hidden="false" customHeight="false" outlineLevel="0" collapsed="false">
      <c r="A350" s="0" t="s">
        <v>104</v>
      </c>
      <c r="B350" s="0" t="s">
        <v>278</v>
      </c>
      <c r="C350" s="17" t="n">
        <f aca="false">IF(SQRT((Coordenadas!$C$57-Coordenadas!$C$173)^2+(Coordenadas!$D$57-Coordenadas!$D$173)^2)&lt;=LEEME!$B$20,EXP(-LEEME!$B$19*SQRT((Coordenadas!$C$57-Coordenadas!$C$173)^2+(Coordenadas!$D$57-Coordenadas!$D$173)^2)),0)</f>
        <v>0.740540639278808</v>
      </c>
    </row>
    <row r="351" customFormat="false" ht="15" hidden="false" customHeight="false" outlineLevel="0" collapsed="false">
      <c r="A351" s="0" t="s">
        <v>104</v>
      </c>
      <c r="B351" s="0" t="s">
        <v>280</v>
      </c>
      <c r="C351" s="17" t="n">
        <f aca="false">IF(SQRT((Coordenadas!$C$57-Coordenadas!$C$175)^2+(Coordenadas!$D$57-Coordenadas!$D$175)^2)&lt;=LEEME!$B$20,EXP(-LEEME!$B$19*SQRT((Coordenadas!$C$57-Coordenadas!$C$175)^2+(Coordenadas!$D$57-Coordenadas!$D$175)^2)),0)</f>
        <v>0.64096833405618</v>
      </c>
    </row>
    <row r="352" customFormat="false" ht="15" hidden="false" customHeight="false" outlineLevel="0" collapsed="false">
      <c r="A352" s="0" t="s">
        <v>105</v>
      </c>
      <c r="B352" s="0" t="s">
        <v>274</v>
      </c>
      <c r="C352" s="17" t="n">
        <f aca="false">IF(SQRT((Coordenadas!$C$58-Coordenadas!$C$169)^2+(Coordenadas!$D$58-Coordenadas!$D$169)^2)&lt;=LEEME!$B$20,EXP(-LEEME!$B$19*SQRT((Coordenadas!$C$58-Coordenadas!$C$169)^2+(Coordenadas!$D$58-Coordenadas!$D$169)^2)),0)</f>
        <v>0.372866684299409</v>
      </c>
    </row>
    <row r="353" customFormat="false" ht="15" hidden="false" customHeight="false" outlineLevel="0" collapsed="false">
      <c r="A353" s="0" t="s">
        <v>105</v>
      </c>
      <c r="B353" s="0" t="s">
        <v>275</v>
      </c>
      <c r="C353" s="17" t="n">
        <f aca="false">IF(SQRT((Coordenadas!$C$58-Coordenadas!$C$170)^2+(Coordenadas!$D$58-Coordenadas!$D$170)^2)&lt;=LEEME!$B$20,EXP(-LEEME!$B$19*SQRT((Coordenadas!$C$58-Coordenadas!$C$170)^2+(Coordenadas!$D$58-Coordenadas!$D$170)^2)),0)</f>
        <v>0.499550738247866</v>
      </c>
    </row>
    <row r="354" customFormat="false" ht="15" hidden="false" customHeight="false" outlineLevel="0" collapsed="false">
      <c r="A354" s="0" t="s">
        <v>105</v>
      </c>
      <c r="B354" s="0" t="s">
        <v>276</v>
      </c>
      <c r="C354" s="17" t="n">
        <f aca="false">IF(SQRT((Coordenadas!$C$58-Coordenadas!$C$171)^2+(Coordenadas!$D$58-Coordenadas!$D$171)^2)&lt;=LEEME!$B$20,EXP(-LEEME!$B$19*SQRT((Coordenadas!$C$58-Coordenadas!$C$171)^2+(Coordenadas!$D$58-Coordenadas!$D$171)^2)),0)</f>
        <v>0.389447176749519</v>
      </c>
    </row>
    <row r="355" customFormat="false" ht="15" hidden="false" customHeight="false" outlineLevel="0" collapsed="false">
      <c r="A355" s="0" t="s">
        <v>105</v>
      </c>
      <c r="B355" s="0" t="s">
        <v>277</v>
      </c>
      <c r="C355" s="17" t="n">
        <f aca="false">IF(SQRT((Coordenadas!$C$58-Coordenadas!$C$172)^2+(Coordenadas!$D$58-Coordenadas!$D$172)^2)&lt;=LEEME!$B$20,EXP(-LEEME!$B$19*SQRT((Coordenadas!$C$58-Coordenadas!$C$172)^2+(Coordenadas!$D$58-Coordenadas!$D$172)^2)),0)</f>
        <v>0.760402851407875</v>
      </c>
    </row>
    <row r="356" customFormat="false" ht="15" hidden="false" customHeight="false" outlineLevel="0" collapsed="false">
      <c r="A356" s="0" t="s">
        <v>105</v>
      </c>
      <c r="B356" s="0" t="s">
        <v>278</v>
      </c>
      <c r="C356" s="17" t="n">
        <f aca="false">IF(SQRT((Coordenadas!$C$58-Coordenadas!$C$173)^2+(Coordenadas!$D$58-Coordenadas!$D$173)^2)&lt;=LEEME!$B$20,EXP(-LEEME!$B$19*SQRT((Coordenadas!$C$58-Coordenadas!$C$173)^2+(Coordenadas!$D$58-Coordenadas!$D$173)^2)),0)</f>
        <v>0.927589046693842</v>
      </c>
    </row>
    <row r="357" customFormat="false" ht="15" hidden="false" customHeight="false" outlineLevel="0" collapsed="false">
      <c r="A357" s="0" t="s">
        <v>105</v>
      </c>
      <c r="B357" s="0" t="s">
        <v>280</v>
      </c>
      <c r="C357" s="17" t="n">
        <f aca="false">IF(SQRT((Coordenadas!$C$58-Coordenadas!$C$175)^2+(Coordenadas!$D$58-Coordenadas!$D$175)^2)&lt;=LEEME!$B$20,EXP(-LEEME!$B$19*SQRT((Coordenadas!$C$58-Coordenadas!$C$175)^2+(Coordenadas!$D$58-Coordenadas!$D$175)^2)),0)</f>
        <v>0.871712769441284</v>
      </c>
    </row>
    <row r="358" customFormat="false" ht="15" hidden="false" customHeight="false" outlineLevel="0" collapsed="false">
      <c r="A358" s="0" t="s">
        <v>105</v>
      </c>
      <c r="B358" s="0" t="s">
        <v>291</v>
      </c>
      <c r="C358" s="17" t="n">
        <f aca="false">IF(SQRT((Coordenadas!$C$58-Coordenadas!$C$186)^2+(Coordenadas!$D$58-Coordenadas!$D$186)^2)&lt;=LEEME!$B$20,EXP(-LEEME!$B$19*SQRT((Coordenadas!$C$58-Coordenadas!$C$186)^2+(Coordenadas!$D$58-Coordenadas!$D$186)^2)),0)</f>
        <v>0.435380583556049</v>
      </c>
    </row>
    <row r="359" customFormat="false" ht="15" hidden="false" customHeight="false" outlineLevel="0" collapsed="false">
      <c r="A359" s="0" t="s">
        <v>106</v>
      </c>
      <c r="B359" s="0" t="s">
        <v>275</v>
      </c>
      <c r="C359" s="17" t="n">
        <f aca="false">IF(SQRT((Coordenadas!$C$59-Coordenadas!$C$170)^2+(Coordenadas!$D$59-Coordenadas!$D$170)^2)&lt;=LEEME!$B$20,EXP(-LEEME!$B$19*SQRT((Coordenadas!$C$59-Coordenadas!$C$170)^2+(Coordenadas!$D$59-Coordenadas!$D$170)^2)),0)</f>
        <v>0.406818279373054</v>
      </c>
    </row>
    <row r="360" customFormat="false" ht="15" hidden="false" customHeight="false" outlineLevel="0" collapsed="false">
      <c r="A360" s="0" t="s">
        <v>106</v>
      </c>
      <c r="B360" s="0" t="s">
        <v>277</v>
      </c>
      <c r="C360" s="17" t="n">
        <f aca="false">IF(SQRT((Coordenadas!$C$59-Coordenadas!$C$172)^2+(Coordenadas!$D$59-Coordenadas!$D$172)^2)&lt;=LEEME!$B$20,EXP(-LEEME!$B$19*SQRT((Coordenadas!$C$59-Coordenadas!$C$172)^2+(Coordenadas!$D$59-Coordenadas!$D$172)^2)),0)</f>
        <v>0.714911525938289</v>
      </c>
    </row>
    <row r="361" customFormat="false" ht="15" hidden="false" customHeight="false" outlineLevel="0" collapsed="false">
      <c r="A361" s="0" t="s">
        <v>106</v>
      </c>
      <c r="B361" s="0" t="s">
        <v>278</v>
      </c>
      <c r="C361" s="17" t="n">
        <f aca="false">IF(SQRT((Coordenadas!$C$59-Coordenadas!$C$173)^2+(Coordenadas!$D$59-Coordenadas!$D$173)^2)&lt;=LEEME!$B$20,EXP(-LEEME!$B$19*SQRT((Coordenadas!$C$59-Coordenadas!$C$173)^2+(Coordenadas!$D$59-Coordenadas!$D$173)^2)),0)</f>
        <v>0.755986307594592</v>
      </c>
    </row>
    <row r="362" customFormat="false" ht="15" hidden="false" customHeight="false" outlineLevel="0" collapsed="false">
      <c r="A362" s="0" t="s">
        <v>106</v>
      </c>
      <c r="B362" s="0" t="s">
        <v>280</v>
      </c>
      <c r="C362" s="17" t="n">
        <f aca="false">IF(SQRT((Coordenadas!$C$59-Coordenadas!$C$175)^2+(Coordenadas!$D$59-Coordenadas!$D$175)^2)&lt;=LEEME!$B$20,EXP(-LEEME!$B$19*SQRT((Coordenadas!$C$59-Coordenadas!$C$175)^2+(Coordenadas!$D$59-Coordenadas!$D$175)^2)),0)</f>
        <v>0.670110685485087</v>
      </c>
    </row>
    <row r="363" customFormat="false" ht="15" hidden="false" customHeight="false" outlineLevel="0" collapsed="false">
      <c r="A363" s="0" t="s">
        <v>106</v>
      </c>
      <c r="B363" s="0" t="s">
        <v>291</v>
      </c>
      <c r="C363" s="17" t="n">
        <f aca="false">IF(SQRT((Coordenadas!$C$59-Coordenadas!$C$186)^2+(Coordenadas!$D$59-Coordenadas!$D$186)^2)&lt;=LEEME!$B$20,EXP(-LEEME!$B$19*SQRT((Coordenadas!$C$59-Coordenadas!$C$186)^2+(Coordenadas!$D$59-Coordenadas!$D$186)^2)),0)</f>
        <v>0.413175235704862</v>
      </c>
    </row>
    <row r="364" customFormat="false" ht="15" hidden="false" customHeight="false" outlineLevel="0" collapsed="false">
      <c r="A364" s="0" t="s">
        <v>107</v>
      </c>
      <c r="B364" s="0" t="s">
        <v>271</v>
      </c>
      <c r="C364" s="17" t="n">
        <f aca="false">IF(SQRT((Coordenadas!$C$60-Coordenadas!$C$166)^2+(Coordenadas!$D$60-Coordenadas!$D$166)^2)&lt;=LEEME!$B$20,EXP(-LEEME!$B$19*SQRT((Coordenadas!$C$60-Coordenadas!$C$166)^2+(Coordenadas!$D$60-Coordenadas!$D$166)^2)),0)</f>
        <v>0.405466056099297</v>
      </c>
    </row>
    <row r="365" customFormat="false" ht="15" hidden="false" customHeight="false" outlineLevel="0" collapsed="false">
      <c r="A365" s="0" t="s">
        <v>107</v>
      </c>
      <c r="B365" s="0" t="s">
        <v>272</v>
      </c>
      <c r="C365" s="17" t="n">
        <f aca="false">IF(SQRT((Coordenadas!$C$60-Coordenadas!$C$167)^2+(Coordenadas!$D$60-Coordenadas!$D$167)^2)&lt;=LEEME!$B$20,EXP(-LEEME!$B$19*SQRT((Coordenadas!$C$60-Coordenadas!$C$167)^2+(Coordenadas!$D$60-Coordenadas!$D$167)^2)),0)</f>
        <v>0.446152904301728</v>
      </c>
    </row>
    <row r="366" customFormat="false" ht="15" hidden="false" customHeight="false" outlineLevel="0" collapsed="false">
      <c r="A366" s="0" t="s">
        <v>107</v>
      </c>
      <c r="B366" s="0" t="s">
        <v>273</v>
      </c>
      <c r="C366" s="17" t="n">
        <f aca="false">IF(SQRT((Coordenadas!$C$60-Coordenadas!$C$168)^2+(Coordenadas!$D$60-Coordenadas!$D$168)^2)&lt;=LEEME!$B$20,EXP(-LEEME!$B$19*SQRT((Coordenadas!$C$60-Coordenadas!$C$168)^2+(Coordenadas!$D$60-Coordenadas!$D$168)^2)),0)</f>
        <v>0.640662336352609</v>
      </c>
    </row>
    <row r="367" customFormat="false" ht="15" hidden="false" customHeight="false" outlineLevel="0" collapsed="false">
      <c r="A367" s="0" t="s">
        <v>107</v>
      </c>
      <c r="B367" s="0" t="s">
        <v>274</v>
      </c>
      <c r="C367" s="17" t="n">
        <f aca="false">IF(SQRT((Coordenadas!$C$60-Coordenadas!$C$169)^2+(Coordenadas!$D$60-Coordenadas!$D$169)^2)&lt;=LEEME!$B$20,EXP(-LEEME!$B$19*SQRT((Coordenadas!$C$60-Coordenadas!$C$169)^2+(Coordenadas!$D$60-Coordenadas!$D$169)^2)),0)</f>
        <v>0.70597616183084</v>
      </c>
    </row>
    <row r="368" customFormat="false" ht="15" hidden="false" customHeight="false" outlineLevel="0" collapsed="false">
      <c r="A368" s="0" t="s">
        <v>107</v>
      </c>
      <c r="B368" s="0" t="s">
        <v>275</v>
      </c>
      <c r="C368" s="17" t="n">
        <f aca="false">IF(SQRT((Coordenadas!$C$60-Coordenadas!$C$170)^2+(Coordenadas!$D$60-Coordenadas!$D$170)^2)&lt;=LEEME!$B$20,EXP(-LEEME!$B$19*SQRT((Coordenadas!$C$60-Coordenadas!$C$170)^2+(Coordenadas!$D$60-Coordenadas!$D$170)^2)),0)</f>
        <v>0.526090992789184</v>
      </c>
    </row>
    <row r="369" customFormat="false" ht="15" hidden="false" customHeight="false" outlineLevel="0" collapsed="false">
      <c r="A369" s="0" t="s">
        <v>107</v>
      </c>
      <c r="B369" s="0" t="s">
        <v>276</v>
      </c>
      <c r="C369" s="17" t="n">
        <f aca="false">IF(SQRT((Coordenadas!$C$60-Coordenadas!$C$171)^2+(Coordenadas!$D$60-Coordenadas!$D$171)^2)&lt;=LEEME!$B$20,EXP(-LEEME!$B$19*SQRT((Coordenadas!$C$60-Coordenadas!$C$171)^2+(Coordenadas!$D$60-Coordenadas!$D$171)^2)),0)</f>
        <v>0.758196864990942</v>
      </c>
    </row>
    <row r="370" customFormat="false" ht="15" hidden="false" customHeight="false" outlineLevel="0" collapsed="false">
      <c r="A370" s="0" t="s">
        <v>107</v>
      </c>
      <c r="B370" s="0" t="s">
        <v>280</v>
      </c>
      <c r="C370" s="17" t="n">
        <f aca="false">IF(SQRT((Coordenadas!$C$60-Coordenadas!$C$175)^2+(Coordenadas!$D$60-Coordenadas!$D$175)^2)&lt;=LEEME!$B$20,EXP(-LEEME!$B$19*SQRT((Coordenadas!$C$60-Coordenadas!$C$175)^2+(Coordenadas!$D$60-Coordenadas!$D$175)^2)),0)</f>
        <v>0.370263025998091</v>
      </c>
    </row>
    <row r="371" customFormat="false" ht="15" hidden="false" customHeight="false" outlineLevel="0" collapsed="false">
      <c r="A371" s="0" t="s">
        <v>107</v>
      </c>
      <c r="B371" s="0" t="s">
        <v>285</v>
      </c>
      <c r="C371" s="17" t="n">
        <f aca="false">IF(SQRT((Coordenadas!$C$60-Coordenadas!$C$180)^2+(Coordenadas!$D$60-Coordenadas!$D$180)^2)&lt;=LEEME!$B$20,EXP(-LEEME!$B$19*SQRT((Coordenadas!$C$60-Coordenadas!$C$180)^2+(Coordenadas!$D$60-Coordenadas!$D$180)^2)),0)</f>
        <v>0.416790570740756</v>
      </c>
    </row>
    <row r="372" customFormat="false" ht="15" hidden="false" customHeight="false" outlineLevel="0" collapsed="false">
      <c r="A372" s="0" t="s">
        <v>108</v>
      </c>
      <c r="B372" s="0" t="s">
        <v>272</v>
      </c>
      <c r="C372" s="17" t="n">
        <f aca="false">IF(SQRT((Coordenadas!$C$61-Coordenadas!$C$167)^2+(Coordenadas!$D$61-Coordenadas!$D$167)^2)&lt;=LEEME!$B$20,EXP(-LEEME!$B$19*SQRT((Coordenadas!$C$61-Coordenadas!$C$167)^2+(Coordenadas!$D$61-Coordenadas!$D$167)^2)),0)</f>
        <v>0.526593302810649</v>
      </c>
    </row>
    <row r="373" customFormat="false" ht="15" hidden="false" customHeight="false" outlineLevel="0" collapsed="false">
      <c r="A373" s="0" t="s">
        <v>108</v>
      </c>
      <c r="B373" s="0" t="s">
        <v>273</v>
      </c>
      <c r="C373" s="17" t="n">
        <f aca="false">IF(SQRT((Coordenadas!$C$61-Coordenadas!$C$168)^2+(Coordenadas!$D$61-Coordenadas!$D$168)^2)&lt;=LEEME!$B$20,EXP(-LEEME!$B$19*SQRT((Coordenadas!$C$61-Coordenadas!$C$168)^2+(Coordenadas!$D$61-Coordenadas!$D$168)^2)),0)</f>
        <v>0.559777734221837</v>
      </c>
    </row>
    <row r="374" customFormat="false" ht="15" hidden="false" customHeight="false" outlineLevel="0" collapsed="false">
      <c r="A374" s="0" t="s">
        <v>108</v>
      </c>
      <c r="B374" s="0" t="s">
        <v>274</v>
      </c>
      <c r="C374" s="17" t="n">
        <f aca="false">IF(SQRT((Coordenadas!$C$61-Coordenadas!$C$169)^2+(Coordenadas!$D$61-Coordenadas!$D$169)^2)&lt;=LEEME!$B$20,EXP(-LEEME!$B$19*SQRT((Coordenadas!$C$61-Coordenadas!$C$169)^2+(Coordenadas!$D$61-Coordenadas!$D$169)^2)),0)</f>
        <v>0.529685277248475</v>
      </c>
    </row>
    <row r="375" customFormat="false" ht="15" hidden="false" customHeight="false" outlineLevel="0" collapsed="false">
      <c r="A375" s="0" t="s">
        <v>108</v>
      </c>
      <c r="B375" s="0" t="s">
        <v>275</v>
      </c>
      <c r="C375" s="17" t="n">
        <f aca="false">IF(SQRT((Coordenadas!$C$61-Coordenadas!$C$170)^2+(Coordenadas!$D$61-Coordenadas!$D$170)^2)&lt;=LEEME!$B$20,EXP(-LEEME!$B$19*SQRT((Coordenadas!$C$61-Coordenadas!$C$170)^2+(Coordenadas!$D$61-Coordenadas!$D$170)^2)),0)</f>
        <v>0.381457561945032</v>
      </c>
    </row>
    <row r="376" customFormat="false" ht="15" hidden="false" customHeight="false" outlineLevel="0" collapsed="false">
      <c r="A376" s="0" t="s">
        <v>108</v>
      </c>
      <c r="B376" s="0" t="s">
        <v>276</v>
      </c>
      <c r="C376" s="17" t="n">
        <f aca="false">IF(SQRT((Coordenadas!$C$61-Coordenadas!$C$171)^2+(Coordenadas!$D$61-Coordenadas!$D$171)^2)&lt;=LEEME!$B$20,EXP(-LEEME!$B$19*SQRT((Coordenadas!$C$61-Coordenadas!$C$171)^2+(Coordenadas!$D$61-Coordenadas!$D$171)^2)),0)</f>
        <v>0.552911119815904</v>
      </c>
    </row>
    <row r="377" customFormat="false" ht="15" hidden="false" customHeight="false" outlineLevel="0" collapsed="false">
      <c r="A377" s="0" t="s">
        <v>108</v>
      </c>
      <c r="B377" s="0" t="s">
        <v>282</v>
      </c>
      <c r="C377" s="17" t="n">
        <f aca="false">IF(SQRT((Coordenadas!$C$61-Coordenadas!$C$177)^2+(Coordenadas!$D$61-Coordenadas!$D$177)^2)&lt;=LEEME!$B$20,EXP(-LEEME!$B$19*SQRT((Coordenadas!$C$61-Coordenadas!$C$177)^2+(Coordenadas!$D$61-Coordenadas!$D$177)^2)),0)</f>
        <v>0.386939587250055</v>
      </c>
    </row>
    <row r="378" customFormat="false" ht="15" hidden="false" customHeight="false" outlineLevel="0" collapsed="false">
      <c r="A378" s="0" t="s">
        <v>109</v>
      </c>
      <c r="B378" s="0" t="s">
        <v>272</v>
      </c>
      <c r="C378" s="17" t="n">
        <f aca="false">IF(SQRT((Coordenadas!$C$62-Coordenadas!$C$167)^2+(Coordenadas!$D$62-Coordenadas!$D$167)^2)&lt;=LEEME!$B$20,EXP(-LEEME!$B$19*SQRT((Coordenadas!$C$62-Coordenadas!$C$167)^2+(Coordenadas!$D$62-Coordenadas!$D$167)^2)),0)</f>
        <v>0.578001507057854</v>
      </c>
    </row>
    <row r="379" customFormat="false" ht="15" hidden="false" customHeight="false" outlineLevel="0" collapsed="false">
      <c r="A379" s="0" t="s">
        <v>109</v>
      </c>
      <c r="B379" s="0" t="s">
        <v>273</v>
      </c>
      <c r="C379" s="17" t="n">
        <f aca="false">IF(SQRT((Coordenadas!$C$62-Coordenadas!$C$168)^2+(Coordenadas!$D$62-Coordenadas!$D$168)^2)&lt;=LEEME!$B$20,EXP(-LEEME!$B$19*SQRT((Coordenadas!$C$62-Coordenadas!$C$168)^2+(Coordenadas!$D$62-Coordenadas!$D$168)^2)),0)</f>
        <v>0.474344373594613</v>
      </c>
    </row>
    <row r="380" customFormat="false" ht="15" hidden="false" customHeight="false" outlineLevel="0" collapsed="false">
      <c r="A380" s="0" t="s">
        <v>109</v>
      </c>
      <c r="B380" s="0" t="s">
        <v>274</v>
      </c>
      <c r="C380" s="17" t="n">
        <f aca="false">IF(SQRT((Coordenadas!$C$62-Coordenadas!$C$169)^2+(Coordenadas!$D$62-Coordenadas!$D$169)^2)&lt;=LEEME!$B$20,EXP(-LEEME!$B$19*SQRT((Coordenadas!$C$62-Coordenadas!$C$169)^2+(Coordenadas!$D$62-Coordenadas!$D$169)^2)),0)</f>
        <v>0.416006360017852</v>
      </c>
    </row>
    <row r="381" customFormat="false" ht="15" hidden="false" customHeight="false" outlineLevel="0" collapsed="false">
      <c r="A381" s="0" t="s">
        <v>109</v>
      </c>
      <c r="B381" s="0" t="s">
        <v>276</v>
      </c>
      <c r="C381" s="17" t="n">
        <f aca="false">IF(SQRT((Coordenadas!$C$62-Coordenadas!$C$171)^2+(Coordenadas!$D$62-Coordenadas!$D$171)^2)&lt;=LEEME!$B$20,EXP(-LEEME!$B$19*SQRT((Coordenadas!$C$62-Coordenadas!$C$171)^2+(Coordenadas!$D$62-Coordenadas!$D$171)^2)),0)</f>
        <v>0.426906464266027</v>
      </c>
    </row>
    <row r="382" customFormat="false" ht="15" hidden="false" customHeight="false" outlineLevel="0" collapsed="false">
      <c r="A382" s="0" t="s">
        <v>109</v>
      </c>
      <c r="B382" s="0" t="s">
        <v>282</v>
      </c>
      <c r="C382" s="17" t="n">
        <f aca="false">IF(SQRT((Coordenadas!$C$62-Coordenadas!$C$177)^2+(Coordenadas!$D$62-Coordenadas!$D$177)^2)&lt;=LEEME!$B$20,EXP(-LEEME!$B$19*SQRT((Coordenadas!$C$62-Coordenadas!$C$177)^2+(Coordenadas!$D$62-Coordenadas!$D$177)^2)),0)</f>
        <v>0.387306717083609</v>
      </c>
    </row>
    <row r="383" customFormat="false" ht="15" hidden="false" customHeight="false" outlineLevel="0" collapsed="false">
      <c r="A383" s="0" t="s">
        <v>110</v>
      </c>
      <c r="B383" s="0" t="s">
        <v>272</v>
      </c>
      <c r="C383" s="17" t="n">
        <f aca="false">IF(SQRT((Coordenadas!$C$63-Coordenadas!$C$167)^2+(Coordenadas!$D$63-Coordenadas!$D$167)^2)&lt;=LEEME!$B$20,EXP(-LEEME!$B$19*SQRT((Coordenadas!$C$63-Coordenadas!$C$167)^2+(Coordenadas!$D$63-Coordenadas!$D$167)^2)),0)</f>
        <v>0.458406011305224</v>
      </c>
    </row>
    <row r="384" customFormat="false" ht="15" hidden="false" customHeight="false" outlineLevel="0" collapsed="false">
      <c r="A384" s="0" t="s">
        <v>110</v>
      </c>
      <c r="B384" s="0" t="s">
        <v>273</v>
      </c>
      <c r="C384" s="17" t="n">
        <f aca="false">IF(SQRT((Coordenadas!$C$63-Coordenadas!$C$168)^2+(Coordenadas!$D$63-Coordenadas!$D$168)^2)&lt;=LEEME!$B$20,EXP(-LEEME!$B$19*SQRT((Coordenadas!$C$63-Coordenadas!$C$168)^2+(Coordenadas!$D$63-Coordenadas!$D$168)^2)),0)</f>
        <v>0.377458512636584</v>
      </c>
    </row>
    <row r="385" customFormat="false" ht="15" hidden="false" customHeight="false" outlineLevel="0" collapsed="false">
      <c r="A385" s="0" t="s">
        <v>110</v>
      </c>
      <c r="B385" s="0" t="s">
        <v>279</v>
      </c>
      <c r="C385" s="17" t="n">
        <f aca="false">IF(SQRT((Coordenadas!$C$63-Coordenadas!$C$174)^2+(Coordenadas!$D$63-Coordenadas!$D$174)^2)&lt;=LEEME!$B$20,EXP(-LEEME!$B$19*SQRT((Coordenadas!$C$63-Coordenadas!$C$174)^2+(Coordenadas!$D$63-Coordenadas!$D$174)^2)),0)</f>
        <v>0.455112670068806</v>
      </c>
    </row>
    <row r="386" customFormat="false" ht="15" hidden="false" customHeight="false" outlineLevel="0" collapsed="false">
      <c r="A386" s="0" t="s">
        <v>110</v>
      </c>
      <c r="B386" s="0" t="s">
        <v>282</v>
      </c>
      <c r="C386" s="17" t="n">
        <f aca="false">IF(SQRT((Coordenadas!$C$63-Coordenadas!$C$177)^2+(Coordenadas!$D$63-Coordenadas!$D$177)^2)&lt;=LEEME!$B$20,EXP(-LEEME!$B$19*SQRT((Coordenadas!$C$63-Coordenadas!$C$177)^2+(Coordenadas!$D$63-Coordenadas!$D$177)^2)),0)</f>
        <v>0.478691606228104</v>
      </c>
    </row>
    <row r="387" customFormat="false" ht="15" hidden="false" customHeight="false" outlineLevel="0" collapsed="false">
      <c r="A387" s="0" t="s">
        <v>110</v>
      </c>
      <c r="B387" s="0" t="s">
        <v>286</v>
      </c>
      <c r="C387" s="17" t="n">
        <f aca="false">IF(SQRT((Coordenadas!$C$63-Coordenadas!$C$181)^2+(Coordenadas!$D$63-Coordenadas!$D$181)^2)&lt;=LEEME!$B$20,EXP(-LEEME!$B$19*SQRT((Coordenadas!$C$63-Coordenadas!$C$181)^2+(Coordenadas!$D$63-Coordenadas!$D$181)^2)),0)</f>
        <v>0.414688665716812</v>
      </c>
    </row>
    <row r="388" customFormat="false" ht="15" hidden="false" customHeight="false" outlineLevel="0" collapsed="false">
      <c r="A388" s="0" t="s">
        <v>111</v>
      </c>
      <c r="B388" s="0" t="s">
        <v>272</v>
      </c>
      <c r="C388" s="17" t="n">
        <f aca="false">IF(SQRT((Coordenadas!$C$64-Coordenadas!$C$167)^2+(Coordenadas!$D$64-Coordenadas!$D$167)^2)&lt;=LEEME!$B$20,EXP(-LEEME!$B$19*SQRT((Coordenadas!$C$64-Coordenadas!$C$167)^2+(Coordenadas!$D$64-Coordenadas!$D$167)^2)),0)</f>
        <v>0.450561392006106</v>
      </c>
    </row>
    <row r="389" customFormat="false" ht="15" hidden="false" customHeight="false" outlineLevel="0" collapsed="false">
      <c r="A389" s="0" t="s">
        <v>111</v>
      </c>
      <c r="B389" s="0" t="s">
        <v>279</v>
      </c>
      <c r="C389" s="17" t="n">
        <f aca="false">IF(SQRT((Coordenadas!$C$64-Coordenadas!$C$174)^2+(Coordenadas!$D$64-Coordenadas!$D$174)^2)&lt;=LEEME!$B$20,EXP(-LEEME!$B$19*SQRT((Coordenadas!$C$64-Coordenadas!$C$174)^2+(Coordenadas!$D$64-Coordenadas!$D$174)^2)),0)</f>
        <v>0.509647306098901</v>
      </c>
    </row>
    <row r="390" customFormat="false" ht="15" hidden="false" customHeight="false" outlineLevel="0" collapsed="false">
      <c r="A390" s="0" t="s">
        <v>111</v>
      </c>
      <c r="B390" s="0" t="s">
        <v>282</v>
      </c>
      <c r="C390" s="17" t="n">
        <f aca="false">IF(SQRT((Coordenadas!$C$64-Coordenadas!$C$177)^2+(Coordenadas!$D$64-Coordenadas!$D$177)^2)&lt;=LEEME!$B$20,EXP(-LEEME!$B$19*SQRT((Coordenadas!$C$64-Coordenadas!$C$177)^2+(Coordenadas!$D$64-Coordenadas!$D$177)^2)),0)</f>
        <v>0.381739784309369</v>
      </c>
    </row>
    <row r="391" customFormat="false" ht="15" hidden="false" customHeight="false" outlineLevel="0" collapsed="false">
      <c r="A391" s="0" t="s">
        <v>112</v>
      </c>
      <c r="B391" s="0" t="s">
        <v>272</v>
      </c>
      <c r="C391" s="17" t="n">
        <f aca="false">IF(SQRT((Coordenadas!$C$65-Coordenadas!$C$167)^2+(Coordenadas!$D$65-Coordenadas!$D$167)^2)&lt;=LEEME!$B$20,EXP(-LEEME!$B$19*SQRT((Coordenadas!$C$65-Coordenadas!$C$167)^2+(Coordenadas!$D$65-Coordenadas!$D$167)^2)),0)</f>
        <v>0.380490348018757</v>
      </c>
    </row>
    <row r="392" customFormat="false" ht="15" hidden="false" customHeight="false" outlineLevel="0" collapsed="false">
      <c r="A392" s="0" t="s">
        <v>112</v>
      </c>
      <c r="B392" s="0" t="s">
        <v>279</v>
      </c>
      <c r="C392" s="17" t="n">
        <f aca="false">IF(SQRT((Coordenadas!$C$65-Coordenadas!$C$174)^2+(Coordenadas!$D$65-Coordenadas!$D$174)^2)&lt;=LEEME!$B$20,EXP(-LEEME!$B$19*SQRT((Coordenadas!$C$65-Coordenadas!$C$174)^2+(Coordenadas!$D$65-Coordenadas!$D$174)^2)),0)</f>
        <v>0.607366364463302</v>
      </c>
    </row>
    <row r="393" customFormat="false" ht="15" hidden="false" customHeight="false" outlineLevel="0" collapsed="false">
      <c r="A393" s="0" t="s">
        <v>112</v>
      </c>
      <c r="B393" s="0" t="s">
        <v>282</v>
      </c>
      <c r="C393" s="17" t="n">
        <f aca="false">IF(SQRT((Coordenadas!$C$65-Coordenadas!$C$177)^2+(Coordenadas!$D$65-Coordenadas!$D$177)^2)&lt;=LEEME!$B$20,EXP(-LEEME!$B$19*SQRT((Coordenadas!$C$65-Coordenadas!$C$177)^2+(Coordenadas!$D$65-Coordenadas!$D$177)^2)),0)</f>
        <v>0.450004097318462</v>
      </c>
    </row>
    <row r="394" customFormat="false" ht="15" hidden="false" customHeight="false" outlineLevel="0" collapsed="false">
      <c r="A394" s="0" t="s">
        <v>112</v>
      </c>
      <c r="B394" s="0" t="s">
        <v>286</v>
      </c>
      <c r="C394" s="17" t="n">
        <f aca="false">IF(SQRT((Coordenadas!$C$65-Coordenadas!$C$181)^2+(Coordenadas!$D$65-Coordenadas!$D$181)^2)&lt;=LEEME!$B$20,EXP(-LEEME!$B$19*SQRT((Coordenadas!$C$65-Coordenadas!$C$181)^2+(Coordenadas!$D$65-Coordenadas!$D$181)^2)),0)</f>
        <v>0.383187266353594</v>
      </c>
    </row>
    <row r="395" customFormat="false" ht="15" hidden="false" customHeight="false" outlineLevel="0" collapsed="false">
      <c r="A395" s="0" t="s">
        <v>113</v>
      </c>
      <c r="B395" s="0" t="s">
        <v>272</v>
      </c>
      <c r="C395" s="17" t="n">
        <f aca="false">IF(SQRT((Coordenadas!$C$66-Coordenadas!$C$167)^2+(Coordenadas!$D$66-Coordenadas!$D$167)^2)&lt;=LEEME!$B$20,EXP(-LEEME!$B$19*SQRT((Coordenadas!$C$66-Coordenadas!$C$167)^2+(Coordenadas!$D$66-Coordenadas!$D$167)^2)),0)</f>
        <v>0.440404800734424</v>
      </c>
    </row>
    <row r="396" customFormat="false" ht="15" hidden="false" customHeight="false" outlineLevel="0" collapsed="false">
      <c r="A396" s="0" t="s">
        <v>113</v>
      </c>
      <c r="B396" s="0" t="s">
        <v>273</v>
      </c>
      <c r="C396" s="17" t="n">
        <f aca="false">IF(SQRT((Coordenadas!$C$66-Coordenadas!$C$168)^2+(Coordenadas!$D$66-Coordenadas!$D$168)^2)&lt;=LEEME!$B$20,EXP(-LEEME!$B$19*SQRT((Coordenadas!$C$66-Coordenadas!$C$168)^2+(Coordenadas!$D$66-Coordenadas!$D$168)^2)),0)</f>
        <v>0.452599168119134</v>
      </c>
    </row>
    <row r="397" customFormat="false" ht="15" hidden="false" customHeight="false" outlineLevel="0" collapsed="false">
      <c r="A397" s="0" t="s">
        <v>113</v>
      </c>
      <c r="B397" s="0" t="s">
        <v>274</v>
      </c>
      <c r="C397" s="17" t="n">
        <f aca="false">IF(SQRT((Coordenadas!$C$66-Coordenadas!$C$169)^2+(Coordenadas!$D$66-Coordenadas!$D$169)^2)&lt;=LEEME!$B$20,EXP(-LEEME!$B$19*SQRT((Coordenadas!$C$66-Coordenadas!$C$169)^2+(Coordenadas!$D$66-Coordenadas!$D$169)^2)),0)</f>
        <v>0.447060159056472</v>
      </c>
    </row>
    <row r="398" customFormat="false" ht="15" hidden="false" customHeight="false" outlineLevel="0" collapsed="false">
      <c r="A398" s="0" t="s">
        <v>113</v>
      </c>
      <c r="B398" s="0" t="s">
        <v>276</v>
      </c>
      <c r="C398" s="17" t="n">
        <f aca="false">IF(SQRT((Coordenadas!$C$66-Coordenadas!$C$171)^2+(Coordenadas!$D$66-Coordenadas!$D$171)^2)&lt;=LEEME!$B$20,EXP(-LEEME!$B$19*SQRT((Coordenadas!$C$66-Coordenadas!$C$171)^2+(Coordenadas!$D$66-Coordenadas!$D$171)^2)),0)</f>
        <v>0.476333660196133</v>
      </c>
    </row>
    <row r="399" customFormat="false" ht="15" hidden="false" customHeight="false" outlineLevel="0" collapsed="false">
      <c r="A399" s="0" t="s">
        <v>113</v>
      </c>
      <c r="B399" s="0" t="s">
        <v>282</v>
      </c>
      <c r="C399" s="17" t="n">
        <f aca="false">IF(SQRT((Coordenadas!$C$66-Coordenadas!$C$177)^2+(Coordenadas!$D$66-Coordenadas!$D$177)^2)&lt;=LEEME!$B$20,EXP(-LEEME!$B$19*SQRT((Coordenadas!$C$66-Coordenadas!$C$177)^2+(Coordenadas!$D$66-Coordenadas!$D$177)^2)),0)</f>
        <v>0.481933747195993</v>
      </c>
    </row>
    <row r="400" customFormat="false" ht="15" hidden="false" customHeight="false" outlineLevel="0" collapsed="false">
      <c r="A400" s="0" t="s">
        <v>113</v>
      </c>
      <c r="B400" s="0" t="s">
        <v>285</v>
      </c>
      <c r="C400" s="17" t="n">
        <f aca="false">IF(SQRT((Coordenadas!$C$66-Coordenadas!$C$180)^2+(Coordenadas!$D$66-Coordenadas!$D$180)^2)&lt;=LEEME!$B$20,EXP(-LEEME!$B$19*SQRT((Coordenadas!$C$66-Coordenadas!$C$180)^2+(Coordenadas!$D$66-Coordenadas!$D$180)^2)),0)</f>
        <v>0.407787563214744</v>
      </c>
    </row>
    <row r="401" customFormat="false" ht="15" hidden="false" customHeight="false" outlineLevel="0" collapsed="false">
      <c r="A401" s="0" t="s">
        <v>113</v>
      </c>
      <c r="B401" s="0" t="s">
        <v>286</v>
      </c>
      <c r="C401" s="17" t="n">
        <f aca="false">IF(SQRT((Coordenadas!$C$66-Coordenadas!$C$181)^2+(Coordenadas!$D$66-Coordenadas!$D$181)^2)&lt;=LEEME!$B$20,EXP(-LEEME!$B$19*SQRT((Coordenadas!$C$66-Coordenadas!$C$181)^2+(Coordenadas!$D$66-Coordenadas!$D$181)^2)),0)</f>
        <v>0.435105891468292</v>
      </c>
    </row>
    <row r="402" customFormat="false" ht="15" hidden="false" customHeight="false" outlineLevel="0" collapsed="false">
      <c r="A402" s="0" t="s">
        <v>114</v>
      </c>
      <c r="B402" s="0" t="s">
        <v>272</v>
      </c>
      <c r="C402" s="17" t="n">
        <f aca="false">IF(SQRT((Coordenadas!$C$67-Coordenadas!$C$167)^2+(Coordenadas!$D$67-Coordenadas!$D$167)^2)&lt;=LEEME!$B$20,EXP(-LEEME!$B$19*SQRT((Coordenadas!$C$67-Coordenadas!$C$167)^2+(Coordenadas!$D$67-Coordenadas!$D$167)^2)),0)</f>
        <v>0.477105856324403</v>
      </c>
    </row>
    <row r="403" customFormat="false" ht="15" hidden="false" customHeight="false" outlineLevel="0" collapsed="false">
      <c r="A403" s="0" t="s">
        <v>114</v>
      </c>
      <c r="B403" s="0" t="s">
        <v>279</v>
      </c>
      <c r="C403" s="17" t="n">
        <f aca="false">IF(SQRT((Coordenadas!$C$67-Coordenadas!$C$174)^2+(Coordenadas!$D$67-Coordenadas!$D$174)^2)&lt;=LEEME!$B$20,EXP(-LEEME!$B$19*SQRT((Coordenadas!$C$67-Coordenadas!$C$174)^2+(Coordenadas!$D$67-Coordenadas!$D$174)^2)),0)</f>
        <v>0.479212096150953</v>
      </c>
    </row>
    <row r="404" customFormat="false" ht="15" hidden="false" customHeight="false" outlineLevel="0" collapsed="false">
      <c r="A404" s="0" t="s">
        <v>114</v>
      </c>
      <c r="B404" s="0" t="s">
        <v>282</v>
      </c>
      <c r="C404" s="17" t="n">
        <f aca="false">IF(SQRT((Coordenadas!$C$67-Coordenadas!$C$177)^2+(Coordenadas!$D$67-Coordenadas!$D$177)^2)&lt;=LEEME!$B$20,EXP(-LEEME!$B$19*SQRT((Coordenadas!$C$67-Coordenadas!$C$177)^2+(Coordenadas!$D$67-Coordenadas!$D$177)^2)),0)</f>
        <v>0.42117937020589</v>
      </c>
    </row>
    <row r="405" customFormat="false" ht="15" hidden="false" customHeight="false" outlineLevel="0" collapsed="false">
      <c r="A405" s="0" t="s">
        <v>115</v>
      </c>
      <c r="B405" s="0" t="s">
        <v>270</v>
      </c>
      <c r="C405" s="17" t="n">
        <f aca="false">IF(SQRT((Coordenadas!$C$68-Coordenadas!$C$165)^2+(Coordenadas!$D$68-Coordenadas!$D$165)^2)&lt;=LEEME!$B$20,EXP(-LEEME!$B$19*SQRT((Coordenadas!$C$68-Coordenadas!$C$165)^2+(Coordenadas!$D$68-Coordenadas!$D$165)^2)),0)</f>
        <v>0.442090182077868</v>
      </c>
    </row>
    <row r="406" customFormat="false" ht="15" hidden="false" customHeight="false" outlineLevel="0" collapsed="false">
      <c r="A406" s="0" t="s">
        <v>115</v>
      </c>
      <c r="B406" s="0" t="s">
        <v>271</v>
      </c>
      <c r="C406" s="17" t="n">
        <f aca="false">IF(SQRT((Coordenadas!$C$68-Coordenadas!$C$166)^2+(Coordenadas!$D$68-Coordenadas!$D$166)^2)&lt;=LEEME!$B$20,EXP(-LEEME!$B$19*SQRT((Coordenadas!$C$68-Coordenadas!$C$166)^2+(Coordenadas!$D$68-Coordenadas!$D$166)^2)),0)</f>
        <v>0.460592351276797</v>
      </c>
    </row>
    <row r="407" customFormat="false" ht="15" hidden="false" customHeight="false" outlineLevel="0" collapsed="false">
      <c r="A407" s="0" t="s">
        <v>115</v>
      </c>
      <c r="B407" s="0" t="s">
        <v>272</v>
      </c>
      <c r="C407" s="17" t="n">
        <f aca="false">IF(SQRT((Coordenadas!$C$68-Coordenadas!$C$167)^2+(Coordenadas!$D$68-Coordenadas!$D$167)^2)&lt;=LEEME!$B$20,EXP(-LEEME!$B$19*SQRT((Coordenadas!$C$68-Coordenadas!$C$167)^2+(Coordenadas!$D$68-Coordenadas!$D$167)^2)),0)</f>
        <v>0.60526093983443</v>
      </c>
    </row>
    <row r="408" customFormat="false" ht="15" hidden="false" customHeight="false" outlineLevel="0" collapsed="false">
      <c r="A408" s="0" t="s">
        <v>115</v>
      </c>
      <c r="B408" s="0" t="s">
        <v>273</v>
      </c>
      <c r="C408" s="17" t="n">
        <f aca="false">IF(SQRT((Coordenadas!$C$68-Coordenadas!$C$168)^2+(Coordenadas!$D$68-Coordenadas!$D$168)^2)&lt;=LEEME!$B$20,EXP(-LEEME!$B$19*SQRT((Coordenadas!$C$68-Coordenadas!$C$168)^2+(Coordenadas!$D$68-Coordenadas!$D$168)^2)),0)</f>
        <v>0.79324377466254</v>
      </c>
    </row>
    <row r="409" customFormat="false" ht="15" hidden="false" customHeight="false" outlineLevel="0" collapsed="false">
      <c r="A409" s="0" t="s">
        <v>115</v>
      </c>
      <c r="B409" s="0" t="s">
        <v>274</v>
      </c>
      <c r="C409" s="17" t="n">
        <f aca="false">IF(SQRT((Coordenadas!$C$68-Coordenadas!$C$169)^2+(Coordenadas!$D$68-Coordenadas!$D$169)^2)&lt;=LEEME!$B$20,EXP(-LEEME!$B$19*SQRT((Coordenadas!$C$68-Coordenadas!$C$169)^2+(Coordenadas!$D$68-Coordenadas!$D$169)^2)),0)</f>
        <v>0.670047921913818</v>
      </c>
    </row>
    <row r="410" customFormat="false" ht="15" hidden="false" customHeight="false" outlineLevel="0" collapsed="false">
      <c r="A410" s="0" t="s">
        <v>115</v>
      </c>
      <c r="B410" s="0" t="s">
        <v>275</v>
      </c>
      <c r="C410" s="17" t="n">
        <f aca="false">IF(SQRT((Coordenadas!$C$68-Coordenadas!$C$170)^2+(Coordenadas!$D$68-Coordenadas!$D$170)^2)&lt;=LEEME!$B$20,EXP(-LEEME!$B$19*SQRT((Coordenadas!$C$68-Coordenadas!$C$170)^2+(Coordenadas!$D$68-Coordenadas!$D$170)^2)),0)</f>
        <v>0.47091530470558</v>
      </c>
    </row>
    <row r="411" customFormat="false" ht="15" hidden="false" customHeight="false" outlineLevel="0" collapsed="false">
      <c r="A411" s="0" t="s">
        <v>115</v>
      </c>
      <c r="B411" s="0" t="s">
        <v>276</v>
      </c>
      <c r="C411" s="17" t="n">
        <f aca="false">IF(SQRT((Coordenadas!$C$68-Coordenadas!$C$171)^2+(Coordenadas!$D$68-Coordenadas!$D$171)^2)&lt;=LEEME!$B$20,EXP(-LEEME!$B$19*SQRT((Coordenadas!$C$68-Coordenadas!$C$171)^2+(Coordenadas!$D$68-Coordenadas!$D$171)^2)),0)</f>
        <v>0.657497105346558</v>
      </c>
    </row>
    <row r="412" customFormat="false" ht="15" hidden="false" customHeight="false" outlineLevel="0" collapsed="false">
      <c r="A412" s="0" t="s">
        <v>116</v>
      </c>
      <c r="B412" s="0" t="s">
        <v>272</v>
      </c>
      <c r="C412" s="17" t="n">
        <f aca="false">IF(SQRT((Coordenadas!$C$69-Coordenadas!$C$167)^2+(Coordenadas!$D$69-Coordenadas!$D$167)^2)&lt;=LEEME!$B$20,EXP(-LEEME!$B$19*SQRT((Coordenadas!$C$69-Coordenadas!$C$167)^2+(Coordenadas!$D$69-Coordenadas!$D$167)^2)),0)</f>
        <v>0.668236659556483</v>
      </c>
    </row>
    <row r="413" customFormat="false" ht="15" hidden="false" customHeight="false" outlineLevel="0" collapsed="false">
      <c r="A413" s="0" t="s">
        <v>116</v>
      </c>
      <c r="B413" s="0" t="s">
        <v>273</v>
      </c>
      <c r="C413" s="17" t="n">
        <f aca="false">IF(SQRT((Coordenadas!$C$69-Coordenadas!$C$168)^2+(Coordenadas!$D$69-Coordenadas!$D$168)^2)&lt;=LEEME!$B$20,EXP(-LEEME!$B$19*SQRT((Coordenadas!$C$69-Coordenadas!$C$168)^2+(Coordenadas!$D$69-Coordenadas!$D$168)^2)),0)</f>
        <v>0.43743318676585</v>
      </c>
    </row>
    <row r="414" customFormat="false" ht="15" hidden="false" customHeight="false" outlineLevel="0" collapsed="false">
      <c r="A414" s="0" t="s">
        <v>117</v>
      </c>
      <c r="B414" s="0" t="s">
        <v>270</v>
      </c>
      <c r="C414" s="17" t="n">
        <f aca="false">IF(SQRT((Coordenadas!$C$70-Coordenadas!$C$165)^2+(Coordenadas!$D$70-Coordenadas!$D$165)^2)&lt;=LEEME!$B$20,EXP(-LEEME!$B$19*SQRT((Coordenadas!$C$70-Coordenadas!$C$165)^2+(Coordenadas!$D$70-Coordenadas!$D$165)^2)),0)</f>
        <v>0.374222828440343</v>
      </c>
    </row>
    <row r="415" customFormat="false" ht="15" hidden="false" customHeight="false" outlineLevel="0" collapsed="false">
      <c r="A415" s="0" t="s">
        <v>117</v>
      </c>
      <c r="B415" s="0" t="s">
        <v>272</v>
      </c>
      <c r="C415" s="17" t="n">
        <f aca="false">IF(SQRT((Coordenadas!$C$70-Coordenadas!$C$167)^2+(Coordenadas!$D$70-Coordenadas!$D$167)^2)&lt;=LEEME!$B$20,EXP(-LEEME!$B$19*SQRT((Coordenadas!$C$70-Coordenadas!$C$167)^2+(Coordenadas!$D$70-Coordenadas!$D$167)^2)),0)</f>
        <v>0.721833973408811</v>
      </c>
    </row>
    <row r="416" customFormat="false" ht="15" hidden="false" customHeight="false" outlineLevel="0" collapsed="false">
      <c r="A416" s="0" t="s">
        <v>117</v>
      </c>
      <c r="B416" s="0" t="s">
        <v>273</v>
      </c>
      <c r="C416" s="17" t="n">
        <f aca="false">IF(SQRT((Coordenadas!$C$70-Coordenadas!$C$168)^2+(Coordenadas!$D$70-Coordenadas!$D$168)^2)&lt;=LEEME!$B$20,EXP(-LEEME!$B$19*SQRT((Coordenadas!$C$70-Coordenadas!$C$168)^2+(Coordenadas!$D$70-Coordenadas!$D$168)^2)),0)</f>
        <v>0.589942035349933</v>
      </c>
    </row>
    <row r="417" customFormat="false" ht="15" hidden="false" customHeight="false" outlineLevel="0" collapsed="false">
      <c r="A417" s="0" t="s">
        <v>117</v>
      </c>
      <c r="B417" s="0" t="s">
        <v>274</v>
      </c>
      <c r="C417" s="17" t="n">
        <f aca="false">IF(SQRT((Coordenadas!$C$70-Coordenadas!$C$169)^2+(Coordenadas!$D$70-Coordenadas!$D$169)^2)&lt;=LEEME!$B$20,EXP(-LEEME!$B$19*SQRT((Coordenadas!$C$70-Coordenadas!$C$169)^2+(Coordenadas!$D$70-Coordenadas!$D$169)^2)),0)</f>
        <v>0.484491645974538</v>
      </c>
    </row>
    <row r="418" customFormat="false" ht="15" hidden="false" customHeight="false" outlineLevel="0" collapsed="false">
      <c r="A418" s="0" t="s">
        <v>117</v>
      </c>
      <c r="B418" s="0" t="s">
        <v>276</v>
      </c>
      <c r="C418" s="17" t="n">
        <f aca="false">IF(SQRT((Coordenadas!$C$70-Coordenadas!$C$171)^2+(Coordenadas!$D$70-Coordenadas!$D$171)^2)&lt;=LEEME!$B$20,EXP(-LEEME!$B$19*SQRT((Coordenadas!$C$70-Coordenadas!$C$171)^2+(Coordenadas!$D$70-Coordenadas!$D$171)^2)),0)</f>
        <v>0.482297198107361</v>
      </c>
    </row>
    <row r="419" customFormat="false" ht="15" hidden="false" customHeight="false" outlineLevel="0" collapsed="false">
      <c r="A419" s="0" t="s">
        <v>118</v>
      </c>
      <c r="B419" s="0" t="s">
        <v>272</v>
      </c>
      <c r="C419" s="17" t="n">
        <f aca="false">IF(SQRT((Coordenadas!$C$71-Coordenadas!$C$167)^2+(Coordenadas!$D$71-Coordenadas!$D$167)^2)&lt;=LEEME!$B$20,EXP(-LEEME!$B$19*SQRT((Coordenadas!$C$71-Coordenadas!$C$167)^2+(Coordenadas!$D$71-Coordenadas!$D$167)^2)),0)</f>
        <v>0.566258456249116</v>
      </c>
    </row>
    <row r="420" customFormat="false" ht="15" hidden="false" customHeight="false" outlineLevel="0" collapsed="false">
      <c r="A420" s="0" t="s">
        <v>118</v>
      </c>
      <c r="B420" s="0" t="s">
        <v>279</v>
      </c>
      <c r="C420" s="17" t="n">
        <f aca="false">IF(SQRT((Coordenadas!$C$71-Coordenadas!$C$174)^2+(Coordenadas!$D$71-Coordenadas!$D$174)^2)&lt;=LEEME!$B$20,EXP(-LEEME!$B$19*SQRT((Coordenadas!$C$71-Coordenadas!$C$174)^2+(Coordenadas!$D$71-Coordenadas!$D$174)^2)),0)</f>
        <v>0.392711870748247</v>
      </c>
    </row>
    <row r="421" customFormat="false" ht="15" hidden="false" customHeight="false" outlineLevel="0" collapsed="false">
      <c r="A421" s="0" t="s">
        <v>119</v>
      </c>
      <c r="B421" s="0" t="s">
        <v>270</v>
      </c>
      <c r="C421" s="17" t="n">
        <f aca="false">IF(SQRT((Coordenadas!$C$72-Coordenadas!$C$165)^2+(Coordenadas!$D$72-Coordenadas!$D$165)^2)&lt;=LEEME!$B$20,EXP(-LEEME!$B$19*SQRT((Coordenadas!$C$72-Coordenadas!$C$165)^2+(Coordenadas!$D$72-Coordenadas!$D$165)^2)),0)</f>
        <v>0.541521868398682</v>
      </c>
    </row>
    <row r="422" customFormat="false" ht="15" hidden="false" customHeight="false" outlineLevel="0" collapsed="false">
      <c r="A422" s="0" t="s">
        <v>119</v>
      </c>
      <c r="B422" s="0" t="s">
        <v>271</v>
      </c>
      <c r="C422" s="17" t="n">
        <f aca="false">IF(SQRT((Coordenadas!$C$72-Coordenadas!$C$166)^2+(Coordenadas!$D$72-Coordenadas!$D$166)^2)&lt;=LEEME!$B$20,EXP(-LEEME!$B$19*SQRT((Coordenadas!$C$72-Coordenadas!$C$166)^2+(Coordenadas!$D$72-Coordenadas!$D$166)^2)),0)</f>
        <v>0.43572776447987</v>
      </c>
    </row>
    <row r="423" customFormat="false" ht="15" hidden="false" customHeight="false" outlineLevel="0" collapsed="false">
      <c r="A423" s="0" t="s">
        <v>119</v>
      </c>
      <c r="B423" s="0" t="s">
        <v>272</v>
      </c>
      <c r="C423" s="17" t="n">
        <f aca="false">IF(SQRT((Coordenadas!$C$72-Coordenadas!$C$167)^2+(Coordenadas!$D$72-Coordenadas!$D$167)^2)&lt;=LEEME!$B$20,EXP(-LEEME!$B$19*SQRT((Coordenadas!$C$72-Coordenadas!$C$167)^2+(Coordenadas!$D$72-Coordenadas!$D$167)^2)),0)</f>
        <v>0.818067149185081</v>
      </c>
    </row>
    <row r="424" customFormat="false" ht="15" hidden="false" customHeight="false" outlineLevel="0" collapsed="false">
      <c r="A424" s="0" t="s">
        <v>119</v>
      </c>
      <c r="B424" s="0" t="s">
        <v>273</v>
      </c>
      <c r="C424" s="17" t="n">
        <f aca="false">IF(SQRT((Coordenadas!$C$72-Coordenadas!$C$168)^2+(Coordenadas!$D$72-Coordenadas!$D$168)^2)&lt;=LEEME!$B$20,EXP(-LEEME!$B$19*SQRT((Coordenadas!$C$72-Coordenadas!$C$168)^2+(Coordenadas!$D$72-Coordenadas!$D$168)^2)),0)</f>
        <v>0.628270233791846</v>
      </c>
    </row>
    <row r="425" customFormat="false" ht="15" hidden="false" customHeight="false" outlineLevel="0" collapsed="false">
      <c r="A425" s="0" t="s">
        <v>119</v>
      </c>
      <c r="B425" s="0" t="s">
        <v>274</v>
      </c>
      <c r="C425" s="17" t="n">
        <f aca="false">IF(SQRT((Coordenadas!$C$72-Coordenadas!$C$169)^2+(Coordenadas!$D$72-Coordenadas!$D$169)^2)&lt;=LEEME!$B$20,EXP(-LEEME!$B$19*SQRT((Coordenadas!$C$72-Coordenadas!$C$169)^2+(Coordenadas!$D$72-Coordenadas!$D$169)^2)),0)</f>
        <v>0.465935503284186</v>
      </c>
    </row>
    <row r="426" customFormat="false" ht="15" hidden="false" customHeight="false" outlineLevel="0" collapsed="false">
      <c r="A426" s="0" t="s">
        <v>119</v>
      </c>
      <c r="B426" s="0" t="s">
        <v>276</v>
      </c>
      <c r="C426" s="17" t="n">
        <f aca="false">IF(SQRT((Coordenadas!$C$72-Coordenadas!$C$171)^2+(Coordenadas!$D$72-Coordenadas!$D$171)^2)&lt;=LEEME!$B$20,EXP(-LEEME!$B$19*SQRT((Coordenadas!$C$72-Coordenadas!$C$171)^2+(Coordenadas!$D$72-Coordenadas!$D$171)^2)),0)</f>
        <v>0.438401060151034</v>
      </c>
    </row>
    <row r="427" customFormat="false" ht="15" hidden="false" customHeight="false" outlineLevel="0" collapsed="false">
      <c r="A427" s="0" t="s">
        <v>120</v>
      </c>
      <c r="B427" s="0" t="s">
        <v>270</v>
      </c>
      <c r="C427" s="17" t="n">
        <f aca="false">IF(SQRT((Coordenadas!$C$73-Coordenadas!$C$165)^2+(Coordenadas!$D$73-Coordenadas!$D$165)^2)&lt;=LEEME!$B$20,EXP(-LEEME!$B$19*SQRT((Coordenadas!$C$73-Coordenadas!$C$165)^2+(Coordenadas!$D$73-Coordenadas!$D$165)^2)),0)</f>
        <v>0.4340824349701</v>
      </c>
    </row>
    <row r="428" customFormat="false" ht="15" hidden="false" customHeight="false" outlineLevel="0" collapsed="false">
      <c r="A428" s="0" t="s">
        <v>120</v>
      </c>
      <c r="B428" s="0" t="s">
        <v>272</v>
      </c>
      <c r="C428" s="17" t="n">
        <f aca="false">IF(SQRT((Coordenadas!$C$73-Coordenadas!$C$167)^2+(Coordenadas!$D$73-Coordenadas!$D$167)^2)&lt;=LEEME!$B$20,EXP(-LEEME!$B$19*SQRT((Coordenadas!$C$73-Coordenadas!$C$167)^2+(Coordenadas!$D$73-Coordenadas!$D$167)^2)),0)</f>
        <v>0.847380924539807</v>
      </c>
    </row>
    <row r="429" customFormat="false" ht="15" hidden="false" customHeight="false" outlineLevel="0" collapsed="false">
      <c r="A429" s="0" t="s">
        <v>120</v>
      </c>
      <c r="B429" s="0" t="s">
        <v>273</v>
      </c>
      <c r="C429" s="17" t="n">
        <f aca="false">IF(SQRT((Coordenadas!$C$73-Coordenadas!$C$168)^2+(Coordenadas!$D$73-Coordenadas!$D$168)^2)&lt;=LEEME!$B$20,EXP(-LEEME!$B$19*SQRT((Coordenadas!$C$73-Coordenadas!$C$168)^2+(Coordenadas!$D$73-Coordenadas!$D$168)^2)),0)</f>
        <v>0.481208788484485</v>
      </c>
    </row>
    <row r="430" customFormat="false" ht="15" hidden="false" customHeight="false" outlineLevel="0" collapsed="false">
      <c r="A430" s="0" t="s">
        <v>121</v>
      </c>
      <c r="B430" s="0" t="s">
        <v>272</v>
      </c>
      <c r="C430" s="17" t="n">
        <f aca="false">IF(SQRT((Coordenadas!$C$74-Coordenadas!$C$167)^2+(Coordenadas!$D$74-Coordenadas!$D$167)^2)&lt;=LEEME!$B$20,EXP(-LEEME!$B$19*SQRT((Coordenadas!$C$74-Coordenadas!$C$167)^2+(Coordenadas!$D$74-Coordenadas!$D$167)^2)),0)</f>
        <v>0.772803490518768</v>
      </c>
    </row>
    <row r="431" customFormat="false" ht="15" hidden="false" customHeight="false" outlineLevel="0" collapsed="false">
      <c r="A431" s="0" t="s">
        <v>121</v>
      </c>
      <c r="B431" s="0" t="s">
        <v>273</v>
      </c>
      <c r="C431" s="17" t="n">
        <f aca="false">IF(SQRT((Coordenadas!$C$74-Coordenadas!$C$168)^2+(Coordenadas!$D$74-Coordenadas!$D$168)^2)&lt;=LEEME!$B$20,EXP(-LEEME!$B$19*SQRT((Coordenadas!$C$74-Coordenadas!$C$168)^2+(Coordenadas!$D$74-Coordenadas!$D$168)^2)),0)</f>
        <v>0.447060159056472</v>
      </c>
    </row>
    <row r="432" customFormat="false" ht="15" hidden="false" customHeight="false" outlineLevel="0" collapsed="false">
      <c r="A432" s="0" t="s">
        <v>122</v>
      </c>
      <c r="B432" s="0" t="s">
        <v>270</v>
      </c>
      <c r="C432" s="17" t="n">
        <f aca="false">IF(SQRT((Coordenadas!$C$75-Coordenadas!$C$165)^2+(Coordenadas!$D$75-Coordenadas!$D$165)^2)&lt;=LEEME!$B$20,EXP(-LEEME!$B$19*SQRT((Coordenadas!$C$75-Coordenadas!$C$165)^2+(Coordenadas!$D$75-Coordenadas!$D$165)^2)),0)</f>
        <v>0.442632538530553</v>
      </c>
    </row>
    <row r="433" customFormat="false" ht="15" hidden="false" customHeight="false" outlineLevel="0" collapsed="false">
      <c r="A433" s="0" t="s">
        <v>122</v>
      </c>
      <c r="B433" s="0" t="s">
        <v>271</v>
      </c>
      <c r="C433" s="17" t="n">
        <f aca="false">IF(SQRT((Coordenadas!$C$75-Coordenadas!$C$166)^2+(Coordenadas!$D$75-Coordenadas!$D$166)^2)&lt;=LEEME!$B$20,EXP(-LEEME!$B$19*SQRT((Coordenadas!$C$75-Coordenadas!$C$166)^2+(Coordenadas!$D$75-Coordenadas!$D$166)^2)),0)</f>
        <v>0.382216069589928</v>
      </c>
    </row>
    <row r="434" customFormat="false" ht="15" hidden="false" customHeight="false" outlineLevel="0" collapsed="false">
      <c r="A434" s="0" t="s">
        <v>122</v>
      </c>
      <c r="B434" s="0" t="s">
        <v>272</v>
      </c>
      <c r="C434" s="17" t="n">
        <f aca="false">IF(SQRT((Coordenadas!$C$75-Coordenadas!$C$167)^2+(Coordenadas!$D$75-Coordenadas!$D$167)^2)&lt;=LEEME!$B$20,EXP(-LEEME!$B$19*SQRT((Coordenadas!$C$75-Coordenadas!$C$167)^2+(Coordenadas!$D$75-Coordenadas!$D$167)^2)),0)</f>
        <v>0.870293785464164</v>
      </c>
    </row>
    <row r="435" customFormat="false" ht="15" hidden="false" customHeight="false" outlineLevel="0" collapsed="false">
      <c r="A435" s="0" t="s">
        <v>122</v>
      </c>
      <c r="B435" s="0" t="s">
        <v>273</v>
      </c>
      <c r="C435" s="17" t="n">
        <f aca="false">IF(SQRT((Coordenadas!$C$75-Coordenadas!$C$168)^2+(Coordenadas!$D$75-Coordenadas!$D$168)^2)&lt;=LEEME!$B$20,EXP(-LEEME!$B$19*SQRT((Coordenadas!$C$75-Coordenadas!$C$168)^2+(Coordenadas!$D$75-Coordenadas!$D$168)^2)),0)</f>
        <v>0.613409324959577</v>
      </c>
    </row>
    <row r="436" customFormat="false" ht="15" hidden="false" customHeight="false" outlineLevel="0" collapsed="false">
      <c r="A436" s="0" t="s">
        <v>122</v>
      </c>
      <c r="B436" s="0" t="s">
        <v>274</v>
      </c>
      <c r="C436" s="17" t="n">
        <f aca="false">IF(SQRT((Coordenadas!$C$75-Coordenadas!$C$169)^2+(Coordenadas!$D$75-Coordenadas!$D$169)^2)&lt;=LEEME!$B$20,EXP(-LEEME!$B$19*SQRT((Coordenadas!$C$75-Coordenadas!$C$169)^2+(Coordenadas!$D$75-Coordenadas!$D$169)^2)),0)</f>
        <v>0.471667085599994</v>
      </c>
    </row>
    <row r="437" customFormat="false" ht="15" hidden="false" customHeight="false" outlineLevel="0" collapsed="false">
      <c r="A437" s="0" t="s">
        <v>122</v>
      </c>
      <c r="B437" s="0" t="s">
        <v>276</v>
      </c>
      <c r="C437" s="17" t="n">
        <f aca="false">IF(SQRT((Coordenadas!$C$75-Coordenadas!$C$171)^2+(Coordenadas!$D$75-Coordenadas!$D$171)^2)&lt;=LEEME!$B$20,EXP(-LEEME!$B$19*SQRT((Coordenadas!$C$75-Coordenadas!$C$171)^2+(Coordenadas!$D$75-Coordenadas!$D$171)^2)),0)</f>
        <v>0.4560035265941</v>
      </c>
    </row>
    <row r="438" customFormat="false" ht="15" hidden="false" customHeight="false" outlineLevel="0" collapsed="false">
      <c r="A438" s="0" t="s">
        <v>123</v>
      </c>
      <c r="B438" s="0" t="s">
        <v>270</v>
      </c>
      <c r="C438" s="17" t="n">
        <f aca="false">IF(SQRT((Coordenadas!$C$76-Coordenadas!$C$165)^2+(Coordenadas!$D$76-Coordenadas!$D$165)^2)&lt;=LEEME!$B$20,EXP(-LEEME!$B$19*SQRT((Coordenadas!$C$76-Coordenadas!$C$165)^2+(Coordenadas!$D$76-Coordenadas!$D$165)^2)),0)</f>
        <v>0.497785946704271</v>
      </c>
    </row>
    <row r="439" customFormat="false" ht="15" hidden="false" customHeight="false" outlineLevel="0" collapsed="false">
      <c r="A439" s="0" t="s">
        <v>123</v>
      </c>
      <c r="B439" s="0" t="s">
        <v>271</v>
      </c>
      <c r="C439" s="17" t="n">
        <f aca="false">IF(SQRT((Coordenadas!$C$76-Coordenadas!$C$166)^2+(Coordenadas!$D$76-Coordenadas!$D$166)^2)&lt;=LEEME!$B$20,EXP(-LEEME!$B$19*SQRT((Coordenadas!$C$76-Coordenadas!$C$166)^2+(Coordenadas!$D$76-Coordenadas!$D$166)^2)),0)</f>
        <v>0.38491290771705</v>
      </c>
    </row>
    <row r="440" customFormat="false" ht="15" hidden="false" customHeight="false" outlineLevel="0" collapsed="false">
      <c r="A440" s="0" t="s">
        <v>123</v>
      </c>
      <c r="B440" s="0" t="s">
        <v>272</v>
      </c>
      <c r="C440" s="17" t="n">
        <f aca="false">IF(SQRT((Coordenadas!$C$76-Coordenadas!$C$167)^2+(Coordenadas!$D$76-Coordenadas!$D$167)^2)&lt;=LEEME!$B$20,EXP(-LEEME!$B$19*SQRT((Coordenadas!$C$76-Coordenadas!$C$167)^2+(Coordenadas!$D$76-Coordenadas!$D$167)^2)),0)</f>
        <v>0.866523986791526</v>
      </c>
    </row>
    <row r="441" customFormat="false" ht="15" hidden="false" customHeight="false" outlineLevel="0" collapsed="false">
      <c r="A441" s="0" t="s">
        <v>123</v>
      </c>
      <c r="B441" s="0" t="s">
        <v>273</v>
      </c>
      <c r="C441" s="17" t="n">
        <f aca="false">IF(SQRT((Coordenadas!$C$76-Coordenadas!$C$168)^2+(Coordenadas!$D$76-Coordenadas!$D$168)^2)&lt;=LEEME!$B$20,EXP(-LEEME!$B$19*SQRT((Coordenadas!$C$76-Coordenadas!$C$168)^2+(Coordenadas!$D$76-Coordenadas!$D$168)^2)),0)</f>
        <v>0.551007118713339</v>
      </c>
    </row>
    <row r="442" customFormat="false" ht="15" hidden="false" customHeight="false" outlineLevel="0" collapsed="false">
      <c r="A442" s="0" t="s">
        <v>123</v>
      </c>
      <c r="B442" s="0" t="s">
        <v>274</v>
      </c>
      <c r="C442" s="17" t="n">
        <f aca="false">IF(SQRT((Coordenadas!$C$76-Coordenadas!$C$169)^2+(Coordenadas!$D$76-Coordenadas!$D$169)^2)&lt;=LEEME!$B$20,EXP(-LEEME!$B$19*SQRT((Coordenadas!$C$76-Coordenadas!$C$169)^2+(Coordenadas!$D$76-Coordenadas!$D$169)^2)),0)</f>
        <v>0.409700688112448</v>
      </c>
    </row>
    <row r="443" customFormat="false" ht="15" hidden="false" customHeight="false" outlineLevel="0" collapsed="false">
      <c r="A443" s="0" t="s">
        <v>123</v>
      </c>
      <c r="B443" s="0" t="s">
        <v>276</v>
      </c>
      <c r="C443" s="17" t="n">
        <f aca="false">IF(SQRT((Coordenadas!$C$76-Coordenadas!$C$171)^2+(Coordenadas!$D$76-Coordenadas!$D$171)^2)&lt;=LEEME!$B$20,EXP(-LEEME!$B$19*SQRT((Coordenadas!$C$76-Coordenadas!$C$171)^2+(Coordenadas!$D$76-Coordenadas!$D$171)^2)),0)</f>
        <v>0.387332238780474</v>
      </c>
    </row>
    <row r="444" customFormat="false" ht="15" hidden="false" customHeight="false" outlineLevel="0" collapsed="false">
      <c r="A444" s="0" t="s">
        <v>124</v>
      </c>
      <c r="B444" s="0" t="s">
        <v>270</v>
      </c>
      <c r="C444" s="17" t="n">
        <f aca="false">IF(SQRT((Coordenadas!$C$77-Coordenadas!$C$165)^2+(Coordenadas!$D$77-Coordenadas!$D$165)^2)&lt;=LEEME!$B$20,EXP(-LEEME!$B$19*SQRT((Coordenadas!$C$77-Coordenadas!$C$165)^2+(Coordenadas!$D$77-Coordenadas!$D$165)^2)),0)</f>
        <v>0.384993557151319</v>
      </c>
    </row>
    <row r="445" customFormat="false" ht="15" hidden="false" customHeight="false" outlineLevel="0" collapsed="false">
      <c r="A445" s="0" t="s">
        <v>124</v>
      </c>
      <c r="B445" s="0" t="s">
        <v>272</v>
      </c>
      <c r="C445" s="17" t="n">
        <f aca="false">IF(SQRT((Coordenadas!$C$77-Coordenadas!$C$167)^2+(Coordenadas!$D$77-Coordenadas!$D$167)^2)&lt;=LEEME!$B$20,EXP(-LEEME!$B$19*SQRT((Coordenadas!$C$77-Coordenadas!$C$167)^2+(Coordenadas!$D$77-Coordenadas!$D$167)^2)),0)</f>
        <v>0.775678060076146</v>
      </c>
    </row>
    <row r="446" customFormat="false" ht="15" hidden="false" customHeight="false" outlineLevel="0" collapsed="false">
      <c r="A446" s="0" t="s">
        <v>124</v>
      </c>
      <c r="B446" s="0" t="s">
        <v>273</v>
      </c>
      <c r="C446" s="17" t="n">
        <f aca="false">IF(SQRT((Coordenadas!$C$77-Coordenadas!$C$168)^2+(Coordenadas!$D$77-Coordenadas!$D$168)^2)&lt;=LEEME!$B$20,EXP(-LEEME!$B$19*SQRT((Coordenadas!$C$77-Coordenadas!$C$168)^2+(Coordenadas!$D$77-Coordenadas!$D$168)^2)),0)</f>
        <v>0.430397931603331</v>
      </c>
    </row>
    <row r="447" customFormat="false" ht="15" hidden="false" customHeight="false" outlineLevel="0" collapsed="false">
      <c r="A447" s="0" t="s">
        <v>125</v>
      </c>
      <c r="B447" s="0" t="s">
        <v>270</v>
      </c>
      <c r="C447" s="17" t="n">
        <f aca="false">IF(SQRT((Coordenadas!$C$78-Coordenadas!$C$165)^2+(Coordenadas!$D$78-Coordenadas!$D$165)^2)&lt;=LEEME!$B$20,EXP(-LEEME!$B$19*SQRT((Coordenadas!$C$78-Coordenadas!$C$165)^2+(Coordenadas!$D$78-Coordenadas!$D$165)^2)),0)</f>
        <v>0.65810566829935</v>
      </c>
    </row>
    <row r="448" customFormat="false" ht="15" hidden="false" customHeight="false" outlineLevel="0" collapsed="false">
      <c r="A448" s="0" t="s">
        <v>125</v>
      </c>
      <c r="B448" s="0" t="s">
        <v>271</v>
      </c>
      <c r="C448" s="17" t="n">
        <f aca="false">IF(SQRT((Coordenadas!$C$78-Coordenadas!$C$166)^2+(Coordenadas!$D$78-Coordenadas!$D$166)^2)&lt;=LEEME!$B$20,EXP(-LEEME!$B$19*SQRT((Coordenadas!$C$78-Coordenadas!$C$166)^2+(Coordenadas!$D$78-Coordenadas!$D$166)^2)),0)</f>
        <v>0.666257657533177</v>
      </c>
    </row>
    <row r="449" customFormat="false" ht="15" hidden="false" customHeight="false" outlineLevel="0" collapsed="false">
      <c r="A449" s="0" t="s">
        <v>125</v>
      </c>
      <c r="B449" s="0" t="s">
        <v>272</v>
      </c>
      <c r="C449" s="17" t="n">
        <f aca="false">IF(SQRT((Coordenadas!$C$78-Coordenadas!$C$167)^2+(Coordenadas!$D$78-Coordenadas!$D$167)^2)&lt;=LEEME!$B$20,EXP(-LEEME!$B$19*SQRT((Coordenadas!$C$78-Coordenadas!$C$167)^2+(Coordenadas!$D$78-Coordenadas!$D$167)^2)),0)</f>
        <v>0.537251483230648</v>
      </c>
    </row>
    <row r="450" customFormat="false" ht="15" hidden="false" customHeight="false" outlineLevel="0" collapsed="false">
      <c r="A450" s="0" t="s">
        <v>125</v>
      </c>
      <c r="B450" s="0" t="s">
        <v>273</v>
      </c>
      <c r="C450" s="17" t="n">
        <f aca="false">IF(SQRT((Coordenadas!$C$78-Coordenadas!$C$168)^2+(Coordenadas!$D$78-Coordenadas!$D$168)^2)&lt;=LEEME!$B$20,EXP(-LEEME!$B$19*SQRT((Coordenadas!$C$78-Coordenadas!$C$168)^2+(Coordenadas!$D$78-Coordenadas!$D$168)^2)),0)</f>
        <v>0.81145542380063</v>
      </c>
    </row>
    <row r="451" customFormat="false" ht="15" hidden="false" customHeight="false" outlineLevel="0" collapsed="false">
      <c r="A451" s="0" t="s">
        <v>125</v>
      </c>
      <c r="B451" s="0" t="s">
        <v>274</v>
      </c>
      <c r="C451" s="17" t="n">
        <f aca="false">IF(SQRT((Coordenadas!$C$78-Coordenadas!$C$169)^2+(Coordenadas!$D$78-Coordenadas!$D$169)^2)&lt;=LEEME!$B$20,EXP(-LEEME!$B$19*SQRT((Coordenadas!$C$78-Coordenadas!$C$169)^2+(Coordenadas!$D$78-Coordenadas!$D$169)^2)),0)</f>
        <v>0.640752286436411</v>
      </c>
    </row>
    <row r="452" customFormat="false" ht="15" hidden="false" customHeight="false" outlineLevel="0" collapsed="false">
      <c r="A452" s="0" t="s">
        <v>125</v>
      </c>
      <c r="B452" s="0" t="s">
        <v>275</v>
      </c>
      <c r="C452" s="17" t="n">
        <f aca="false">IF(SQRT((Coordenadas!$C$78-Coordenadas!$C$170)^2+(Coordenadas!$D$78-Coordenadas!$D$170)^2)&lt;=LEEME!$B$20,EXP(-LEEME!$B$19*SQRT((Coordenadas!$C$78-Coordenadas!$C$170)^2+(Coordenadas!$D$78-Coordenadas!$D$170)^2)),0)</f>
        <v>0.50504913697181</v>
      </c>
    </row>
    <row r="453" customFormat="false" ht="15" hidden="false" customHeight="false" outlineLevel="0" collapsed="false">
      <c r="A453" s="0" t="s">
        <v>125</v>
      </c>
      <c r="B453" s="0" t="s">
        <v>276</v>
      </c>
      <c r="C453" s="17" t="n">
        <f aca="false">IF(SQRT((Coordenadas!$C$78-Coordenadas!$C$171)^2+(Coordenadas!$D$78-Coordenadas!$D$171)^2)&lt;=LEEME!$B$20,EXP(-LEEME!$B$19*SQRT((Coordenadas!$C$78-Coordenadas!$C$171)^2+(Coordenadas!$D$78-Coordenadas!$D$171)^2)),0)</f>
        <v>0.58128315617208</v>
      </c>
    </row>
    <row r="454" customFormat="false" ht="15" hidden="false" customHeight="false" outlineLevel="0" collapsed="false">
      <c r="A454" s="0" t="s">
        <v>126</v>
      </c>
      <c r="B454" s="0" t="s">
        <v>270</v>
      </c>
      <c r="C454" s="17" t="n">
        <f aca="false">IF(SQRT((Coordenadas!$C$79-Coordenadas!$C$165)^2+(Coordenadas!$D$79-Coordenadas!$D$165)^2)&lt;=LEEME!$B$20,EXP(-LEEME!$B$19*SQRT((Coordenadas!$C$79-Coordenadas!$C$165)^2+(Coordenadas!$D$79-Coordenadas!$D$165)^2)),0)</f>
        <v>0.659170323947672</v>
      </c>
    </row>
    <row r="455" customFormat="false" ht="15" hidden="false" customHeight="false" outlineLevel="0" collapsed="false">
      <c r="A455" s="0" t="s">
        <v>126</v>
      </c>
      <c r="B455" s="0" t="s">
        <v>271</v>
      </c>
      <c r="C455" s="17" t="n">
        <f aca="false">IF(SQRT((Coordenadas!$C$79-Coordenadas!$C$166)^2+(Coordenadas!$D$79-Coordenadas!$D$166)^2)&lt;=LEEME!$B$20,EXP(-LEEME!$B$19*SQRT((Coordenadas!$C$79-Coordenadas!$C$166)^2+(Coordenadas!$D$79-Coordenadas!$D$166)^2)),0)</f>
        <v>0.513337982476114</v>
      </c>
    </row>
    <row r="456" customFormat="false" ht="15" hidden="false" customHeight="false" outlineLevel="0" collapsed="false">
      <c r="A456" s="0" t="s">
        <v>126</v>
      </c>
      <c r="B456" s="0" t="s">
        <v>272</v>
      </c>
      <c r="C456" s="17" t="n">
        <f aca="false">IF(SQRT((Coordenadas!$C$79-Coordenadas!$C$167)^2+(Coordenadas!$D$79-Coordenadas!$D$167)^2)&lt;=LEEME!$B$20,EXP(-LEEME!$B$19*SQRT((Coordenadas!$C$79-Coordenadas!$C$167)^2+(Coordenadas!$D$79-Coordenadas!$D$167)^2)),0)</f>
        <v>0.672638257565761</v>
      </c>
    </row>
    <row r="457" customFormat="false" ht="15" hidden="false" customHeight="false" outlineLevel="0" collapsed="false">
      <c r="A457" s="0" t="s">
        <v>126</v>
      </c>
      <c r="B457" s="0" t="s">
        <v>273</v>
      </c>
      <c r="C457" s="17" t="n">
        <f aca="false">IF(SQRT((Coordenadas!$C$79-Coordenadas!$C$168)^2+(Coordenadas!$D$79-Coordenadas!$D$168)^2)&lt;=LEEME!$B$20,EXP(-LEEME!$B$19*SQRT((Coordenadas!$C$79-Coordenadas!$C$168)^2+(Coordenadas!$D$79-Coordenadas!$D$168)^2)),0)</f>
        <v>0.650811891356355</v>
      </c>
    </row>
    <row r="458" customFormat="false" ht="15" hidden="false" customHeight="false" outlineLevel="0" collapsed="false">
      <c r="A458" s="0" t="s">
        <v>126</v>
      </c>
      <c r="B458" s="0" t="s">
        <v>274</v>
      </c>
      <c r="C458" s="17" t="n">
        <f aca="false">IF(SQRT((Coordenadas!$C$79-Coordenadas!$C$169)^2+(Coordenadas!$D$79-Coordenadas!$D$169)^2)&lt;=LEEME!$B$20,EXP(-LEEME!$B$19*SQRT((Coordenadas!$C$79-Coordenadas!$C$169)^2+(Coordenadas!$D$79-Coordenadas!$D$169)^2)),0)</f>
        <v>0.483690924098282</v>
      </c>
    </row>
    <row r="459" customFormat="false" ht="15" hidden="false" customHeight="false" outlineLevel="0" collapsed="false">
      <c r="A459" s="0" t="s">
        <v>126</v>
      </c>
      <c r="B459" s="0" t="s">
        <v>276</v>
      </c>
      <c r="C459" s="17" t="n">
        <f aca="false">IF(SQRT((Coordenadas!$C$79-Coordenadas!$C$171)^2+(Coordenadas!$D$79-Coordenadas!$D$171)^2)&lt;=LEEME!$B$20,EXP(-LEEME!$B$19*SQRT((Coordenadas!$C$79-Coordenadas!$C$171)^2+(Coordenadas!$D$79-Coordenadas!$D$171)^2)),0)</f>
        <v>0.446007849848342</v>
      </c>
    </row>
    <row r="460" customFormat="false" ht="15" hidden="false" customHeight="false" outlineLevel="0" collapsed="false">
      <c r="A460" s="0" t="s">
        <v>127</v>
      </c>
      <c r="B460" s="0" t="s">
        <v>270</v>
      </c>
      <c r="C460" s="17" t="n">
        <f aca="false">IF(SQRT((Coordenadas!$C$80-Coordenadas!$C$165)^2+(Coordenadas!$D$80-Coordenadas!$D$165)^2)&lt;=LEEME!$B$20,EXP(-LEEME!$B$19*SQRT((Coordenadas!$C$80-Coordenadas!$C$165)^2+(Coordenadas!$D$80-Coordenadas!$D$165)^2)),0)</f>
        <v>0.53039500013356</v>
      </c>
    </row>
    <row r="461" customFormat="false" ht="15" hidden="false" customHeight="false" outlineLevel="0" collapsed="false">
      <c r="A461" s="0" t="s">
        <v>127</v>
      </c>
      <c r="B461" s="0" t="s">
        <v>271</v>
      </c>
      <c r="C461" s="17" t="n">
        <f aca="false">IF(SQRT((Coordenadas!$C$80-Coordenadas!$C$166)^2+(Coordenadas!$D$80-Coordenadas!$D$166)^2)&lt;=LEEME!$B$20,EXP(-LEEME!$B$19*SQRT((Coordenadas!$C$80-Coordenadas!$C$166)^2+(Coordenadas!$D$80-Coordenadas!$D$166)^2)),0)</f>
        <v>0.502112876844351</v>
      </c>
    </row>
    <row r="462" customFormat="false" ht="15" hidden="false" customHeight="false" outlineLevel="0" collapsed="false">
      <c r="A462" s="0" t="s">
        <v>127</v>
      </c>
      <c r="B462" s="0" t="s">
        <v>272</v>
      </c>
      <c r="C462" s="17" t="n">
        <f aca="false">IF(SQRT((Coordenadas!$C$80-Coordenadas!$C$167)^2+(Coordenadas!$D$80-Coordenadas!$D$167)^2)&lt;=LEEME!$B$20,EXP(-LEEME!$B$19*SQRT((Coordenadas!$C$80-Coordenadas!$C$167)^2+(Coordenadas!$D$80-Coordenadas!$D$167)^2)),0)</f>
        <v>0.680185711160237</v>
      </c>
    </row>
    <row r="463" customFormat="false" ht="15" hidden="false" customHeight="false" outlineLevel="0" collapsed="false">
      <c r="A463" s="0" t="s">
        <v>127</v>
      </c>
      <c r="B463" s="0" t="s">
        <v>273</v>
      </c>
      <c r="C463" s="17" t="n">
        <f aca="false">IF(SQRT((Coordenadas!$C$80-Coordenadas!$C$168)^2+(Coordenadas!$D$80-Coordenadas!$D$168)^2)&lt;=LEEME!$B$20,EXP(-LEEME!$B$19*SQRT((Coordenadas!$C$80-Coordenadas!$C$168)^2+(Coordenadas!$D$80-Coordenadas!$D$168)^2)),0)</f>
        <v>0.812087989721658</v>
      </c>
    </row>
    <row r="464" customFormat="false" ht="15" hidden="false" customHeight="false" outlineLevel="0" collapsed="false">
      <c r="A464" s="0" t="s">
        <v>127</v>
      </c>
      <c r="B464" s="0" t="s">
        <v>274</v>
      </c>
      <c r="C464" s="17" t="n">
        <f aca="false">IF(SQRT((Coordenadas!$C$80-Coordenadas!$C$169)^2+(Coordenadas!$D$80-Coordenadas!$D$169)^2)&lt;=LEEME!$B$20,EXP(-LEEME!$B$19*SQRT((Coordenadas!$C$80-Coordenadas!$C$169)^2+(Coordenadas!$D$80-Coordenadas!$D$169)^2)),0)</f>
        <v>0.608480937587608</v>
      </c>
    </row>
    <row r="465" customFormat="false" ht="15" hidden="false" customHeight="false" outlineLevel="0" collapsed="false">
      <c r="A465" s="0" t="s">
        <v>127</v>
      </c>
      <c r="B465" s="0" t="s">
        <v>275</v>
      </c>
      <c r="C465" s="17" t="n">
        <f aca="false">IF(SQRT((Coordenadas!$C$80-Coordenadas!$C$170)^2+(Coordenadas!$D$80-Coordenadas!$D$170)^2)&lt;=LEEME!$B$20,EXP(-LEEME!$B$19*SQRT((Coordenadas!$C$80-Coordenadas!$C$170)^2+(Coordenadas!$D$80-Coordenadas!$D$170)^2)),0)</f>
        <v>0.437962942470979</v>
      </c>
    </row>
    <row r="466" customFormat="false" ht="15" hidden="false" customHeight="false" outlineLevel="0" collapsed="false">
      <c r="A466" s="0" t="s">
        <v>127</v>
      </c>
      <c r="B466" s="0" t="s">
        <v>276</v>
      </c>
      <c r="C466" s="17" t="n">
        <f aca="false">IF(SQRT((Coordenadas!$C$80-Coordenadas!$C$171)^2+(Coordenadas!$D$80-Coordenadas!$D$171)^2)&lt;=LEEME!$B$20,EXP(-LEEME!$B$19*SQRT((Coordenadas!$C$80-Coordenadas!$C$171)^2+(Coordenadas!$D$80-Coordenadas!$D$171)^2)),0)</f>
        <v>0.574784623741689</v>
      </c>
    </row>
    <row r="467" customFormat="false" ht="15" hidden="false" customHeight="false" outlineLevel="0" collapsed="false">
      <c r="A467" s="0" t="s">
        <v>128</v>
      </c>
      <c r="B467" s="0" t="s">
        <v>270</v>
      </c>
      <c r="C467" s="17" t="n">
        <f aca="false">IF(SQRT((Coordenadas!$C$81-Coordenadas!$C$165)^2+(Coordenadas!$D$81-Coordenadas!$D$165)^2)&lt;=LEEME!$B$20,EXP(-LEEME!$B$19*SQRT((Coordenadas!$C$81-Coordenadas!$C$165)^2+(Coordenadas!$D$81-Coordenadas!$D$165)^2)),0)</f>
        <v>0.613629092107525</v>
      </c>
    </row>
    <row r="468" customFormat="false" ht="15" hidden="false" customHeight="false" outlineLevel="0" collapsed="false">
      <c r="A468" s="0" t="s">
        <v>128</v>
      </c>
      <c r="B468" s="0" t="s">
        <v>271</v>
      </c>
      <c r="C468" s="17" t="n">
        <f aca="false">IF(SQRT((Coordenadas!$C$81-Coordenadas!$C$166)^2+(Coordenadas!$D$81-Coordenadas!$D$166)^2)&lt;=LEEME!$B$20,EXP(-LEEME!$B$19*SQRT((Coordenadas!$C$81-Coordenadas!$C$166)^2+(Coordenadas!$D$81-Coordenadas!$D$166)^2)),0)</f>
        <v>0.534993971614529</v>
      </c>
    </row>
    <row r="469" customFormat="false" ht="15" hidden="false" customHeight="false" outlineLevel="0" collapsed="false">
      <c r="A469" s="0" t="s">
        <v>128</v>
      </c>
      <c r="B469" s="0" t="s">
        <v>272</v>
      </c>
      <c r="C469" s="17" t="n">
        <f aca="false">IF(SQRT((Coordenadas!$C$81-Coordenadas!$C$167)^2+(Coordenadas!$D$81-Coordenadas!$D$167)^2)&lt;=LEEME!$B$20,EXP(-LEEME!$B$19*SQRT((Coordenadas!$C$81-Coordenadas!$C$167)^2+(Coordenadas!$D$81-Coordenadas!$D$167)^2)),0)</f>
        <v>0.6736587214515</v>
      </c>
    </row>
    <row r="470" customFormat="false" ht="15" hidden="false" customHeight="false" outlineLevel="0" collapsed="false">
      <c r="A470" s="0" t="s">
        <v>128</v>
      </c>
      <c r="B470" s="0" t="s">
        <v>273</v>
      </c>
      <c r="C470" s="17" t="n">
        <f aca="false">IF(SQRT((Coordenadas!$C$81-Coordenadas!$C$168)^2+(Coordenadas!$D$81-Coordenadas!$D$168)^2)&lt;=LEEME!$B$20,EXP(-LEEME!$B$19*SQRT((Coordenadas!$C$81-Coordenadas!$C$168)^2+(Coordenadas!$D$81-Coordenadas!$D$168)^2)),0)</f>
        <v>0.753505144127315</v>
      </c>
    </row>
    <row r="471" customFormat="false" ht="15" hidden="false" customHeight="false" outlineLevel="0" collapsed="false">
      <c r="A471" s="0" t="s">
        <v>128</v>
      </c>
      <c r="B471" s="0" t="s">
        <v>274</v>
      </c>
      <c r="C471" s="17" t="n">
        <f aca="false">IF(SQRT((Coordenadas!$C$81-Coordenadas!$C$169)^2+(Coordenadas!$D$81-Coordenadas!$D$169)^2)&lt;=LEEME!$B$20,EXP(-LEEME!$B$19*SQRT((Coordenadas!$C$81-Coordenadas!$C$169)^2+(Coordenadas!$D$81-Coordenadas!$D$169)^2)),0)</f>
        <v>0.557582572860703</v>
      </c>
    </row>
    <row r="472" customFormat="false" ht="15" hidden="false" customHeight="false" outlineLevel="0" collapsed="false">
      <c r="A472" s="0" t="s">
        <v>128</v>
      </c>
      <c r="B472" s="0" t="s">
        <v>275</v>
      </c>
      <c r="C472" s="17" t="n">
        <f aca="false">IF(SQRT((Coordenadas!$C$81-Coordenadas!$C$170)^2+(Coordenadas!$D$81-Coordenadas!$D$170)^2)&lt;=LEEME!$B$20,EXP(-LEEME!$B$19*SQRT((Coordenadas!$C$81-Coordenadas!$C$170)^2+(Coordenadas!$D$81-Coordenadas!$D$170)^2)),0)</f>
        <v>0.415414360088923</v>
      </c>
    </row>
    <row r="473" customFormat="false" ht="15" hidden="false" customHeight="false" outlineLevel="0" collapsed="false">
      <c r="A473" s="0" t="s">
        <v>128</v>
      </c>
      <c r="B473" s="0" t="s">
        <v>276</v>
      </c>
      <c r="C473" s="17" t="n">
        <f aca="false">IF(SQRT((Coordenadas!$C$81-Coordenadas!$C$171)^2+(Coordenadas!$D$81-Coordenadas!$D$171)^2)&lt;=LEEME!$B$20,EXP(-LEEME!$B$19*SQRT((Coordenadas!$C$81-Coordenadas!$C$171)^2+(Coordenadas!$D$81-Coordenadas!$D$171)^2)),0)</f>
        <v>0.516841545873808</v>
      </c>
    </row>
    <row r="474" customFormat="false" ht="15" hidden="false" customHeight="false" outlineLevel="0" collapsed="false">
      <c r="A474" s="0" t="s">
        <v>129</v>
      </c>
      <c r="B474" s="0" t="s">
        <v>270</v>
      </c>
      <c r="C474" s="17" t="n">
        <f aca="false">IF(SQRT((Coordenadas!$C$82-Coordenadas!$C$165)^2+(Coordenadas!$D$82-Coordenadas!$D$165)^2)&lt;=LEEME!$B$20,EXP(-LEEME!$B$19*SQRT((Coordenadas!$C$82-Coordenadas!$C$165)^2+(Coordenadas!$D$82-Coordenadas!$D$165)^2)),0)</f>
        <v>0.941373565997634</v>
      </c>
    </row>
    <row r="475" customFormat="false" ht="15" hidden="false" customHeight="false" outlineLevel="0" collapsed="false">
      <c r="A475" s="0" t="s">
        <v>129</v>
      </c>
      <c r="B475" s="0" t="s">
        <v>271</v>
      </c>
      <c r="C475" s="17" t="n">
        <f aca="false">IF(SQRT((Coordenadas!$C$82-Coordenadas!$C$166)^2+(Coordenadas!$D$82-Coordenadas!$D$166)^2)&lt;=LEEME!$B$20,EXP(-LEEME!$B$19*SQRT((Coordenadas!$C$82-Coordenadas!$C$166)^2+(Coordenadas!$D$82-Coordenadas!$D$166)^2)),0)</f>
        <v>0.653635231902603</v>
      </c>
    </row>
    <row r="476" customFormat="false" ht="15" hidden="false" customHeight="false" outlineLevel="0" collapsed="false">
      <c r="A476" s="0" t="s">
        <v>129</v>
      </c>
      <c r="B476" s="0" t="s">
        <v>272</v>
      </c>
      <c r="C476" s="17" t="n">
        <f aca="false">IF(SQRT((Coordenadas!$C$82-Coordenadas!$C$167)^2+(Coordenadas!$D$82-Coordenadas!$D$167)^2)&lt;=LEEME!$B$20,EXP(-LEEME!$B$19*SQRT((Coordenadas!$C$82-Coordenadas!$C$167)^2+(Coordenadas!$D$82-Coordenadas!$D$167)^2)),0)</f>
        <v>0.465067984052928</v>
      </c>
    </row>
    <row r="477" customFormat="false" ht="15" hidden="false" customHeight="false" outlineLevel="0" collapsed="false">
      <c r="A477" s="0" t="s">
        <v>129</v>
      </c>
      <c r="B477" s="0" t="s">
        <v>273</v>
      </c>
      <c r="C477" s="17" t="n">
        <f aca="false">IF(SQRT((Coordenadas!$C$82-Coordenadas!$C$168)^2+(Coordenadas!$D$82-Coordenadas!$D$168)^2)&lt;=LEEME!$B$20,EXP(-LEEME!$B$19*SQRT((Coordenadas!$C$82-Coordenadas!$C$168)^2+(Coordenadas!$D$82-Coordenadas!$D$168)^2)),0)</f>
        <v>0.56744426691289</v>
      </c>
    </row>
    <row r="478" customFormat="false" ht="15" hidden="false" customHeight="false" outlineLevel="0" collapsed="false">
      <c r="A478" s="0" t="s">
        <v>129</v>
      </c>
      <c r="B478" s="0" t="s">
        <v>274</v>
      </c>
      <c r="C478" s="17" t="n">
        <f aca="false">IF(SQRT((Coordenadas!$C$82-Coordenadas!$C$169)^2+(Coordenadas!$D$82-Coordenadas!$D$169)^2)&lt;=LEEME!$B$20,EXP(-LEEME!$B$19*SQRT((Coordenadas!$C$82-Coordenadas!$C$169)^2+(Coordenadas!$D$82-Coordenadas!$D$169)^2)),0)</f>
        <v>0.45804636721406</v>
      </c>
    </row>
    <row r="479" customFormat="false" ht="15" hidden="false" customHeight="false" outlineLevel="0" collapsed="false">
      <c r="A479" s="0" t="s">
        <v>129</v>
      </c>
      <c r="B479" s="0" t="s">
        <v>275</v>
      </c>
      <c r="C479" s="17" t="n">
        <f aca="false">IF(SQRT((Coordenadas!$C$82-Coordenadas!$C$170)^2+(Coordenadas!$D$82-Coordenadas!$D$170)^2)&lt;=LEEME!$B$20,EXP(-LEEME!$B$19*SQRT((Coordenadas!$C$82-Coordenadas!$C$170)^2+(Coordenadas!$D$82-Coordenadas!$D$170)^2)),0)</f>
        <v>0.392334105924482</v>
      </c>
    </row>
    <row r="480" customFormat="false" ht="15" hidden="false" customHeight="false" outlineLevel="0" collapsed="false">
      <c r="A480" s="0" t="s">
        <v>129</v>
      </c>
      <c r="B480" s="0" t="s">
        <v>276</v>
      </c>
      <c r="C480" s="17" t="n">
        <f aca="false">IF(SQRT((Coordenadas!$C$82-Coordenadas!$C$171)^2+(Coordenadas!$D$82-Coordenadas!$D$171)^2)&lt;=LEEME!$B$20,EXP(-LEEME!$B$19*SQRT((Coordenadas!$C$82-Coordenadas!$C$171)^2+(Coordenadas!$D$82-Coordenadas!$D$171)^2)),0)</f>
        <v>0.412690857496963</v>
      </c>
    </row>
    <row r="481" customFormat="false" ht="15" hidden="false" customHeight="false" outlineLevel="0" collapsed="false">
      <c r="A481" s="0" t="s">
        <v>130</v>
      </c>
      <c r="B481" s="0" t="s">
        <v>269</v>
      </c>
      <c r="C481" s="17" t="n">
        <f aca="false">IF(SQRT((Coordenadas!$C$83-Coordenadas!$C$164)^2+(Coordenadas!$D$83-Coordenadas!$D$164)^2)&lt;=LEEME!$B$20,EXP(-LEEME!$B$19*SQRT((Coordenadas!$C$83-Coordenadas!$C$164)^2+(Coordenadas!$D$83-Coordenadas!$D$164)^2)),0)</f>
        <v>0.448880139942577</v>
      </c>
    </row>
    <row r="482" customFormat="false" ht="15" hidden="false" customHeight="false" outlineLevel="0" collapsed="false">
      <c r="A482" s="0" t="s">
        <v>130</v>
      </c>
      <c r="B482" s="0" t="s">
        <v>270</v>
      </c>
      <c r="C482" s="17" t="n">
        <f aca="false">IF(SQRT((Coordenadas!$C$83-Coordenadas!$C$165)^2+(Coordenadas!$D$83-Coordenadas!$D$165)^2)&lt;=LEEME!$B$20,EXP(-LEEME!$B$19*SQRT((Coordenadas!$C$83-Coordenadas!$C$165)^2+(Coordenadas!$D$83-Coordenadas!$D$165)^2)),0)</f>
        <v>0.452235534568614</v>
      </c>
    </row>
    <row r="483" customFormat="false" ht="15" hidden="false" customHeight="false" outlineLevel="0" collapsed="false">
      <c r="A483" s="0" t="s">
        <v>130</v>
      </c>
      <c r="B483" s="0" t="s">
        <v>272</v>
      </c>
      <c r="C483" s="17" t="n">
        <f aca="false">IF(SQRT((Coordenadas!$C$83-Coordenadas!$C$167)^2+(Coordenadas!$D$83-Coordenadas!$D$167)^2)&lt;=LEEME!$B$20,EXP(-LEEME!$B$19*SQRT((Coordenadas!$C$83-Coordenadas!$C$167)^2+(Coordenadas!$D$83-Coordenadas!$D$167)^2)),0)</f>
        <v>0.64096833405618</v>
      </c>
    </row>
    <row r="484" customFormat="false" ht="15" hidden="false" customHeight="false" outlineLevel="0" collapsed="false">
      <c r="A484" s="0" t="s">
        <v>130</v>
      </c>
      <c r="B484" s="0" t="s">
        <v>273</v>
      </c>
      <c r="C484" s="17" t="n">
        <f aca="false">IF(SQRT((Coordenadas!$C$83-Coordenadas!$C$168)^2+(Coordenadas!$D$83-Coordenadas!$D$168)^2)&lt;=LEEME!$B$20,EXP(-LEEME!$B$19*SQRT((Coordenadas!$C$83-Coordenadas!$C$168)^2+(Coordenadas!$D$83-Coordenadas!$D$168)^2)),0)</f>
        <v>0.402607179655668</v>
      </c>
    </row>
    <row r="485" customFormat="false" ht="15" hidden="false" customHeight="false" outlineLevel="0" collapsed="false">
      <c r="A485" s="0" t="s">
        <v>131</v>
      </c>
      <c r="B485" s="0" t="s">
        <v>269</v>
      </c>
      <c r="C485" s="17" t="n">
        <f aca="false">IF(SQRT((Coordenadas!$C$84-Coordenadas!$C$164)^2+(Coordenadas!$D$84-Coordenadas!$D$164)^2)&lt;=LEEME!$B$20,EXP(-LEEME!$B$19*SQRT((Coordenadas!$C$84-Coordenadas!$C$164)^2+(Coordenadas!$D$84-Coordenadas!$D$164)^2)),0)</f>
        <v>0.433777078560025</v>
      </c>
    </row>
    <row r="486" customFormat="false" ht="15" hidden="false" customHeight="false" outlineLevel="0" collapsed="false">
      <c r="A486" s="0" t="s">
        <v>131</v>
      </c>
      <c r="B486" s="0" t="s">
        <v>270</v>
      </c>
      <c r="C486" s="17" t="n">
        <f aca="false">IF(SQRT((Coordenadas!$C$84-Coordenadas!$C$165)^2+(Coordenadas!$D$84-Coordenadas!$D$165)^2)&lt;=LEEME!$B$20,EXP(-LEEME!$B$19*SQRT((Coordenadas!$C$84-Coordenadas!$C$165)^2+(Coordenadas!$D$84-Coordenadas!$D$165)^2)),0)</f>
        <v>0.597210752679166</v>
      </c>
    </row>
    <row r="487" customFormat="false" ht="15" hidden="false" customHeight="false" outlineLevel="0" collapsed="false">
      <c r="A487" s="0" t="s">
        <v>131</v>
      </c>
      <c r="B487" s="0" t="s">
        <v>271</v>
      </c>
      <c r="C487" s="17" t="n">
        <f aca="false">IF(SQRT((Coordenadas!$C$84-Coordenadas!$C$166)^2+(Coordenadas!$D$84-Coordenadas!$D$166)^2)&lt;=LEEME!$B$20,EXP(-LEEME!$B$19*SQRT((Coordenadas!$C$84-Coordenadas!$C$166)^2+(Coordenadas!$D$84-Coordenadas!$D$166)^2)),0)</f>
        <v>0.405191141348328</v>
      </c>
    </row>
    <row r="488" customFormat="false" ht="15" hidden="false" customHeight="false" outlineLevel="0" collapsed="false">
      <c r="A488" s="0" t="s">
        <v>131</v>
      </c>
      <c r="B488" s="0" t="s">
        <v>272</v>
      </c>
      <c r="C488" s="17" t="n">
        <f aca="false">IF(SQRT((Coordenadas!$C$84-Coordenadas!$C$167)^2+(Coordenadas!$D$84-Coordenadas!$D$167)^2)&lt;=LEEME!$B$20,EXP(-LEEME!$B$19*SQRT((Coordenadas!$C$84-Coordenadas!$C$167)^2+(Coordenadas!$D$84-Coordenadas!$D$167)^2)),0)</f>
        <v>0.61279837804123</v>
      </c>
    </row>
    <row r="489" customFormat="false" ht="15" hidden="false" customHeight="false" outlineLevel="0" collapsed="false">
      <c r="A489" s="0" t="s">
        <v>131</v>
      </c>
      <c r="B489" s="0" t="s">
        <v>273</v>
      </c>
      <c r="C489" s="17" t="n">
        <f aca="false">IF(SQRT((Coordenadas!$C$84-Coordenadas!$C$168)^2+(Coordenadas!$D$84-Coordenadas!$D$168)^2)&lt;=LEEME!$B$20,EXP(-LEEME!$B$19*SQRT((Coordenadas!$C$84-Coordenadas!$C$168)^2+(Coordenadas!$D$84-Coordenadas!$D$168)^2)),0)</f>
        <v>0.471729860267277</v>
      </c>
    </row>
    <row r="490" customFormat="false" ht="15" hidden="false" customHeight="false" outlineLevel="0" collapsed="false">
      <c r="A490" s="0" t="s">
        <v>132</v>
      </c>
      <c r="B490" s="0" t="s">
        <v>270</v>
      </c>
      <c r="C490" s="17" t="n">
        <f aca="false">IF(SQRT((Coordenadas!$C$85-Coordenadas!$C$165)^2+(Coordenadas!$D$85-Coordenadas!$D$165)^2)&lt;=LEEME!$B$20,EXP(-LEEME!$B$19*SQRT((Coordenadas!$C$85-Coordenadas!$C$165)^2+(Coordenadas!$D$85-Coordenadas!$D$165)^2)),0)</f>
        <v>0.766303760949594</v>
      </c>
    </row>
    <row r="491" customFormat="false" ht="15" hidden="false" customHeight="false" outlineLevel="0" collapsed="false">
      <c r="A491" s="0" t="s">
        <v>132</v>
      </c>
      <c r="B491" s="0" t="s">
        <v>271</v>
      </c>
      <c r="C491" s="17" t="n">
        <f aca="false">IF(SQRT((Coordenadas!$C$85-Coordenadas!$C$166)^2+(Coordenadas!$D$85-Coordenadas!$D$166)^2)&lt;=LEEME!$B$20,EXP(-LEEME!$B$19*SQRT((Coordenadas!$C$85-Coordenadas!$C$166)^2+(Coordenadas!$D$85-Coordenadas!$D$166)^2)),0)</f>
        <v>0.52725123344537</v>
      </c>
    </row>
    <row r="492" customFormat="false" ht="15" hidden="false" customHeight="false" outlineLevel="0" collapsed="false">
      <c r="A492" s="0" t="s">
        <v>132</v>
      </c>
      <c r="B492" s="0" t="s">
        <v>272</v>
      </c>
      <c r="C492" s="17" t="n">
        <f aca="false">IF(SQRT((Coordenadas!$C$85-Coordenadas!$C$167)^2+(Coordenadas!$D$85-Coordenadas!$D$167)^2)&lt;=LEEME!$B$20,EXP(-LEEME!$B$19*SQRT((Coordenadas!$C$85-Coordenadas!$C$167)^2+(Coordenadas!$D$85-Coordenadas!$D$167)^2)),0)</f>
        <v>0.564387624627449</v>
      </c>
    </row>
    <row r="493" customFormat="false" ht="15" hidden="false" customHeight="false" outlineLevel="0" collapsed="false">
      <c r="A493" s="0" t="s">
        <v>132</v>
      </c>
      <c r="B493" s="0" t="s">
        <v>273</v>
      </c>
      <c r="C493" s="17" t="n">
        <f aca="false">IF(SQRT((Coordenadas!$C$85-Coordenadas!$C$168)^2+(Coordenadas!$D$85-Coordenadas!$D$168)^2)&lt;=LEEME!$B$20,EXP(-LEEME!$B$19*SQRT((Coordenadas!$C$85-Coordenadas!$C$168)^2+(Coordenadas!$D$85-Coordenadas!$D$168)^2)),0)</f>
        <v>0.559199682458433</v>
      </c>
    </row>
    <row r="494" customFormat="false" ht="15" hidden="false" customHeight="false" outlineLevel="0" collapsed="false">
      <c r="A494" s="0" t="s">
        <v>132</v>
      </c>
      <c r="B494" s="0" t="s">
        <v>274</v>
      </c>
      <c r="C494" s="17" t="n">
        <f aca="false">IF(SQRT((Coordenadas!$C$85-Coordenadas!$C$169)^2+(Coordenadas!$D$85-Coordenadas!$D$169)^2)&lt;=LEEME!$B$20,EXP(-LEEME!$B$19*SQRT((Coordenadas!$C$85-Coordenadas!$C$169)^2+(Coordenadas!$D$85-Coordenadas!$D$169)^2)),0)</f>
        <v>0.425109175815032</v>
      </c>
    </row>
    <row r="495" customFormat="false" ht="15" hidden="false" customHeight="false" outlineLevel="0" collapsed="false">
      <c r="A495" s="0" t="s">
        <v>132</v>
      </c>
      <c r="B495" s="0" t="s">
        <v>276</v>
      </c>
      <c r="C495" s="17" t="n">
        <f aca="false">IF(SQRT((Coordenadas!$C$85-Coordenadas!$C$171)^2+(Coordenadas!$D$85-Coordenadas!$D$171)^2)&lt;=LEEME!$B$20,EXP(-LEEME!$B$19*SQRT((Coordenadas!$C$85-Coordenadas!$C$171)^2+(Coordenadas!$D$85-Coordenadas!$D$171)^2)),0)</f>
        <v>0.387306717083609</v>
      </c>
    </row>
    <row r="496" customFormat="false" ht="15" hidden="false" customHeight="false" outlineLevel="0" collapsed="false">
      <c r="A496" s="0" t="s">
        <v>133</v>
      </c>
      <c r="B496" s="0" t="s">
        <v>269</v>
      </c>
      <c r="C496" s="17" t="n">
        <f aca="false">IF(SQRT((Coordenadas!$C$86-Coordenadas!$C$164)^2+(Coordenadas!$D$86-Coordenadas!$D$164)^2)&lt;=LEEME!$B$20,EXP(-LEEME!$B$19*SQRT((Coordenadas!$C$86-Coordenadas!$C$164)^2+(Coordenadas!$D$86-Coordenadas!$D$164)^2)),0)</f>
        <v>0.4343426852361</v>
      </c>
    </row>
    <row r="497" customFormat="false" ht="15" hidden="false" customHeight="false" outlineLevel="0" collapsed="false">
      <c r="A497" s="0" t="s">
        <v>133</v>
      </c>
      <c r="B497" s="0" t="s">
        <v>272</v>
      </c>
      <c r="C497" s="17" t="n">
        <f aca="false">IF(SQRT((Coordenadas!$C$86-Coordenadas!$C$167)^2+(Coordenadas!$D$86-Coordenadas!$D$167)^2)&lt;=LEEME!$B$20,EXP(-LEEME!$B$19*SQRT((Coordenadas!$C$86-Coordenadas!$C$167)^2+(Coordenadas!$D$86-Coordenadas!$D$167)^2)),0)</f>
        <v>0.571005162023927</v>
      </c>
    </row>
    <row r="498" customFormat="false" ht="15" hidden="false" customHeight="false" outlineLevel="0" collapsed="false">
      <c r="A498" s="0" t="s">
        <v>134</v>
      </c>
      <c r="B498" s="0" t="s">
        <v>269</v>
      </c>
      <c r="C498" s="17" t="n">
        <f aca="false">IF(SQRT((Coordenadas!$C$87-Coordenadas!$C$164)^2+(Coordenadas!$D$87-Coordenadas!$D$164)^2)&lt;=LEEME!$B$20,EXP(-LEEME!$B$19*SQRT((Coordenadas!$C$87-Coordenadas!$C$164)^2+(Coordenadas!$D$87-Coordenadas!$D$164)^2)),0)</f>
        <v>0.38704659293951</v>
      </c>
    </row>
    <row r="499" customFormat="false" ht="15" hidden="false" customHeight="false" outlineLevel="0" collapsed="false">
      <c r="A499" s="0" t="s">
        <v>134</v>
      </c>
      <c r="B499" s="0" t="s">
        <v>270</v>
      </c>
      <c r="C499" s="17" t="n">
        <f aca="false">IF(SQRT((Coordenadas!$C$87-Coordenadas!$C$165)^2+(Coordenadas!$D$87-Coordenadas!$D$165)^2)&lt;=LEEME!$B$20,EXP(-LEEME!$B$19*SQRT((Coordenadas!$C$87-Coordenadas!$C$165)^2+(Coordenadas!$D$87-Coordenadas!$D$165)^2)),0)</f>
        <v>0.569672063535515</v>
      </c>
    </row>
    <row r="500" customFormat="false" ht="15" hidden="false" customHeight="false" outlineLevel="0" collapsed="false">
      <c r="A500" s="0" t="s">
        <v>134</v>
      </c>
      <c r="B500" s="0" t="s">
        <v>271</v>
      </c>
      <c r="C500" s="17" t="n">
        <f aca="false">IF(SQRT((Coordenadas!$C$87-Coordenadas!$C$166)^2+(Coordenadas!$D$87-Coordenadas!$D$166)^2)&lt;=LEEME!$B$20,EXP(-LEEME!$B$19*SQRT((Coordenadas!$C$87-Coordenadas!$C$166)^2+(Coordenadas!$D$87-Coordenadas!$D$166)^2)),0)</f>
        <v>0.40669957997065</v>
      </c>
    </row>
    <row r="501" customFormat="false" ht="15" hidden="false" customHeight="false" outlineLevel="0" collapsed="false">
      <c r="A501" s="0" t="s">
        <v>134</v>
      </c>
      <c r="B501" s="0" t="s">
        <v>272</v>
      </c>
      <c r="C501" s="17" t="n">
        <f aca="false">IF(SQRT((Coordenadas!$C$87-Coordenadas!$C$167)^2+(Coordenadas!$D$87-Coordenadas!$D$167)^2)&lt;=LEEME!$B$20,EXP(-LEEME!$B$19*SQRT((Coordenadas!$C$87-Coordenadas!$C$167)^2+(Coordenadas!$D$87-Coordenadas!$D$167)^2)),0)</f>
        <v>0.703859445698781</v>
      </c>
    </row>
    <row r="502" customFormat="false" ht="15" hidden="false" customHeight="false" outlineLevel="0" collapsed="false">
      <c r="A502" s="0" t="s">
        <v>134</v>
      </c>
      <c r="B502" s="0" t="s">
        <v>273</v>
      </c>
      <c r="C502" s="17" t="n">
        <f aca="false">IF(SQRT((Coordenadas!$C$87-Coordenadas!$C$168)^2+(Coordenadas!$D$87-Coordenadas!$D$168)^2)&lt;=LEEME!$B$20,EXP(-LEEME!$B$19*SQRT((Coordenadas!$C$87-Coordenadas!$C$168)^2+(Coordenadas!$D$87-Coordenadas!$D$168)^2)),0)</f>
        <v>0.514583098330828</v>
      </c>
    </row>
    <row r="503" customFormat="false" ht="15" hidden="false" customHeight="false" outlineLevel="0" collapsed="false">
      <c r="A503" s="0" t="s">
        <v>134</v>
      </c>
      <c r="B503" s="0" t="s">
        <v>274</v>
      </c>
      <c r="C503" s="17" t="n">
        <f aca="false">IF(SQRT((Coordenadas!$C$87-Coordenadas!$C$169)^2+(Coordenadas!$D$87-Coordenadas!$D$169)^2)&lt;=LEEME!$B$20,EXP(-LEEME!$B$19*SQRT((Coordenadas!$C$87-Coordenadas!$C$169)^2+(Coordenadas!$D$87-Coordenadas!$D$169)^2)),0)</f>
        <v>0.380574041237845</v>
      </c>
    </row>
    <row r="504" customFormat="false" ht="15" hidden="false" customHeight="false" outlineLevel="0" collapsed="false">
      <c r="A504" s="0" t="s">
        <v>135</v>
      </c>
      <c r="B504" s="0" t="s">
        <v>290</v>
      </c>
      <c r="C504" s="17" t="n">
        <f aca="false">IF(SQRT((Coordenadas!$C$88-Coordenadas!$C$185)^2+(Coordenadas!$D$88-Coordenadas!$D$185)^2)&lt;=LEEME!$B$20,EXP(-LEEME!$B$19*SQRT((Coordenadas!$C$88-Coordenadas!$C$185)^2+(Coordenadas!$D$88-Coordenadas!$D$185)^2)),0)</f>
        <v>0.501176651837822</v>
      </c>
    </row>
    <row r="505" customFormat="false" ht="15" hidden="false" customHeight="false" outlineLevel="0" collapsed="false">
      <c r="A505" s="0" t="s">
        <v>135</v>
      </c>
      <c r="B505" s="0" t="s">
        <v>291</v>
      </c>
      <c r="C505" s="17" t="n">
        <f aca="false">IF(SQRT((Coordenadas!$C$88-Coordenadas!$C$186)^2+(Coordenadas!$D$88-Coordenadas!$D$186)^2)&lt;=LEEME!$B$20,EXP(-LEEME!$B$19*SQRT((Coordenadas!$C$88-Coordenadas!$C$186)^2+(Coordenadas!$D$88-Coordenadas!$D$186)^2)),0)</f>
        <v>0.52826278428038</v>
      </c>
    </row>
    <row r="506" customFormat="false" ht="15" hidden="false" customHeight="false" outlineLevel="0" collapsed="false">
      <c r="A506" s="0" t="s">
        <v>135</v>
      </c>
      <c r="B506" s="0" t="s">
        <v>293</v>
      </c>
      <c r="C506" s="17" t="n">
        <f aca="false">IF(SQRT((Coordenadas!$C$88-Coordenadas!$C$188)^2+(Coordenadas!$D$88-Coordenadas!$D$188)^2)&lt;=LEEME!$B$20,EXP(-LEEME!$B$19*SQRT((Coordenadas!$C$88-Coordenadas!$C$188)^2+(Coordenadas!$D$88-Coordenadas!$D$188)^2)),0)</f>
        <v>0.395356175337261</v>
      </c>
    </row>
    <row r="507" customFormat="false" ht="15" hidden="false" customHeight="false" outlineLevel="0" collapsed="false">
      <c r="A507" s="0" t="s">
        <v>135</v>
      </c>
      <c r="B507" s="0" t="s">
        <v>296</v>
      </c>
      <c r="C507" s="17" t="n">
        <f aca="false">IF(SQRT((Coordenadas!$C$88-Coordenadas!$C$191)^2+(Coordenadas!$D$88-Coordenadas!$D$191)^2)&lt;=LEEME!$B$20,EXP(-LEEME!$B$19*SQRT((Coordenadas!$C$88-Coordenadas!$C$191)^2+(Coordenadas!$D$88-Coordenadas!$D$191)^2)),0)</f>
        <v>0.638124707202079</v>
      </c>
    </row>
    <row r="508" customFormat="false" ht="15" hidden="false" customHeight="false" outlineLevel="0" collapsed="false">
      <c r="A508" s="0" t="s">
        <v>135</v>
      </c>
      <c r="B508" s="0" t="s">
        <v>298</v>
      </c>
      <c r="C508" s="17" t="n">
        <f aca="false">IF(SQRT((Coordenadas!$C$88-Coordenadas!$C$193)^2+(Coordenadas!$D$88-Coordenadas!$D$193)^2)&lt;=LEEME!$B$20,EXP(-LEEME!$B$19*SQRT((Coordenadas!$C$88-Coordenadas!$C$193)^2+(Coordenadas!$D$88-Coordenadas!$D$193)^2)),0)</f>
        <v>0.479766582081975</v>
      </c>
    </row>
    <row r="509" customFormat="false" ht="15" hidden="false" customHeight="false" outlineLevel="0" collapsed="false">
      <c r="A509" s="0" t="s">
        <v>135</v>
      </c>
      <c r="B509" s="0" t="s">
        <v>299</v>
      </c>
      <c r="C509" s="17" t="n">
        <f aca="false">IF(SQRT((Coordenadas!$C$88-Coordenadas!$C$194)^2+(Coordenadas!$D$88-Coordenadas!$D$194)^2)&lt;=LEEME!$B$20,EXP(-LEEME!$B$19*SQRT((Coordenadas!$C$88-Coordenadas!$C$194)^2+(Coordenadas!$D$88-Coordenadas!$D$194)^2)),0)</f>
        <v>0.435675320727813</v>
      </c>
    </row>
    <row r="510" customFormat="false" ht="15" hidden="false" customHeight="false" outlineLevel="0" collapsed="false">
      <c r="A510" s="0" t="s">
        <v>135</v>
      </c>
      <c r="B510" s="0" t="s">
        <v>300</v>
      </c>
      <c r="C510" s="17" t="n">
        <f aca="false">IF(SQRT((Coordenadas!$C$88-Coordenadas!$C$195)^2+(Coordenadas!$D$88-Coordenadas!$D$195)^2)&lt;=LEEME!$B$20,EXP(-LEEME!$B$19*SQRT((Coordenadas!$C$88-Coordenadas!$C$195)^2+(Coordenadas!$D$88-Coordenadas!$D$195)^2)),0)</f>
        <v>0.443101512630185</v>
      </c>
    </row>
    <row r="511" customFormat="false" ht="15" hidden="false" customHeight="false" outlineLevel="0" collapsed="false">
      <c r="A511" s="0" t="s">
        <v>135</v>
      </c>
      <c r="B511" s="0" t="s">
        <v>301</v>
      </c>
      <c r="C511" s="17" t="n">
        <f aca="false">IF(SQRT((Coordenadas!$C$88-Coordenadas!$C$196)^2+(Coordenadas!$D$88-Coordenadas!$D$196)^2)&lt;=LEEME!$B$20,EXP(-LEEME!$B$19*SQRT((Coordenadas!$C$88-Coordenadas!$C$196)^2+(Coordenadas!$D$88-Coordenadas!$D$196)^2)),0)</f>
        <v>0.454643486100327</v>
      </c>
    </row>
    <row r="512" customFormat="false" ht="15" hidden="false" customHeight="false" outlineLevel="0" collapsed="false">
      <c r="A512" s="0" t="s">
        <v>135</v>
      </c>
      <c r="B512" s="0" t="s">
        <v>303</v>
      </c>
      <c r="C512" s="17" t="n">
        <f aca="false">IF(SQRT((Coordenadas!$C$88-Coordenadas!$C$198)^2+(Coordenadas!$D$88-Coordenadas!$D$198)^2)&lt;=LEEME!$B$20,EXP(-LEEME!$B$19*SQRT((Coordenadas!$C$88-Coordenadas!$C$198)^2+(Coordenadas!$D$88-Coordenadas!$D$198)^2)),0)</f>
        <v>0.611162669634127</v>
      </c>
    </row>
    <row r="513" customFormat="false" ht="15" hidden="false" customHeight="false" outlineLevel="0" collapsed="false">
      <c r="A513" s="0" t="s">
        <v>135</v>
      </c>
      <c r="B513" s="0" t="s">
        <v>305</v>
      </c>
      <c r="C513" s="17" t="n">
        <f aca="false">IF(SQRT((Coordenadas!$C$88-Coordenadas!$C$200)^2+(Coordenadas!$D$88-Coordenadas!$D$200)^2)&lt;=LEEME!$B$20,EXP(-LEEME!$B$19*SQRT((Coordenadas!$C$88-Coordenadas!$C$200)^2+(Coordenadas!$D$88-Coordenadas!$D$200)^2)),0)</f>
        <v>0.563391045567215</v>
      </c>
    </row>
    <row r="514" customFormat="false" ht="15" hidden="false" customHeight="false" outlineLevel="0" collapsed="false">
      <c r="A514" s="0" t="s">
        <v>136</v>
      </c>
      <c r="B514" s="0" t="s">
        <v>285</v>
      </c>
      <c r="C514" s="17" t="n">
        <f aca="false">IF(SQRT((Coordenadas!$C$89-Coordenadas!$C$180)^2+(Coordenadas!$D$89-Coordenadas!$D$180)^2)&lt;=LEEME!$B$20,EXP(-LEEME!$B$19*SQRT((Coordenadas!$C$89-Coordenadas!$C$180)^2+(Coordenadas!$D$89-Coordenadas!$D$180)^2)),0)</f>
        <v>0.42075363656316</v>
      </c>
    </row>
    <row r="515" customFormat="false" ht="15" hidden="false" customHeight="false" outlineLevel="0" collapsed="false">
      <c r="A515" s="0" t="s">
        <v>136</v>
      </c>
      <c r="B515" s="0" t="s">
        <v>290</v>
      </c>
      <c r="C515" s="17" t="n">
        <f aca="false">IF(SQRT((Coordenadas!$C$89-Coordenadas!$C$185)^2+(Coordenadas!$D$89-Coordenadas!$D$185)^2)&lt;=LEEME!$B$20,EXP(-LEEME!$B$19*SQRT((Coordenadas!$C$89-Coordenadas!$C$185)^2+(Coordenadas!$D$89-Coordenadas!$D$185)^2)),0)</f>
        <v>0.556025443752866</v>
      </c>
    </row>
    <row r="516" customFormat="false" ht="15" hidden="false" customHeight="false" outlineLevel="0" collapsed="false">
      <c r="A516" s="0" t="s">
        <v>136</v>
      </c>
      <c r="B516" s="0" t="s">
        <v>291</v>
      </c>
      <c r="C516" s="17" t="n">
        <f aca="false">IF(SQRT((Coordenadas!$C$89-Coordenadas!$C$186)^2+(Coordenadas!$D$89-Coordenadas!$D$186)^2)&lt;=LEEME!$B$20,EXP(-LEEME!$B$19*SQRT((Coordenadas!$C$89-Coordenadas!$C$186)^2+(Coordenadas!$D$89-Coordenadas!$D$186)^2)),0)</f>
        <v>0.411083029518908</v>
      </c>
    </row>
    <row r="517" customFormat="false" ht="15" hidden="false" customHeight="false" outlineLevel="0" collapsed="false">
      <c r="A517" s="0" t="s">
        <v>136</v>
      </c>
      <c r="B517" s="0" t="s">
        <v>293</v>
      </c>
      <c r="C517" s="17" t="n">
        <f aca="false">IF(SQRT((Coordenadas!$C$89-Coordenadas!$C$188)^2+(Coordenadas!$D$89-Coordenadas!$D$188)^2)&lt;=LEEME!$B$20,EXP(-LEEME!$B$19*SQRT((Coordenadas!$C$89-Coordenadas!$C$188)^2+(Coordenadas!$D$89-Coordenadas!$D$188)^2)),0)</f>
        <v>0.629082934887313</v>
      </c>
    </row>
    <row r="518" customFormat="false" ht="15" hidden="false" customHeight="false" outlineLevel="0" collapsed="false">
      <c r="A518" s="0" t="s">
        <v>136</v>
      </c>
      <c r="B518" s="0" t="s">
        <v>295</v>
      </c>
      <c r="C518" s="17" t="n">
        <f aca="false">IF(SQRT((Coordenadas!$C$89-Coordenadas!$C$190)^2+(Coordenadas!$D$89-Coordenadas!$D$190)^2)&lt;=LEEME!$B$20,EXP(-LEEME!$B$19*SQRT((Coordenadas!$C$89-Coordenadas!$C$190)^2+(Coordenadas!$D$89-Coordenadas!$D$190)^2)),0)</f>
        <v>0.472169828961329</v>
      </c>
    </row>
    <row r="519" customFormat="false" ht="15" hidden="false" customHeight="false" outlineLevel="0" collapsed="false">
      <c r="A519" s="0" t="s">
        <v>136</v>
      </c>
      <c r="B519" s="0" t="s">
        <v>296</v>
      </c>
      <c r="C519" s="17" t="n">
        <f aca="false">IF(SQRT((Coordenadas!$C$89-Coordenadas!$C$191)^2+(Coordenadas!$D$89-Coordenadas!$D$191)^2)&lt;=LEEME!$B$20,EXP(-LEEME!$B$19*SQRT((Coordenadas!$C$89-Coordenadas!$C$191)^2+(Coordenadas!$D$89-Coordenadas!$D$191)^2)),0)</f>
        <v>0.398324212722609</v>
      </c>
    </row>
    <row r="520" customFormat="false" ht="15" hidden="false" customHeight="false" outlineLevel="0" collapsed="false">
      <c r="A520" s="0" t="s">
        <v>136</v>
      </c>
      <c r="B520" s="0" t="s">
        <v>298</v>
      </c>
      <c r="C520" s="17" t="n">
        <f aca="false">IF(SQRT((Coordenadas!$C$89-Coordenadas!$C$193)^2+(Coordenadas!$D$89-Coordenadas!$D$193)^2)&lt;=LEEME!$B$20,EXP(-LEEME!$B$19*SQRT((Coordenadas!$C$89-Coordenadas!$C$193)^2+(Coordenadas!$D$89-Coordenadas!$D$193)^2)),0)</f>
        <v>0.714592269071614</v>
      </c>
    </row>
    <row r="521" customFormat="false" ht="15" hidden="false" customHeight="false" outlineLevel="0" collapsed="false">
      <c r="A521" s="0" t="s">
        <v>136</v>
      </c>
      <c r="B521" s="0" t="s">
        <v>300</v>
      </c>
      <c r="C521" s="17" t="n">
        <f aca="false">IF(SQRT((Coordenadas!$C$89-Coordenadas!$C$195)^2+(Coordenadas!$D$89-Coordenadas!$D$195)^2)&lt;=LEEME!$B$20,EXP(-LEEME!$B$19*SQRT((Coordenadas!$C$89-Coordenadas!$C$195)^2+(Coordenadas!$D$89-Coordenadas!$D$195)^2)),0)</f>
        <v>0.591273865970736</v>
      </c>
    </row>
    <row r="522" customFormat="false" ht="15" hidden="false" customHeight="false" outlineLevel="0" collapsed="false">
      <c r="A522" s="0" t="s">
        <v>136</v>
      </c>
      <c r="B522" s="0" t="s">
        <v>301</v>
      </c>
      <c r="C522" s="17" t="n">
        <f aca="false">IF(SQRT((Coordenadas!$C$89-Coordenadas!$C$196)^2+(Coordenadas!$D$89-Coordenadas!$D$196)^2)&lt;=LEEME!$B$20,EXP(-LEEME!$B$19*SQRT((Coordenadas!$C$89-Coordenadas!$C$196)^2+(Coordenadas!$D$89-Coordenadas!$D$196)^2)),0)</f>
        <v>0.590151746471151</v>
      </c>
    </row>
    <row r="523" customFormat="false" ht="15" hidden="false" customHeight="false" outlineLevel="0" collapsed="false">
      <c r="A523" s="0" t="s">
        <v>136</v>
      </c>
      <c r="B523" s="0" t="s">
        <v>303</v>
      </c>
      <c r="C523" s="17" t="n">
        <f aca="false">IF(SQRT((Coordenadas!$C$89-Coordenadas!$C$198)^2+(Coordenadas!$D$89-Coordenadas!$D$198)^2)&lt;=LEEME!$B$20,EXP(-LEEME!$B$19*SQRT((Coordenadas!$C$89-Coordenadas!$C$198)^2+(Coordenadas!$D$89-Coordenadas!$D$198)^2)),0)</f>
        <v>0.490901160675634</v>
      </c>
    </row>
    <row r="524" customFormat="false" ht="15" hidden="false" customHeight="false" outlineLevel="0" collapsed="false">
      <c r="A524" s="0" t="s">
        <v>136</v>
      </c>
      <c r="B524" s="0" t="s">
        <v>305</v>
      </c>
      <c r="C524" s="17" t="n">
        <f aca="false">IF(SQRT((Coordenadas!$C$89-Coordenadas!$C$200)^2+(Coordenadas!$D$89-Coordenadas!$D$200)^2)&lt;=LEEME!$B$20,EXP(-LEEME!$B$19*SQRT((Coordenadas!$C$89-Coordenadas!$C$200)^2+(Coordenadas!$D$89-Coordenadas!$D$200)^2)),0)</f>
        <v>0.4625850859392</v>
      </c>
    </row>
    <row r="525" customFormat="false" ht="15" hidden="false" customHeight="false" outlineLevel="0" collapsed="false">
      <c r="A525" s="0" t="s">
        <v>137</v>
      </c>
      <c r="B525" s="0" t="s">
        <v>290</v>
      </c>
      <c r="C525" s="17" t="n">
        <f aca="false">IF(SQRT((Coordenadas!$C$90-Coordenadas!$C$185)^2+(Coordenadas!$D$90-Coordenadas!$D$185)^2)&lt;=LEEME!$B$20,EXP(-LEEME!$B$19*SQRT((Coordenadas!$C$90-Coordenadas!$C$185)^2+(Coordenadas!$D$90-Coordenadas!$D$185)^2)),0)</f>
        <v>0.418290535529833</v>
      </c>
    </row>
    <row r="526" customFormat="false" ht="15" hidden="false" customHeight="false" outlineLevel="0" collapsed="false">
      <c r="A526" s="0" t="s">
        <v>137</v>
      </c>
      <c r="B526" s="0" t="s">
        <v>291</v>
      </c>
      <c r="C526" s="17" t="n">
        <f aca="false">IF(SQRT((Coordenadas!$C$90-Coordenadas!$C$186)^2+(Coordenadas!$D$90-Coordenadas!$D$186)^2)&lt;=LEEME!$B$20,EXP(-LEEME!$B$19*SQRT((Coordenadas!$C$90-Coordenadas!$C$186)^2+(Coordenadas!$D$90-Coordenadas!$D$186)^2)),0)</f>
        <v>0.547171751751619</v>
      </c>
    </row>
    <row r="527" customFormat="false" ht="15" hidden="false" customHeight="false" outlineLevel="0" collapsed="false">
      <c r="A527" s="0" t="s">
        <v>137</v>
      </c>
      <c r="B527" s="0" t="s">
        <v>296</v>
      </c>
      <c r="C527" s="17" t="n">
        <f aca="false">IF(SQRT((Coordenadas!$C$90-Coordenadas!$C$191)^2+(Coordenadas!$D$90-Coordenadas!$D$191)^2)&lt;=LEEME!$B$20,EXP(-LEEME!$B$19*SQRT((Coordenadas!$C$90-Coordenadas!$C$191)^2+(Coordenadas!$D$90-Coordenadas!$D$191)^2)),0)</f>
        <v>0.831048140304819</v>
      </c>
    </row>
    <row r="528" customFormat="false" ht="15" hidden="false" customHeight="false" outlineLevel="0" collapsed="false">
      <c r="A528" s="0" t="s">
        <v>137</v>
      </c>
      <c r="B528" s="0" t="s">
        <v>299</v>
      </c>
      <c r="C528" s="17" t="n">
        <f aca="false">IF(SQRT((Coordenadas!$C$90-Coordenadas!$C$194)^2+(Coordenadas!$D$90-Coordenadas!$D$194)^2)&lt;=LEEME!$B$20,EXP(-LEEME!$B$19*SQRT((Coordenadas!$C$90-Coordenadas!$C$194)^2+(Coordenadas!$D$90-Coordenadas!$D$194)^2)),0)</f>
        <v>0.592515380202809</v>
      </c>
    </row>
    <row r="529" customFormat="false" ht="15" hidden="false" customHeight="false" outlineLevel="0" collapsed="false">
      <c r="A529" s="0" t="s">
        <v>137</v>
      </c>
      <c r="B529" s="0" t="s">
        <v>302</v>
      </c>
      <c r="C529" s="17" t="n">
        <f aca="false">IF(SQRT((Coordenadas!$C$90-Coordenadas!$C$197)^2+(Coordenadas!$D$90-Coordenadas!$D$197)^2)&lt;=LEEME!$B$20,EXP(-LEEME!$B$19*SQRT((Coordenadas!$C$90-Coordenadas!$C$197)^2+(Coordenadas!$D$90-Coordenadas!$D$197)^2)),0)</f>
        <v>0.416981159586469</v>
      </c>
    </row>
    <row r="530" customFormat="false" ht="15" hidden="false" customHeight="false" outlineLevel="0" collapsed="false">
      <c r="A530" s="0" t="s">
        <v>137</v>
      </c>
      <c r="B530" s="0" t="s">
        <v>303</v>
      </c>
      <c r="C530" s="17" t="n">
        <f aca="false">IF(SQRT((Coordenadas!$C$90-Coordenadas!$C$198)^2+(Coordenadas!$D$90-Coordenadas!$D$198)^2)&lt;=LEEME!$B$20,EXP(-LEEME!$B$19*SQRT((Coordenadas!$C$90-Coordenadas!$C$198)^2+(Coordenadas!$D$90-Coordenadas!$D$198)^2)),0)</f>
        <v>0.539468455987958</v>
      </c>
    </row>
    <row r="531" customFormat="false" ht="15" hidden="false" customHeight="false" outlineLevel="0" collapsed="false">
      <c r="A531" s="0" t="s">
        <v>137</v>
      </c>
      <c r="B531" s="0" t="s">
        <v>305</v>
      </c>
      <c r="C531" s="17" t="n">
        <f aca="false">IF(SQRT((Coordenadas!$C$90-Coordenadas!$C$200)^2+(Coordenadas!$D$90-Coordenadas!$D$200)^2)&lt;=LEEME!$B$20,EXP(-LEEME!$B$19*SQRT((Coordenadas!$C$90-Coordenadas!$C$200)^2+(Coordenadas!$D$90-Coordenadas!$D$200)^2)),0)</f>
        <v>0.50207643860152</v>
      </c>
    </row>
    <row r="532" customFormat="false" ht="15" hidden="false" customHeight="false" outlineLevel="0" collapsed="false">
      <c r="A532" s="0" t="s">
        <v>137</v>
      </c>
      <c r="B532" s="0" t="s">
        <v>306</v>
      </c>
      <c r="C532" s="17" t="n">
        <f aca="false">IF(SQRT((Coordenadas!$C$90-Coordenadas!$C$201)^2+(Coordenadas!$D$90-Coordenadas!$D$201)^2)&lt;=LEEME!$B$20,EXP(-LEEME!$B$19*SQRT((Coordenadas!$C$90-Coordenadas!$C$201)^2+(Coordenadas!$D$90-Coordenadas!$D$201)^2)),0)</f>
        <v>0.414635672460722</v>
      </c>
    </row>
    <row r="533" customFormat="false" ht="15" hidden="false" customHeight="false" outlineLevel="0" collapsed="false">
      <c r="A533" s="0" t="s">
        <v>137</v>
      </c>
      <c r="B533" s="0" t="s">
        <v>307</v>
      </c>
      <c r="C533" s="17" t="n">
        <f aca="false">IF(SQRT((Coordenadas!$C$90-Coordenadas!$C$202)^2+(Coordenadas!$D$90-Coordenadas!$D$202)^2)&lt;=LEEME!$B$20,EXP(-LEEME!$B$19*SQRT((Coordenadas!$C$90-Coordenadas!$C$202)^2+(Coordenadas!$D$90-Coordenadas!$D$202)^2)),0)</f>
        <v>0.400325218001334</v>
      </c>
    </row>
    <row r="534" customFormat="false" ht="15" hidden="false" customHeight="false" outlineLevel="0" collapsed="false">
      <c r="A534" s="0" t="s">
        <v>138</v>
      </c>
      <c r="B534" s="0" t="s">
        <v>285</v>
      </c>
      <c r="C534" s="17" t="n">
        <f aca="false">IF(SQRT((Coordenadas!$C$91-Coordenadas!$C$180)^2+(Coordenadas!$D$91-Coordenadas!$D$180)^2)&lt;=LEEME!$B$20,EXP(-LEEME!$B$19*SQRT((Coordenadas!$C$91-Coordenadas!$C$180)^2+(Coordenadas!$D$91-Coordenadas!$D$180)^2)),0)</f>
        <v>0.388376479702588</v>
      </c>
    </row>
    <row r="535" customFormat="false" ht="15" hidden="false" customHeight="false" outlineLevel="0" collapsed="false">
      <c r="A535" s="0" t="s">
        <v>138</v>
      </c>
      <c r="B535" s="0" t="s">
        <v>290</v>
      </c>
      <c r="C535" s="17" t="n">
        <f aca="false">IF(SQRT((Coordenadas!$C$91-Coordenadas!$C$185)^2+(Coordenadas!$D$91-Coordenadas!$D$185)^2)&lt;=LEEME!$B$20,EXP(-LEEME!$B$19*SQRT((Coordenadas!$C$91-Coordenadas!$C$185)^2+(Coordenadas!$D$91-Coordenadas!$D$185)^2)),0)</f>
        <v>0.566844264266105</v>
      </c>
    </row>
    <row r="536" customFormat="false" ht="15" hidden="false" customHeight="false" outlineLevel="0" collapsed="false">
      <c r="A536" s="0" t="s">
        <v>138</v>
      </c>
      <c r="B536" s="0" t="s">
        <v>291</v>
      </c>
      <c r="C536" s="17" t="n">
        <f aca="false">IF(SQRT((Coordenadas!$C$91-Coordenadas!$C$186)^2+(Coordenadas!$D$91-Coordenadas!$D$186)^2)&lt;=LEEME!$B$20,EXP(-LEEME!$B$19*SQRT((Coordenadas!$C$91-Coordenadas!$C$186)^2+(Coordenadas!$D$91-Coordenadas!$D$186)^2)),0)</f>
        <v>0.503181573278285</v>
      </c>
    </row>
    <row r="537" customFormat="false" ht="15" hidden="false" customHeight="false" outlineLevel="0" collapsed="false">
      <c r="A537" s="0" t="s">
        <v>138</v>
      </c>
      <c r="B537" s="0" t="s">
        <v>293</v>
      </c>
      <c r="C537" s="17" t="n">
        <f aca="false">IF(SQRT((Coordenadas!$C$91-Coordenadas!$C$188)^2+(Coordenadas!$D$91-Coordenadas!$D$188)^2)&lt;=LEEME!$B$20,EXP(-LEEME!$B$19*SQRT((Coordenadas!$C$91-Coordenadas!$C$188)^2+(Coordenadas!$D$91-Coordenadas!$D$188)^2)),0)</f>
        <v>0.490909785112167</v>
      </c>
    </row>
    <row r="538" customFormat="false" ht="15" hidden="false" customHeight="false" outlineLevel="0" collapsed="false">
      <c r="A538" s="0" t="s">
        <v>138</v>
      </c>
      <c r="B538" s="0" t="s">
        <v>296</v>
      </c>
      <c r="C538" s="17" t="n">
        <f aca="false">IF(SQRT((Coordenadas!$C$91-Coordenadas!$C$191)^2+(Coordenadas!$D$91-Coordenadas!$D$191)^2)&lt;=LEEME!$B$20,EXP(-LEEME!$B$19*SQRT((Coordenadas!$C$91-Coordenadas!$C$191)^2+(Coordenadas!$D$91-Coordenadas!$D$191)^2)),0)</f>
        <v>0.528677095383719</v>
      </c>
    </row>
    <row r="539" customFormat="false" ht="15" hidden="false" customHeight="false" outlineLevel="0" collapsed="false">
      <c r="A539" s="0" t="s">
        <v>138</v>
      </c>
      <c r="B539" s="0" t="s">
        <v>298</v>
      </c>
      <c r="C539" s="17" t="n">
        <f aca="false">IF(SQRT((Coordenadas!$C$91-Coordenadas!$C$193)^2+(Coordenadas!$D$91-Coordenadas!$D$193)^2)&lt;=LEEME!$B$20,EXP(-LEEME!$B$19*SQRT((Coordenadas!$C$91-Coordenadas!$C$193)^2+(Coordenadas!$D$91-Coordenadas!$D$193)^2)),0)</f>
        <v>0.571196314042891</v>
      </c>
    </row>
    <row r="540" customFormat="false" ht="15" hidden="false" customHeight="false" outlineLevel="0" collapsed="false">
      <c r="A540" s="0" t="s">
        <v>138</v>
      </c>
      <c r="B540" s="0" t="s">
        <v>300</v>
      </c>
      <c r="C540" s="17" t="n">
        <f aca="false">IF(SQRT((Coordenadas!$C$91-Coordenadas!$C$195)^2+(Coordenadas!$D$91-Coordenadas!$D$195)^2)&lt;=LEEME!$B$20,EXP(-LEEME!$B$19*SQRT((Coordenadas!$C$91-Coordenadas!$C$195)^2+(Coordenadas!$D$91-Coordenadas!$D$195)^2)),0)</f>
        <v>0.504384800440591</v>
      </c>
    </row>
    <row r="541" customFormat="false" ht="15" hidden="false" customHeight="false" outlineLevel="0" collapsed="false">
      <c r="A541" s="0" t="s">
        <v>138</v>
      </c>
      <c r="B541" s="0" t="s">
        <v>301</v>
      </c>
      <c r="C541" s="17" t="n">
        <f aca="false">IF(SQRT((Coordenadas!$C$91-Coordenadas!$C$196)^2+(Coordenadas!$D$91-Coordenadas!$D$196)^2)&lt;=LEEME!$B$20,EXP(-LEEME!$B$19*SQRT((Coordenadas!$C$91-Coordenadas!$C$196)^2+(Coordenadas!$D$91-Coordenadas!$D$196)^2)),0)</f>
        <v>0.512579180022427</v>
      </c>
    </row>
    <row r="542" customFormat="false" ht="15" hidden="false" customHeight="false" outlineLevel="0" collapsed="false">
      <c r="A542" s="0" t="s">
        <v>138</v>
      </c>
      <c r="B542" s="0" t="s">
        <v>303</v>
      </c>
      <c r="C542" s="17" t="n">
        <f aca="false">IF(SQRT((Coordenadas!$C$91-Coordenadas!$C$198)^2+(Coordenadas!$D$91-Coordenadas!$D$198)^2)&lt;=LEEME!$B$20,EXP(-LEEME!$B$19*SQRT((Coordenadas!$C$91-Coordenadas!$C$198)^2+(Coordenadas!$D$91-Coordenadas!$D$198)^2)),0)</f>
        <v>0.563993336352871</v>
      </c>
    </row>
    <row r="543" customFormat="false" ht="15" hidden="false" customHeight="false" outlineLevel="0" collapsed="false">
      <c r="A543" s="0" t="s">
        <v>138</v>
      </c>
      <c r="B543" s="0" t="s">
        <v>305</v>
      </c>
      <c r="C543" s="17" t="n">
        <f aca="false">IF(SQRT((Coordenadas!$C$91-Coordenadas!$C$200)^2+(Coordenadas!$D$91-Coordenadas!$D$200)^2)&lt;=LEEME!$B$20,EXP(-LEEME!$B$19*SQRT((Coordenadas!$C$91-Coordenadas!$C$200)^2+(Coordenadas!$D$91-Coordenadas!$D$200)^2)),0)</f>
        <v>0.522800109097093</v>
      </c>
    </row>
    <row r="544" customFormat="false" ht="15" hidden="false" customHeight="false" outlineLevel="0" collapsed="false">
      <c r="A544" s="0" t="s">
        <v>139</v>
      </c>
      <c r="B544" s="0" t="s">
        <v>290</v>
      </c>
      <c r="C544" s="17" t="n">
        <f aca="false">IF(SQRT((Coordenadas!$C$92-Coordenadas!$C$185)^2+(Coordenadas!$D$92-Coordenadas!$D$185)^2)&lt;=LEEME!$B$20,EXP(-LEEME!$B$19*SQRT((Coordenadas!$C$92-Coordenadas!$C$185)^2+(Coordenadas!$D$92-Coordenadas!$D$185)^2)),0)</f>
        <v>0.472138370890498</v>
      </c>
    </row>
    <row r="545" customFormat="false" ht="15" hidden="false" customHeight="false" outlineLevel="0" collapsed="false">
      <c r="A545" s="0" t="s">
        <v>139</v>
      </c>
      <c r="B545" s="0" t="s">
        <v>291</v>
      </c>
      <c r="C545" s="17" t="n">
        <f aca="false">IF(SQRT((Coordenadas!$C$92-Coordenadas!$C$186)^2+(Coordenadas!$D$92-Coordenadas!$D$186)^2)&lt;=LEEME!$B$20,EXP(-LEEME!$B$19*SQRT((Coordenadas!$C$92-Coordenadas!$C$186)^2+(Coordenadas!$D$92-Coordenadas!$D$186)^2)),0)</f>
        <v>0.553612131807738</v>
      </c>
    </row>
    <row r="546" customFormat="false" ht="15" hidden="false" customHeight="false" outlineLevel="0" collapsed="false">
      <c r="A546" s="0" t="s">
        <v>139</v>
      </c>
      <c r="B546" s="0" t="s">
        <v>296</v>
      </c>
      <c r="C546" s="17" t="n">
        <f aca="false">IF(SQRT((Coordenadas!$C$92-Coordenadas!$C$191)^2+(Coordenadas!$D$92-Coordenadas!$D$191)^2)&lt;=LEEME!$B$20,EXP(-LEEME!$B$19*SQRT((Coordenadas!$C$92-Coordenadas!$C$191)^2+(Coordenadas!$D$92-Coordenadas!$D$191)^2)),0)</f>
        <v>0.729210633771339</v>
      </c>
    </row>
    <row r="547" customFormat="false" ht="15" hidden="false" customHeight="false" outlineLevel="0" collapsed="false">
      <c r="A547" s="0" t="s">
        <v>139</v>
      </c>
      <c r="B547" s="0" t="s">
        <v>298</v>
      </c>
      <c r="C547" s="17" t="n">
        <f aca="false">IF(SQRT((Coordenadas!$C$92-Coordenadas!$C$193)^2+(Coordenadas!$D$92-Coordenadas!$D$193)^2)&lt;=LEEME!$B$20,EXP(-LEEME!$B$19*SQRT((Coordenadas!$C$92-Coordenadas!$C$193)^2+(Coordenadas!$D$92-Coordenadas!$D$193)^2)),0)</f>
        <v>0.41770351580819</v>
      </c>
    </row>
    <row r="548" customFormat="false" ht="15" hidden="false" customHeight="false" outlineLevel="0" collapsed="false">
      <c r="A548" s="0" t="s">
        <v>139</v>
      </c>
      <c r="B548" s="0" t="s">
        <v>299</v>
      </c>
      <c r="C548" s="17" t="n">
        <f aca="false">IF(SQRT((Coordenadas!$C$92-Coordenadas!$C$194)^2+(Coordenadas!$D$92-Coordenadas!$D$194)^2)&lt;=LEEME!$B$20,EXP(-LEEME!$B$19*SQRT((Coordenadas!$C$92-Coordenadas!$C$194)^2+(Coordenadas!$D$92-Coordenadas!$D$194)^2)),0)</f>
        <v>0.498366557310658</v>
      </c>
    </row>
    <row r="549" customFormat="false" ht="15" hidden="false" customHeight="false" outlineLevel="0" collapsed="false">
      <c r="A549" s="0" t="s">
        <v>139</v>
      </c>
      <c r="B549" s="0" t="s">
        <v>300</v>
      </c>
      <c r="C549" s="17" t="n">
        <f aca="false">IF(SQRT((Coordenadas!$C$92-Coordenadas!$C$195)^2+(Coordenadas!$D$92-Coordenadas!$D$195)^2)&lt;=LEEME!$B$20,EXP(-LEEME!$B$19*SQRT((Coordenadas!$C$92-Coordenadas!$C$195)^2+(Coordenadas!$D$92-Coordenadas!$D$195)^2)),0)</f>
        <v>0.38954011911032</v>
      </c>
    </row>
    <row r="550" customFormat="false" ht="15" hidden="false" customHeight="false" outlineLevel="0" collapsed="false">
      <c r="A550" s="0" t="s">
        <v>139</v>
      </c>
      <c r="B550" s="0" t="s">
        <v>301</v>
      </c>
      <c r="C550" s="17" t="n">
        <f aca="false">IF(SQRT((Coordenadas!$C$92-Coordenadas!$C$196)^2+(Coordenadas!$D$92-Coordenadas!$D$196)^2)&lt;=LEEME!$B$20,EXP(-LEEME!$B$19*SQRT((Coordenadas!$C$92-Coordenadas!$C$196)^2+(Coordenadas!$D$92-Coordenadas!$D$196)^2)),0)</f>
        <v>0.4006425128733</v>
      </c>
    </row>
    <row r="551" customFormat="false" ht="15" hidden="false" customHeight="false" outlineLevel="0" collapsed="false">
      <c r="A551" s="0" t="s">
        <v>139</v>
      </c>
      <c r="B551" s="0" t="s">
        <v>303</v>
      </c>
      <c r="C551" s="17" t="n">
        <f aca="false">IF(SQRT((Coordenadas!$C$92-Coordenadas!$C$198)^2+(Coordenadas!$D$92-Coordenadas!$D$198)^2)&lt;=LEEME!$B$20,EXP(-LEEME!$B$19*SQRT((Coordenadas!$C$92-Coordenadas!$C$198)^2+(Coordenadas!$D$92-Coordenadas!$D$198)^2)),0)</f>
        <v>0.583220932685861</v>
      </c>
    </row>
    <row r="552" customFormat="false" ht="15" hidden="false" customHeight="false" outlineLevel="0" collapsed="false">
      <c r="A552" s="0" t="s">
        <v>139</v>
      </c>
      <c r="B552" s="0" t="s">
        <v>305</v>
      </c>
      <c r="C552" s="17" t="n">
        <f aca="false">IF(SQRT((Coordenadas!$C$92-Coordenadas!$C$200)^2+(Coordenadas!$D$92-Coordenadas!$D$200)^2)&lt;=LEEME!$B$20,EXP(-LEEME!$B$19*SQRT((Coordenadas!$C$92-Coordenadas!$C$200)^2+(Coordenadas!$D$92-Coordenadas!$D$200)^2)),0)</f>
        <v>0.538770361752245</v>
      </c>
    </row>
    <row r="553" customFormat="false" ht="15" hidden="false" customHeight="false" outlineLevel="0" collapsed="false">
      <c r="A553" s="0" t="s">
        <v>140</v>
      </c>
      <c r="B553" s="0" t="s">
        <v>290</v>
      </c>
      <c r="C553" s="17" t="n">
        <f aca="false">IF(SQRT((Coordenadas!$C$93-Coordenadas!$C$185)^2+(Coordenadas!$D$93-Coordenadas!$D$185)^2)&lt;=LEEME!$B$20,EXP(-LEEME!$B$19*SQRT((Coordenadas!$C$93-Coordenadas!$C$185)^2+(Coordenadas!$D$93-Coordenadas!$D$185)^2)),0)</f>
        <v>0.444056466575625</v>
      </c>
    </row>
    <row r="554" customFormat="false" ht="15" hidden="false" customHeight="false" outlineLevel="0" collapsed="false">
      <c r="A554" s="0" t="s">
        <v>140</v>
      </c>
      <c r="B554" s="0" t="s">
        <v>293</v>
      </c>
      <c r="C554" s="17" t="n">
        <f aca="false">IF(SQRT((Coordenadas!$C$93-Coordenadas!$C$188)^2+(Coordenadas!$D$93-Coordenadas!$D$188)^2)&lt;=LEEME!$B$20,EXP(-LEEME!$B$19*SQRT((Coordenadas!$C$93-Coordenadas!$C$188)^2+(Coordenadas!$D$93-Coordenadas!$D$188)^2)),0)</f>
        <v>0.520226686238997</v>
      </c>
    </row>
    <row r="555" customFormat="false" ht="15" hidden="false" customHeight="false" outlineLevel="0" collapsed="false">
      <c r="A555" s="0" t="s">
        <v>140</v>
      </c>
      <c r="B555" s="0" t="s">
        <v>295</v>
      </c>
      <c r="C555" s="17" t="n">
        <f aca="false">IF(SQRT((Coordenadas!$C$93-Coordenadas!$C$190)^2+(Coordenadas!$D$93-Coordenadas!$D$190)^2)&lt;=LEEME!$B$20,EXP(-LEEME!$B$19*SQRT((Coordenadas!$C$93-Coordenadas!$C$190)^2+(Coordenadas!$D$93-Coordenadas!$D$190)^2)),0)</f>
        <v>0.440700392271359</v>
      </c>
    </row>
    <row r="556" customFormat="false" ht="15" hidden="false" customHeight="false" outlineLevel="0" collapsed="false">
      <c r="A556" s="0" t="s">
        <v>140</v>
      </c>
      <c r="B556" s="0" t="s">
        <v>296</v>
      </c>
      <c r="C556" s="17" t="n">
        <f aca="false">IF(SQRT((Coordenadas!$C$93-Coordenadas!$C$191)^2+(Coordenadas!$D$93-Coordenadas!$D$191)^2)&lt;=LEEME!$B$20,EXP(-LEEME!$B$19*SQRT((Coordenadas!$C$93-Coordenadas!$C$191)^2+(Coordenadas!$D$93-Coordenadas!$D$191)^2)),0)</f>
        <v>0.385195332208848</v>
      </c>
    </row>
    <row r="557" customFormat="false" ht="15" hidden="false" customHeight="false" outlineLevel="0" collapsed="false">
      <c r="A557" s="0" t="s">
        <v>140</v>
      </c>
      <c r="B557" s="0" t="s">
        <v>298</v>
      </c>
      <c r="C557" s="17" t="n">
        <f aca="false">IF(SQRT((Coordenadas!$C$93-Coordenadas!$C$193)^2+(Coordenadas!$D$93-Coordenadas!$D$193)^2)&lt;=LEEME!$B$20,EXP(-LEEME!$B$19*SQRT((Coordenadas!$C$93-Coordenadas!$C$193)^2+(Coordenadas!$D$93-Coordenadas!$D$193)^2)),0)</f>
        <v>0.790528803863969</v>
      </c>
    </row>
    <row r="558" customFormat="false" ht="15" hidden="false" customHeight="false" outlineLevel="0" collapsed="false">
      <c r="A558" s="0" t="s">
        <v>140</v>
      </c>
      <c r="B558" s="0" t="s">
        <v>300</v>
      </c>
      <c r="C558" s="17" t="n">
        <f aca="false">IF(SQRT((Coordenadas!$C$93-Coordenadas!$C$195)^2+(Coordenadas!$D$93-Coordenadas!$D$195)^2)&lt;=LEEME!$B$20,EXP(-LEEME!$B$19*SQRT((Coordenadas!$C$93-Coordenadas!$C$195)^2+(Coordenadas!$D$93-Coordenadas!$D$195)^2)),0)</f>
        <v>0.717189338527774</v>
      </c>
    </row>
    <row r="559" customFormat="false" ht="15" hidden="false" customHeight="false" outlineLevel="0" collapsed="false">
      <c r="A559" s="0" t="s">
        <v>140</v>
      </c>
      <c r="B559" s="0" t="s">
        <v>301</v>
      </c>
      <c r="C559" s="17" t="n">
        <f aca="false">IF(SQRT((Coordenadas!$C$93-Coordenadas!$C$196)^2+(Coordenadas!$D$93-Coordenadas!$D$196)^2)&lt;=LEEME!$B$20,EXP(-LEEME!$B$19*SQRT((Coordenadas!$C$93-Coordenadas!$C$196)^2+(Coordenadas!$D$93-Coordenadas!$D$196)^2)),0)</f>
        <v>0.726035612832856</v>
      </c>
    </row>
    <row r="560" customFormat="false" ht="15" hidden="false" customHeight="false" outlineLevel="0" collapsed="false">
      <c r="A560" s="0" t="s">
        <v>140</v>
      </c>
      <c r="B560" s="0" t="s">
        <v>303</v>
      </c>
      <c r="C560" s="17" t="n">
        <f aca="false">IF(SQRT((Coordenadas!$C$93-Coordenadas!$C$198)^2+(Coordenadas!$D$93-Coordenadas!$D$198)^2)&lt;=LEEME!$B$20,EXP(-LEEME!$B$19*SQRT((Coordenadas!$C$93-Coordenadas!$C$198)^2+(Coordenadas!$D$93-Coordenadas!$D$198)^2)),0)</f>
        <v>0.58964880186194</v>
      </c>
    </row>
    <row r="561" customFormat="false" ht="15" hidden="false" customHeight="false" outlineLevel="0" collapsed="false">
      <c r="A561" s="0" t="s">
        <v>140</v>
      </c>
      <c r="B561" s="0" t="s">
        <v>305</v>
      </c>
      <c r="C561" s="17" t="n">
        <f aca="false">IF(SQRT((Coordenadas!$C$93-Coordenadas!$C$200)^2+(Coordenadas!$D$93-Coordenadas!$D$200)^2)&lt;=LEEME!$B$20,EXP(-LEEME!$B$19*SQRT((Coordenadas!$C$93-Coordenadas!$C$200)^2+(Coordenadas!$D$93-Coordenadas!$D$200)^2)),0)</f>
        <v>0.563575232795636</v>
      </c>
    </row>
    <row r="562" customFormat="false" ht="15" hidden="false" customHeight="false" outlineLevel="0" collapsed="false">
      <c r="A562" s="0" t="s">
        <v>141</v>
      </c>
      <c r="B562" s="0" t="s">
        <v>290</v>
      </c>
      <c r="C562" s="17" t="n">
        <f aca="false">IF(SQRT((Coordenadas!$C$94-Coordenadas!$C$185)^2+(Coordenadas!$D$94-Coordenadas!$D$185)^2)&lt;=LEEME!$B$20,EXP(-LEEME!$B$19*SQRT((Coordenadas!$C$94-Coordenadas!$C$185)^2+(Coordenadas!$D$94-Coordenadas!$D$185)^2)),0)</f>
        <v>0.391768865977205</v>
      </c>
    </row>
    <row r="563" customFormat="false" ht="15" hidden="false" customHeight="false" outlineLevel="0" collapsed="false">
      <c r="A563" s="0" t="s">
        <v>141</v>
      </c>
      <c r="B563" s="0" t="s">
        <v>291</v>
      </c>
      <c r="C563" s="17" t="n">
        <f aca="false">IF(SQRT((Coordenadas!$C$94-Coordenadas!$C$186)^2+(Coordenadas!$D$94-Coordenadas!$D$186)^2)&lt;=LEEME!$B$20,EXP(-LEEME!$B$19*SQRT((Coordenadas!$C$94-Coordenadas!$C$186)^2+(Coordenadas!$D$94-Coordenadas!$D$186)^2)),0)</f>
        <v>0.382091920307568</v>
      </c>
    </row>
    <row r="564" customFormat="false" ht="15" hidden="false" customHeight="false" outlineLevel="0" collapsed="false">
      <c r="A564" s="0" t="s">
        <v>141</v>
      </c>
      <c r="B564" s="0" t="s">
        <v>293</v>
      </c>
      <c r="C564" s="17" t="n">
        <f aca="false">IF(SQRT((Coordenadas!$C$94-Coordenadas!$C$188)^2+(Coordenadas!$D$94-Coordenadas!$D$188)^2)&lt;=LEEME!$B$20,EXP(-LEEME!$B$19*SQRT((Coordenadas!$C$94-Coordenadas!$C$188)^2+(Coordenadas!$D$94-Coordenadas!$D$188)^2)),0)</f>
        <v>0.37419427574745</v>
      </c>
    </row>
    <row r="565" customFormat="false" ht="15" hidden="false" customHeight="false" outlineLevel="0" collapsed="false">
      <c r="A565" s="0" t="s">
        <v>141</v>
      </c>
      <c r="B565" s="0" t="s">
        <v>296</v>
      </c>
      <c r="C565" s="17" t="n">
        <f aca="false">IF(SQRT((Coordenadas!$C$94-Coordenadas!$C$191)^2+(Coordenadas!$D$94-Coordenadas!$D$191)^2)&lt;=LEEME!$B$20,EXP(-LEEME!$B$19*SQRT((Coordenadas!$C$94-Coordenadas!$C$191)^2+(Coordenadas!$D$94-Coordenadas!$D$191)^2)),0)</f>
        <v>0.490633983766972</v>
      </c>
    </row>
    <row r="566" customFormat="false" ht="15" hidden="false" customHeight="false" outlineLevel="0" collapsed="false">
      <c r="A566" s="0" t="s">
        <v>141</v>
      </c>
      <c r="B566" s="0" t="s">
        <v>298</v>
      </c>
      <c r="C566" s="17" t="n">
        <f aca="false">IF(SQRT((Coordenadas!$C$94-Coordenadas!$C$193)^2+(Coordenadas!$D$94-Coordenadas!$D$193)^2)&lt;=LEEME!$B$20,EXP(-LEEME!$B$19*SQRT((Coordenadas!$C$94-Coordenadas!$C$193)^2+(Coordenadas!$D$94-Coordenadas!$D$193)^2)),0)</f>
        <v>0.552666328868771</v>
      </c>
    </row>
    <row r="567" customFormat="false" ht="15" hidden="false" customHeight="false" outlineLevel="0" collapsed="false">
      <c r="A567" s="0" t="s">
        <v>141</v>
      </c>
      <c r="B567" s="0" t="s">
        <v>299</v>
      </c>
      <c r="C567" s="17" t="n">
        <f aca="false">IF(SQRT((Coordenadas!$C$94-Coordenadas!$C$194)^2+(Coordenadas!$D$94-Coordenadas!$D$194)^2)&lt;=LEEME!$B$20,EXP(-LEEME!$B$19*SQRT((Coordenadas!$C$94-Coordenadas!$C$194)^2+(Coordenadas!$D$94-Coordenadas!$D$194)^2)),0)</f>
        <v>0.382603944802748</v>
      </c>
    </row>
    <row r="568" customFormat="false" ht="15" hidden="false" customHeight="false" outlineLevel="0" collapsed="false">
      <c r="A568" s="0" t="s">
        <v>141</v>
      </c>
      <c r="B568" s="0" t="s">
        <v>300</v>
      </c>
      <c r="C568" s="17" t="n">
        <f aca="false">IF(SQRT((Coordenadas!$C$94-Coordenadas!$C$195)^2+(Coordenadas!$D$94-Coordenadas!$D$195)^2)&lt;=LEEME!$B$20,EXP(-LEEME!$B$19*SQRT((Coordenadas!$C$94-Coordenadas!$C$195)^2+(Coordenadas!$D$94-Coordenadas!$D$195)^2)),0)</f>
        <v>0.556832252588402</v>
      </c>
    </row>
    <row r="569" customFormat="false" ht="15" hidden="false" customHeight="false" outlineLevel="0" collapsed="false">
      <c r="A569" s="0" t="s">
        <v>141</v>
      </c>
      <c r="B569" s="0" t="s">
        <v>301</v>
      </c>
      <c r="C569" s="17" t="n">
        <f aca="false">IF(SQRT((Coordenadas!$C$94-Coordenadas!$C$196)^2+(Coordenadas!$D$94-Coordenadas!$D$196)^2)&lt;=LEEME!$B$20,EXP(-LEEME!$B$19*SQRT((Coordenadas!$C$94-Coordenadas!$C$196)^2+(Coordenadas!$D$94-Coordenadas!$D$196)^2)),0)</f>
        <v>0.57742240531199</v>
      </c>
    </row>
    <row r="570" customFormat="false" ht="15" hidden="false" customHeight="false" outlineLevel="0" collapsed="false">
      <c r="A570" s="0" t="s">
        <v>141</v>
      </c>
      <c r="B570" s="0" t="s">
        <v>303</v>
      </c>
      <c r="C570" s="17" t="n">
        <f aca="false">IF(SQRT((Coordenadas!$C$94-Coordenadas!$C$198)^2+(Coordenadas!$D$94-Coordenadas!$D$198)^2)&lt;=LEEME!$B$20,EXP(-LEEME!$B$19*SQRT((Coordenadas!$C$94-Coordenadas!$C$198)^2+(Coordenadas!$D$94-Coordenadas!$D$198)^2)),0)</f>
        <v>0.815444384217565</v>
      </c>
    </row>
    <row r="571" customFormat="false" ht="15" hidden="false" customHeight="false" outlineLevel="0" collapsed="false">
      <c r="A571" s="0" t="s">
        <v>141</v>
      </c>
      <c r="B571" s="0" t="s">
        <v>305</v>
      </c>
      <c r="C571" s="17" t="n">
        <f aca="false">IF(SQRT((Coordenadas!$C$94-Coordenadas!$C$200)^2+(Coordenadas!$D$94-Coordenadas!$D$200)^2)&lt;=LEEME!$B$20,EXP(-LEEME!$B$19*SQRT((Coordenadas!$C$94-Coordenadas!$C$200)^2+(Coordenadas!$D$94-Coordenadas!$D$200)^2)),0)</f>
        <v>0.756799065642138</v>
      </c>
    </row>
    <row r="572" customFormat="false" ht="15" hidden="false" customHeight="false" outlineLevel="0" collapsed="false">
      <c r="A572" s="0" t="s">
        <v>142</v>
      </c>
      <c r="B572" s="0" t="s">
        <v>296</v>
      </c>
      <c r="C572" s="17" t="n">
        <f aca="false">IF(SQRT((Coordenadas!$C$95-Coordenadas!$C$191)^2+(Coordenadas!$D$95-Coordenadas!$D$191)^2)&lt;=LEEME!$B$20,EXP(-LEEME!$B$19*SQRT((Coordenadas!$C$95-Coordenadas!$C$191)^2+(Coordenadas!$D$95-Coordenadas!$D$191)^2)),0)</f>
        <v>0.444748255017017</v>
      </c>
    </row>
    <row r="573" customFormat="false" ht="15" hidden="false" customHeight="false" outlineLevel="0" collapsed="false">
      <c r="A573" s="0" t="s">
        <v>142</v>
      </c>
      <c r="B573" s="0" t="s">
        <v>298</v>
      </c>
      <c r="C573" s="17" t="n">
        <f aca="false">IF(SQRT((Coordenadas!$C$95-Coordenadas!$C$193)^2+(Coordenadas!$D$95-Coordenadas!$D$193)^2)&lt;=LEEME!$B$20,EXP(-LEEME!$B$19*SQRT((Coordenadas!$C$95-Coordenadas!$C$193)^2+(Coordenadas!$D$95-Coordenadas!$D$193)^2)),0)</f>
        <v>0.389586607432976</v>
      </c>
    </row>
    <row r="574" customFormat="false" ht="15" hidden="false" customHeight="false" outlineLevel="0" collapsed="false">
      <c r="A574" s="0" t="s">
        <v>142</v>
      </c>
      <c r="B574" s="0" t="s">
        <v>299</v>
      </c>
      <c r="C574" s="17" t="n">
        <f aca="false">IF(SQRT((Coordenadas!$C$95-Coordenadas!$C$194)^2+(Coordenadas!$D$95-Coordenadas!$D$194)^2)&lt;=LEEME!$B$20,EXP(-LEEME!$B$19*SQRT((Coordenadas!$C$95-Coordenadas!$C$194)^2+(Coordenadas!$D$95-Coordenadas!$D$194)^2)),0)</f>
        <v>0.437149027668401</v>
      </c>
    </row>
    <row r="575" customFormat="false" ht="15" hidden="false" customHeight="false" outlineLevel="0" collapsed="false">
      <c r="A575" s="0" t="s">
        <v>142</v>
      </c>
      <c r="B575" s="0" t="s">
        <v>300</v>
      </c>
      <c r="C575" s="17" t="n">
        <f aca="false">IF(SQRT((Coordenadas!$C$95-Coordenadas!$C$195)^2+(Coordenadas!$D$95-Coordenadas!$D$195)^2)&lt;=LEEME!$B$20,EXP(-LEEME!$B$19*SQRT((Coordenadas!$C$95-Coordenadas!$C$195)^2+(Coordenadas!$D$95-Coordenadas!$D$195)^2)),0)</f>
        <v>0.423500658709383</v>
      </c>
    </row>
    <row r="576" customFormat="false" ht="15" hidden="false" customHeight="false" outlineLevel="0" collapsed="false">
      <c r="A576" s="0" t="s">
        <v>142</v>
      </c>
      <c r="B576" s="0" t="s">
        <v>301</v>
      </c>
      <c r="C576" s="17" t="n">
        <f aca="false">IF(SQRT((Coordenadas!$C$95-Coordenadas!$C$196)^2+(Coordenadas!$D$95-Coordenadas!$D$196)^2)&lt;=LEEME!$B$20,EXP(-LEEME!$B$19*SQRT((Coordenadas!$C$95-Coordenadas!$C$196)^2+(Coordenadas!$D$95-Coordenadas!$D$196)^2)),0)</f>
        <v>0.442530733884869</v>
      </c>
    </row>
    <row r="577" customFormat="false" ht="15" hidden="false" customHeight="false" outlineLevel="0" collapsed="false">
      <c r="A577" s="0" t="s">
        <v>142</v>
      </c>
      <c r="B577" s="0" t="s">
        <v>303</v>
      </c>
      <c r="C577" s="17" t="n">
        <f aca="false">IF(SQRT((Coordenadas!$C$95-Coordenadas!$C$198)^2+(Coordenadas!$D$95-Coordenadas!$D$198)^2)&lt;=LEEME!$B$20,EXP(-LEEME!$B$19*SQRT((Coordenadas!$C$95-Coordenadas!$C$198)^2+(Coordenadas!$D$95-Coordenadas!$D$198)^2)),0)</f>
        <v>0.799897939068064</v>
      </c>
    </row>
    <row r="578" customFormat="false" ht="15" hidden="false" customHeight="false" outlineLevel="0" collapsed="false">
      <c r="A578" s="0" t="s">
        <v>142</v>
      </c>
      <c r="B578" s="0" t="s">
        <v>305</v>
      </c>
      <c r="C578" s="17" t="n">
        <f aca="false">IF(SQRT((Coordenadas!$C$95-Coordenadas!$C$200)^2+(Coordenadas!$D$95-Coordenadas!$D$200)^2)&lt;=LEEME!$B$20,EXP(-LEEME!$B$19*SQRT((Coordenadas!$C$95-Coordenadas!$C$200)^2+(Coordenadas!$D$95-Coordenadas!$D$200)^2)),0)</f>
        <v>0.814647316411415</v>
      </c>
    </row>
    <row r="579" customFormat="false" ht="15" hidden="false" customHeight="false" outlineLevel="0" collapsed="false">
      <c r="A579" s="0" t="s">
        <v>142</v>
      </c>
      <c r="B579" s="0" t="s">
        <v>306</v>
      </c>
      <c r="C579" s="17" t="n">
        <f aca="false">IF(SQRT((Coordenadas!$C$95-Coordenadas!$C$201)^2+(Coordenadas!$D$95-Coordenadas!$D$201)^2)&lt;=LEEME!$B$20,EXP(-LEEME!$B$19*SQRT((Coordenadas!$C$95-Coordenadas!$C$201)^2+(Coordenadas!$D$95-Coordenadas!$D$201)^2)),0)</f>
        <v>0.43364079522521</v>
      </c>
    </row>
    <row r="580" customFormat="false" ht="15" hidden="false" customHeight="false" outlineLevel="0" collapsed="false">
      <c r="A580" s="0" t="s">
        <v>142</v>
      </c>
      <c r="B580" s="0" t="s">
        <v>307</v>
      </c>
      <c r="C580" s="17" t="n">
        <f aca="false">IF(SQRT((Coordenadas!$C$95-Coordenadas!$C$202)^2+(Coordenadas!$D$95-Coordenadas!$D$202)^2)&lt;=LEEME!$B$20,EXP(-LEEME!$B$19*SQRT((Coordenadas!$C$95-Coordenadas!$C$202)^2+(Coordenadas!$D$95-Coordenadas!$D$202)^2)),0)</f>
        <v>0.444049629194248</v>
      </c>
    </row>
    <row r="581" customFormat="false" ht="15" hidden="false" customHeight="false" outlineLevel="0" collapsed="false">
      <c r="A581" s="0" t="s">
        <v>143</v>
      </c>
      <c r="B581" s="0" t="s">
        <v>296</v>
      </c>
      <c r="C581" s="17" t="n">
        <f aca="false">IF(SQRT((Coordenadas!$C$96-Coordenadas!$C$191)^2+(Coordenadas!$D$96-Coordenadas!$D$191)^2)&lt;=LEEME!$B$20,EXP(-LEEME!$B$19*SQRT((Coordenadas!$C$96-Coordenadas!$C$191)^2+(Coordenadas!$D$96-Coordenadas!$D$191)^2)),0)</f>
        <v>0.372909209244735</v>
      </c>
    </row>
    <row r="582" customFormat="false" ht="15" hidden="false" customHeight="false" outlineLevel="0" collapsed="false">
      <c r="A582" s="0" t="s">
        <v>143</v>
      </c>
      <c r="B582" s="0" t="s">
        <v>298</v>
      </c>
      <c r="C582" s="17" t="n">
        <f aca="false">IF(SQRT((Coordenadas!$C$96-Coordenadas!$C$193)^2+(Coordenadas!$D$96-Coordenadas!$D$193)^2)&lt;=LEEME!$B$20,EXP(-LEEME!$B$19*SQRT((Coordenadas!$C$96-Coordenadas!$C$193)^2+(Coordenadas!$D$96-Coordenadas!$D$193)^2)),0)</f>
        <v>0.536539308525567</v>
      </c>
    </row>
    <row r="583" customFormat="false" ht="15" hidden="false" customHeight="false" outlineLevel="0" collapsed="false">
      <c r="A583" s="0" t="s">
        <v>143</v>
      </c>
      <c r="B583" s="0" t="s">
        <v>300</v>
      </c>
      <c r="C583" s="17" t="n">
        <f aca="false">IF(SQRT((Coordenadas!$C$96-Coordenadas!$C$195)^2+(Coordenadas!$D$96-Coordenadas!$D$195)^2)&lt;=LEEME!$B$20,EXP(-LEEME!$B$19*SQRT((Coordenadas!$C$96-Coordenadas!$C$195)^2+(Coordenadas!$D$96-Coordenadas!$D$195)^2)),0)</f>
        <v>0.605562531899541</v>
      </c>
    </row>
    <row r="584" customFormat="false" ht="15" hidden="false" customHeight="false" outlineLevel="0" collapsed="false">
      <c r="A584" s="0" t="s">
        <v>143</v>
      </c>
      <c r="B584" s="0" t="s">
        <v>301</v>
      </c>
      <c r="C584" s="17" t="n">
        <f aca="false">IF(SQRT((Coordenadas!$C$96-Coordenadas!$C$196)^2+(Coordenadas!$D$96-Coordenadas!$D$196)^2)&lt;=LEEME!$B$20,EXP(-LEEME!$B$19*SQRT((Coordenadas!$C$96-Coordenadas!$C$196)^2+(Coordenadas!$D$96-Coordenadas!$D$196)^2)),0)</f>
        <v>0.633214288080768</v>
      </c>
    </row>
    <row r="585" customFormat="false" ht="15" hidden="false" customHeight="false" outlineLevel="0" collapsed="false">
      <c r="A585" s="0" t="s">
        <v>143</v>
      </c>
      <c r="B585" s="0" t="s">
        <v>303</v>
      </c>
      <c r="C585" s="17" t="n">
        <f aca="false">IF(SQRT((Coordenadas!$C$96-Coordenadas!$C$198)^2+(Coordenadas!$D$96-Coordenadas!$D$198)^2)&lt;=LEEME!$B$20,EXP(-LEEME!$B$19*SQRT((Coordenadas!$C$96-Coordenadas!$C$198)^2+(Coordenadas!$D$96-Coordenadas!$D$198)^2)),0)</f>
        <v>0.819500482213863</v>
      </c>
    </row>
    <row r="586" customFormat="false" ht="15" hidden="false" customHeight="false" outlineLevel="0" collapsed="false">
      <c r="A586" s="0" t="s">
        <v>143</v>
      </c>
      <c r="B586" s="0" t="s">
        <v>305</v>
      </c>
      <c r="C586" s="17" t="n">
        <f aca="false">IF(SQRT((Coordenadas!$C$96-Coordenadas!$C$200)^2+(Coordenadas!$D$96-Coordenadas!$D$200)^2)&lt;=LEEME!$B$20,EXP(-LEEME!$B$19*SQRT((Coordenadas!$C$96-Coordenadas!$C$200)^2+(Coordenadas!$D$96-Coordenadas!$D$200)^2)),0)</f>
        <v>0.847829486887752</v>
      </c>
    </row>
    <row r="587" customFormat="false" ht="15" hidden="false" customHeight="false" outlineLevel="0" collapsed="false">
      <c r="A587" s="0" t="s">
        <v>144</v>
      </c>
      <c r="B587" s="0" t="s">
        <v>291</v>
      </c>
      <c r="C587" s="17" t="n">
        <f aca="false">IF(SQRT((Coordenadas!$C$97-Coordenadas!$C$186)^2+(Coordenadas!$D$97-Coordenadas!$D$186)^2)&lt;=LEEME!$B$20,EXP(-LEEME!$B$19*SQRT((Coordenadas!$C$97-Coordenadas!$C$186)^2+(Coordenadas!$D$97-Coordenadas!$D$186)^2)),0)</f>
        <v>0.43260552470846</v>
      </c>
    </row>
    <row r="588" customFormat="false" ht="15" hidden="false" customHeight="false" outlineLevel="0" collapsed="false">
      <c r="A588" s="0" t="s">
        <v>144</v>
      </c>
      <c r="B588" s="0" t="s">
        <v>296</v>
      </c>
      <c r="C588" s="17" t="n">
        <f aca="false">IF(SQRT((Coordenadas!$C$97-Coordenadas!$C$191)^2+(Coordenadas!$D$97-Coordenadas!$D$191)^2)&lt;=LEEME!$B$20,EXP(-LEEME!$B$19*SQRT((Coordenadas!$C$97-Coordenadas!$C$191)^2+(Coordenadas!$D$97-Coordenadas!$D$191)^2)),0)</f>
        <v>0.674192382544272</v>
      </c>
    </row>
    <row r="589" customFormat="false" ht="15" hidden="false" customHeight="false" outlineLevel="0" collapsed="false">
      <c r="A589" s="0" t="s">
        <v>144</v>
      </c>
      <c r="B589" s="0" t="s">
        <v>299</v>
      </c>
      <c r="C589" s="17" t="n">
        <f aca="false">IF(SQRT((Coordenadas!$C$97-Coordenadas!$C$194)^2+(Coordenadas!$D$97-Coordenadas!$D$194)^2)&lt;=LEEME!$B$20,EXP(-LEEME!$B$19*SQRT((Coordenadas!$C$97-Coordenadas!$C$194)^2+(Coordenadas!$D$97-Coordenadas!$D$194)^2)),0)</f>
        <v>0.613033138363592</v>
      </c>
    </row>
    <row r="590" customFormat="false" ht="15" hidden="false" customHeight="false" outlineLevel="0" collapsed="false">
      <c r="A590" s="0" t="s">
        <v>144</v>
      </c>
      <c r="B590" s="0" t="s">
        <v>302</v>
      </c>
      <c r="C590" s="17" t="n">
        <f aca="false">IF(SQRT((Coordenadas!$C$97-Coordenadas!$C$197)^2+(Coordenadas!$D$97-Coordenadas!$D$197)^2)&lt;=LEEME!$B$20,EXP(-LEEME!$B$19*SQRT((Coordenadas!$C$97-Coordenadas!$C$197)^2+(Coordenadas!$D$97-Coordenadas!$D$197)^2)),0)</f>
        <v>0.457936400709203</v>
      </c>
    </row>
    <row r="591" customFormat="false" ht="15" hidden="false" customHeight="false" outlineLevel="0" collapsed="false">
      <c r="A591" s="0" t="s">
        <v>144</v>
      </c>
      <c r="B591" s="0" t="s">
        <v>303</v>
      </c>
      <c r="C591" s="17" t="n">
        <f aca="false">IF(SQRT((Coordenadas!$C$97-Coordenadas!$C$198)^2+(Coordenadas!$D$97-Coordenadas!$D$198)^2)&lt;=LEEME!$B$20,EXP(-LEEME!$B$19*SQRT((Coordenadas!$C$97-Coordenadas!$C$198)^2+(Coordenadas!$D$97-Coordenadas!$D$198)^2)),0)</f>
        <v>0.623396363048931</v>
      </c>
    </row>
    <row r="592" customFormat="false" ht="15" hidden="false" customHeight="false" outlineLevel="0" collapsed="false">
      <c r="A592" s="0" t="s">
        <v>144</v>
      </c>
      <c r="B592" s="0" t="s">
        <v>305</v>
      </c>
      <c r="C592" s="17" t="n">
        <f aca="false">IF(SQRT((Coordenadas!$C$97-Coordenadas!$C$200)^2+(Coordenadas!$D$97-Coordenadas!$D$200)^2)&lt;=LEEME!$B$20,EXP(-LEEME!$B$19*SQRT((Coordenadas!$C$97-Coordenadas!$C$200)^2+(Coordenadas!$D$97-Coordenadas!$D$200)^2)),0)</f>
        <v>0.589188857064114</v>
      </c>
    </row>
    <row r="593" customFormat="false" ht="15" hidden="false" customHeight="false" outlineLevel="0" collapsed="false">
      <c r="A593" s="0" t="s">
        <v>144</v>
      </c>
      <c r="B593" s="0" t="s">
        <v>306</v>
      </c>
      <c r="C593" s="17" t="n">
        <f aca="false">IF(SQRT((Coordenadas!$C$97-Coordenadas!$C$201)^2+(Coordenadas!$D$97-Coordenadas!$D$201)^2)&lt;=LEEME!$B$20,EXP(-LEEME!$B$19*SQRT((Coordenadas!$C$97-Coordenadas!$C$201)^2+(Coordenadas!$D$97-Coordenadas!$D$201)^2)),0)</f>
        <v>0.484801100415373</v>
      </c>
    </row>
    <row r="594" customFormat="false" ht="15" hidden="false" customHeight="false" outlineLevel="0" collapsed="false">
      <c r="A594" s="0" t="s">
        <v>144</v>
      </c>
      <c r="B594" s="0" t="s">
        <v>307</v>
      </c>
      <c r="C594" s="17" t="n">
        <f aca="false">IF(SQRT((Coordenadas!$C$97-Coordenadas!$C$202)^2+(Coordenadas!$D$97-Coordenadas!$D$202)^2)&lt;=LEEME!$B$20,EXP(-LEEME!$B$19*SQRT((Coordenadas!$C$97-Coordenadas!$C$202)^2+(Coordenadas!$D$97-Coordenadas!$D$202)^2)),0)</f>
        <v>0.47550041857659</v>
      </c>
    </row>
    <row r="595" customFormat="false" ht="15" hidden="false" customHeight="false" outlineLevel="0" collapsed="false">
      <c r="A595" s="0" t="s">
        <v>144</v>
      </c>
      <c r="B595" s="0" t="s">
        <v>308</v>
      </c>
      <c r="C595" s="17" t="n">
        <f aca="false">IF(SQRT((Coordenadas!$C$97-Coordenadas!$C$203)^2+(Coordenadas!$D$97-Coordenadas!$D$203)^2)&lt;=LEEME!$B$20,EXP(-LEEME!$B$19*SQRT((Coordenadas!$C$97-Coordenadas!$C$203)^2+(Coordenadas!$D$97-Coordenadas!$D$203)^2)),0)</f>
        <v>0.373268698676544</v>
      </c>
    </row>
    <row r="596" customFormat="false" ht="15" hidden="false" customHeight="false" outlineLevel="0" collapsed="false">
      <c r="A596" s="0" t="s">
        <v>145</v>
      </c>
      <c r="B596" s="0" t="s">
        <v>291</v>
      </c>
      <c r="C596" s="17" t="n">
        <f aca="false">IF(SQRT((Coordenadas!$C$98-Coordenadas!$C$186)^2+(Coordenadas!$D$98-Coordenadas!$D$186)^2)&lt;=LEEME!$B$20,EXP(-LEEME!$B$19*SQRT((Coordenadas!$C$98-Coordenadas!$C$186)^2+(Coordenadas!$D$98-Coordenadas!$D$186)^2)),0)</f>
        <v>0.39959416366145</v>
      </c>
    </row>
    <row r="597" customFormat="false" ht="15" hidden="false" customHeight="false" outlineLevel="0" collapsed="false">
      <c r="A597" s="0" t="s">
        <v>145</v>
      </c>
      <c r="B597" s="0" t="s">
        <v>296</v>
      </c>
      <c r="C597" s="17" t="n">
        <f aca="false">IF(SQRT((Coordenadas!$C$98-Coordenadas!$C$191)^2+(Coordenadas!$D$98-Coordenadas!$D$191)^2)&lt;=LEEME!$B$20,EXP(-LEEME!$B$19*SQRT((Coordenadas!$C$98-Coordenadas!$C$191)^2+(Coordenadas!$D$98-Coordenadas!$D$191)^2)),0)</f>
        <v>0.59520769278374</v>
      </c>
    </row>
    <row r="598" customFormat="false" ht="15" hidden="false" customHeight="false" outlineLevel="0" collapsed="false">
      <c r="A598" s="0" t="s">
        <v>145</v>
      </c>
      <c r="B598" s="0" t="s">
        <v>298</v>
      </c>
      <c r="C598" s="17" t="n">
        <f aca="false">IF(SQRT((Coordenadas!$C$98-Coordenadas!$C$193)^2+(Coordenadas!$D$98-Coordenadas!$D$193)^2)&lt;=LEEME!$B$20,EXP(-LEEME!$B$19*SQRT((Coordenadas!$C$98-Coordenadas!$C$193)^2+(Coordenadas!$D$98-Coordenadas!$D$193)^2)),0)</f>
        <v>0.395100719923</v>
      </c>
    </row>
    <row r="599" customFormat="false" ht="15" hidden="false" customHeight="false" outlineLevel="0" collapsed="false">
      <c r="A599" s="0" t="s">
        <v>145</v>
      </c>
      <c r="B599" s="0" t="s">
        <v>299</v>
      </c>
      <c r="C599" s="17" t="n">
        <f aca="false">IF(SQRT((Coordenadas!$C$98-Coordenadas!$C$194)^2+(Coordenadas!$D$98-Coordenadas!$D$194)^2)&lt;=LEEME!$B$20,EXP(-LEEME!$B$19*SQRT((Coordenadas!$C$98-Coordenadas!$C$194)^2+(Coordenadas!$D$98-Coordenadas!$D$194)^2)),0)</f>
        <v>0.529019531080059</v>
      </c>
    </row>
    <row r="600" customFormat="false" ht="15" hidden="false" customHeight="false" outlineLevel="0" collapsed="false">
      <c r="A600" s="0" t="s">
        <v>145</v>
      </c>
      <c r="B600" s="0" t="s">
        <v>300</v>
      </c>
      <c r="C600" s="17" t="n">
        <f aca="false">IF(SQRT((Coordenadas!$C$98-Coordenadas!$C$195)^2+(Coordenadas!$D$98-Coordenadas!$D$195)^2)&lt;=LEEME!$B$20,EXP(-LEEME!$B$19*SQRT((Coordenadas!$C$98-Coordenadas!$C$195)^2+(Coordenadas!$D$98-Coordenadas!$D$195)^2)),0)</f>
        <v>0.400166767657441</v>
      </c>
    </row>
    <row r="601" customFormat="false" ht="15" hidden="false" customHeight="false" outlineLevel="0" collapsed="false">
      <c r="A601" s="0" t="s">
        <v>145</v>
      </c>
      <c r="B601" s="0" t="s">
        <v>301</v>
      </c>
      <c r="C601" s="17" t="n">
        <f aca="false">IF(SQRT((Coordenadas!$C$98-Coordenadas!$C$196)^2+(Coordenadas!$D$98-Coordenadas!$D$196)^2)&lt;=LEEME!$B$20,EXP(-LEEME!$B$19*SQRT((Coordenadas!$C$98-Coordenadas!$C$196)^2+(Coordenadas!$D$98-Coordenadas!$D$196)^2)),0)</f>
        <v>0.416006360017852</v>
      </c>
    </row>
    <row r="602" customFormat="false" ht="15" hidden="false" customHeight="false" outlineLevel="0" collapsed="false">
      <c r="A602" s="0" t="s">
        <v>145</v>
      </c>
      <c r="B602" s="0" t="s">
        <v>302</v>
      </c>
      <c r="C602" s="17" t="n">
        <f aca="false">IF(SQRT((Coordenadas!$C$98-Coordenadas!$C$197)^2+(Coordenadas!$D$98-Coordenadas!$D$197)^2)&lt;=LEEME!$B$20,EXP(-LEEME!$B$19*SQRT((Coordenadas!$C$98-Coordenadas!$C$197)^2+(Coordenadas!$D$98-Coordenadas!$D$197)^2)),0)</f>
        <v>0.406338279967499</v>
      </c>
    </row>
    <row r="603" customFormat="false" ht="15" hidden="false" customHeight="false" outlineLevel="0" collapsed="false">
      <c r="A603" s="0" t="s">
        <v>145</v>
      </c>
      <c r="B603" s="0" t="s">
        <v>303</v>
      </c>
      <c r="C603" s="17" t="n">
        <f aca="false">IF(SQRT((Coordenadas!$C$98-Coordenadas!$C$198)^2+(Coordenadas!$D$98-Coordenadas!$D$198)^2)&lt;=LEEME!$B$20,EXP(-LEEME!$B$19*SQRT((Coordenadas!$C$98-Coordenadas!$C$198)^2+(Coordenadas!$D$98-Coordenadas!$D$198)^2)),0)</f>
        <v>0.729297248092765</v>
      </c>
    </row>
    <row r="604" customFormat="false" ht="15" hidden="false" customHeight="false" outlineLevel="0" collapsed="false">
      <c r="A604" s="0" t="s">
        <v>145</v>
      </c>
      <c r="B604" s="0" t="s">
        <v>305</v>
      </c>
      <c r="C604" s="17" t="n">
        <f aca="false">IF(SQRT((Coordenadas!$C$98-Coordenadas!$C$200)^2+(Coordenadas!$D$98-Coordenadas!$D$200)^2)&lt;=LEEME!$B$20,EXP(-LEEME!$B$19*SQRT((Coordenadas!$C$98-Coordenadas!$C$200)^2+(Coordenadas!$D$98-Coordenadas!$D$200)^2)),0)</f>
        <v>0.688484384099736</v>
      </c>
    </row>
    <row r="605" customFormat="false" ht="15" hidden="false" customHeight="false" outlineLevel="0" collapsed="false">
      <c r="A605" s="0" t="s">
        <v>145</v>
      </c>
      <c r="B605" s="0" t="s">
        <v>306</v>
      </c>
      <c r="C605" s="17" t="n">
        <f aca="false">IF(SQRT((Coordenadas!$C$98-Coordenadas!$C$201)^2+(Coordenadas!$D$98-Coordenadas!$D$201)^2)&lt;=LEEME!$B$20,EXP(-LEEME!$B$19*SQRT((Coordenadas!$C$98-Coordenadas!$C$201)^2+(Coordenadas!$D$98-Coordenadas!$D$201)^2)),0)</f>
        <v>0.446228927368944</v>
      </c>
    </row>
    <row r="606" customFormat="false" ht="15" hidden="false" customHeight="false" outlineLevel="0" collapsed="false">
      <c r="A606" s="0" t="s">
        <v>145</v>
      </c>
      <c r="B606" s="0" t="s">
        <v>307</v>
      </c>
      <c r="C606" s="17" t="n">
        <f aca="false">IF(SQRT((Coordenadas!$C$98-Coordenadas!$C$202)^2+(Coordenadas!$D$98-Coordenadas!$D$202)^2)&lt;=LEEME!$B$20,EXP(-LEEME!$B$19*SQRT((Coordenadas!$C$98-Coordenadas!$C$202)^2+(Coordenadas!$D$98-Coordenadas!$D$202)^2)),0)</f>
        <v>0.443940263036209</v>
      </c>
    </row>
    <row r="607" customFormat="false" ht="15" hidden="false" customHeight="false" outlineLevel="0" collapsed="false">
      <c r="A607" s="0" t="s">
        <v>146</v>
      </c>
      <c r="B607" s="0" t="s">
        <v>296</v>
      </c>
      <c r="C607" s="17" t="n">
        <f aca="false">IF(SQRT((Coordenadas!$C$99-Coordenadas!$C$191)^2+(Coordenadas!$D$99-Coordenadas!$D$191)^2)&lt;=LEEME!$B$20,EXP(-LEEME!$B$19*SQRT((Coordenadas!$C$99-Coordenadas!$C$191)^2+(Coordenadas!$D$99-Coordenadas!$D$191)^2)),0)</f>
        <v>0.39207744559913</v>
      </c>
    </row>
    <row r="608" customFormat="false" ht="15" hidden="false" customHeight="false" outlineLevel="0" collapsed="false">
      <c r="A608" s="0" t="s">
        <v>146</v>
      </c>
      <c r="B608" s="0" t="s">
        <v>299</v>
      </c>
      <c r="C608" s="17" t="n">
        <f aca="false">IF(SQRT((Coordenadas!$C$99-Coordenadas!$C$194)^2+(Coordenadas!$D$99-Coordenadas!$D$194)^2)&lt;=LEEME!$B$20,EXP(-LEEME!$B$19*SQRT((Coordenadas!$C$99-Coordenadas!$C$194)^2+(Coordenadas!$D$99-Coordenadas!$D$194)^2)),0)</f>
        <v>0.447171252276602</v>
      </c>
    </row>
    <row r="609" customFormat="false" ht="15" hidden="false" customHeight="false" outlineLevel="0" collapsed="false">
      <c r="A609" s="0" t="s">
        <v>146</v>
      </c>
      <c r="B609" s="0" t="s">
        <v>302</v>
      </c>
      <c r="C609" s="17" t="n">
        <f aca="false">IF(SQRT((Coordenadas!$C$99-Coordenadas!$C$197)^2+(Coordenadas!$D$99-Coordenadas!$D$197)^2)&lt;=LEEME!$B$20,EXP(-LEEME!$B$19*SQRT((Coordenadas!$C$99-Coordenadas!$C$197)^2+(Coordenadas!$D$99-Coordenadas!$D$197)^2)),0)</f>
        <v>0.415060024057067</v>
      </c>
    </row>
    <row r="610" customFormat="false" ht="15" hidden="false" customHeight="false" outlineLevel="0" collapsed="false">
      <c r="A610" s="0" t="s">
        <v>146</v>
      </c>
      <c r="B610" s="0" t="s">
        <v>303</v>
      </c>
      <c r="C610" s="17" t="n">
        <f aca="false">IF(SQRT((Coordenadas!$C$99-Coordenadas!$C$198)^2+(Coordenadas!$D$99-Coordenadas!$D$198)^2)&lt;=LEEME!$B$20,EXP(-LEEME!$B$19*SQRT((Coordenadas!$C$99-Coordenadas!$C$198)^2+(Coordenadas!$D$99-Coordenadas!$D$198)^2)),0)</f>
        <v>0.617114476230708</v>
      </c>
    </row>
    <row r="611" customFormat="false" ht="15" hidden="false" customHeight="false" outlineLevel="0" collapsed="false">
      <c r="A611" s="0" t="s">
        <v>146</v>
      </c>
      <c r="B611" s="0" t="s">
        <v>305</v>
      </c>
      <c r="C611" s="17" t="n">
        <f aca="false">IF(SQRT((Coordenadas!$C$99-Coordenadas!$C$200)^2+(Coordenadas!$D$99-Coordenadas!$D$200)^2)&lt;=LEEME!$B$20,EXP(-LEEME!$B$19*SQRT((Coordenadas!$C$99-Coordenadas!$C$200)^2+(Coordenadas!$D$99-Coordenadas!$D$200)^2)),0)</f>
        <v>0.638604712100949</v>
      </c>
    </row>
    <row r="612" customFormat="false" ht="15" hidden="false" customHeight="false" outlineLevel="0" collapsed="false">
      <c r="A612" s="0" t="s">
        <v>146</v>
      </c>
      <c r="B612" s="0" t="s">
        <v>306</v>
      </c>
      <c r="C612" s="17" t="n">
        <f aca="false">IF(SQRT((Coordenadas!$C$99-Coordenadas!$C$201)^2+(Coordenadas!$D$99-Coordenadas!$D$201)^2)&lt;=LEEME!$B$20,EXP(-LEEME!$B$19*SQRT((Coordenadas!$C$99-Coordenadas!$C$201)^2+(Coordenadas!$D$99-Coordenadas!$D$201)^2)),0)</f>
        <v>0.512617533081628</v>
      </c>
    </row>
    <row r="613" customFormat="false" ht="15" hidden="false" customHeight="false" outlineLevel="0" collapsed="false">
      <c r="A613" s="0" t="s">
        <v>146</v>
      </c>
      <c r="B613" s="0" t="s">
        <v>307</v>
      </c>
      <c r="C613" s="17" t="n">
        <f aca="false">IF(SQRT((Coordenadas!$C$99-Coordenadas!$C$202)^2+(Coordenadas!$D$99-Coordenadas!$D$202)^2)&lt;=LEEME!$B$20,EXP(-LEEME!$B$19*SQRT((Coordenadas!$C$99-Coordenadas!$C$202)^2+(Coordenadas!$D$99-Coordenadas!$D$202)^2)),0)</f>
        <v>0.53518650555416</v>
      </c>
    </row>
    <row r="614" customFormat="false" ht="15" hidden="false" customHeight="false" outlineLevel="0" collapsed="false">
      <c r="A614" s="0" t="s">
        <v>146</v>
      </c>
      <c r="B614" s="0" t="s">
        <v>308</v>
      </c>
      <c r="C614" s="17" t="n">
        <f aca="false">IF(SQRT((Coordenadas!$C$99-Coordenadas!$C$203)^2+(Coordenadas!$D$99-Coordenadas!$D$203)^2)&lt;=LEEME!$B$20,EXP(-LEEME!$B$19*SQRT((Coordenadas!$C$99-Coordenadas!$C$203)^2+(Coordenadas!$D$99-Coordenadas!$D$203)^2)),0)</f>
        <v>0.407918307370783</v>
      </c>
    </row>
    <row r="615" customFormat="false" ht="15" hidden="false" customHeight="false" outlineLevel="0" collapsed="false">
      <c r="A615" s="0" t="s">
        <v>147</v>
      </c>
      <c r="B615" s="0" t="s">
        <v>296</v>
      </c>
      <c r="C615" s="17" t="n">
        <f aca="false">IF(SQRT((Coordenadas!$C$100-Coordenadas!$C$191)^2+(Coordenadas!$D$100-Coordenadas!$D$191)^2)&lt;=LEEME!$B$20,EXP(-LEEME!$B$19*SQRT((Coordenadas!$C$100-Coordenadas!$C$191)^2+(Coordenadas!$D$100-Coordenadas!$D$191)^2)),0)</f>
        <v>0.467474221458586</v>
      </c>
    </row>
    <row r="616" customFormat="false" ht="15" hidden="false" customHeight="false" outlineLevel="0" collapsed="false">
      <c r="A616" s="0" t="s">
        <v>147</v>
      </c>
      <c r="B616" s="0" t="s">
        <v>299</v>
      </c>
      <c r="C616" s="17" t="n">
        <f aca="false">IF(SQRT((Coordenadas!$C$100-Coordenadas!$C$194)^2+(Coordenadas!$D$100-Coordenadas!$D$194)^2)&lt;=LEEME!$B$20,EXP(-LEEME!$B$19*SQRT((Coordenadas!$C$100-Coordenadas!$C$194)^2+(Coordenadas!$D$100-Coordenadas!$D$194)^2)),0)</f>
        <v>0.497064715448273</v>
      </c>
    </row>
    <row r="617" customFormat="false" ht="15" hidden="false" customHeight="false" outlineLevel="0" collapsed="false">
      <c r="A617" s="0" t="s">
        <v>147</v>
      </c>
      <c r="B617" s="0" t="s">
        <v>301</v>
      </c>
      <c r="C617" s="17" t="n">
        <f aca="false">IF(SQRT((Coordenadas!$C$100-Coordenadas!$C$196)^2+(Coordenadas!$D$100-Coordenadas!$D$196)^2)&lt;=LEEME!$B$20,EXP(-LEEME!$B$19*SQRT((Coordenadas!$C$100-Coordenadas!$C$196)^2+(Coordenadas!$D$100-Coordenadas!$D$196)^2)),0)</f>
        <v>0.380830276773501</v>
      </c>
    </row>
    <row r="618" customFormat="false" ht="15" hidden="false" customHeight="false" outlineLevel="0" collapsed="false">
      <c r="A618" s="0" t="s">
        <v>147</v>
      </c>
      <c r="B618" s="0" t="s">
        <v>302</v>
      </c>
      <c r="C618" s="17" t="n">
        <f aca="false">IF(SQRT((Coordenadas!$C$100-Coordenadas!$C$197)^2+(Coordenadas!$D$100-Coordenadas!$D$197)^2)&lt;=LEEME!$B$20,EXP(-LEEME!$B$19*SQRT((Coordenadas!$C$100-Coordenadas!$C$197)^2+(Coordenadas!$D$100-Coordenadas!$D$197)^2)),0)</f>
        <v>0.427716868583615</v>
      </c>
    </row>
    <row r="619" customFormat="false" ht="15" hidden="false" customHeight="false" outlineLevel="0" collapsed="false">
      <c r="A619" s="0" t="s">
        <v>147</v>
      </c>
      <c r="B619" s="0" t="s">
        <v>303</v>
      </c>
      <c r="C619" s="17" t="n">
        <f aca="false">IF(SQRT((Coordenadas!$C$100-Coordenadas!$C$198)^2+(Coordenadas!$D$100-Coordenadas!$D$198)^2)&lt;=LEEME!$B$20,EXP(-LEEME!$B$19*SQRT((Coordenadas!$C$100-Coordenadas!$C$198)^2+(Coordenadas!$D$100-Coordenadas!$D$198)^2)),0)</f>
        <v>0.696108379057583</v>
      </c>
    </row>
    <row r="620" customFormat="false" ht="15" hidden="false" customHeight="false" outlineLevel="0" collapsed="false">
      <c r="A620" s="0" t="s">
        <v>147</v>
      </c>
      <c r="B620" s="0" t="s">
        <v>305</v>
      </c>
      <c r="C620" s="17" t="n">
        <f aca="false">IF(SQRT((Coordenadas!$C$100-Coordenadas!$C$200)^2+(Coordenadas!$D$100-Coordenadas!$D$200)^2)&lt;=LEEME!$B$20,EXP(-LEEME!$B$19*SQRT((Coordenadas!$C$100-Coordenadas!$C$200)^2+(Coordenadas!$D$100-Coordenadas!$D$200)^2)),0)</f>
        <v>0.699184413564784</v>
      </c>
    </row>
    <row r="621" customFormat="false" ht="15" hidden="false" customHeight="false" outlineLevel="0" collapsed="false">
      <c r="A621" s="0" t="s">
        <v>147</v>
      </c>
      <c r="B621" s="0" t="s">
        <v>306</v>
      </c>
      <c r="C621" s="17" t="n">
        <f aca="false">IF(SQRT((Coordenadas!$C$100-Coordenadas!$C$201)^2+(Coordenadas!$D$100-Coordenadas!$D$201)^2)&lt;=LEEME!$B$20,EXP(-LEEME!$B$19*SQRT((Coordenadas!$C$100-Coordenadas!$C$201)^2+(Coordenadas!$D$100-Coordenadas!$D$201)^2)),0)</f>
        <v>0.506282004897185</v>
      </c>
    </row>
    <row r="622" customFormat="false" ht="15" hidden="false" customHeight="false" outlineLevel="0" collapsed="false">
      <c r="A622" s="0" t="s">
        <v>147</v>
      </c>
      <c r="B622" s="0" t="s">
        <v>307</v>
      </c>
      <c r="C622" s="17" t="n">
        <f aca="false">IF(SQRT((Coordenadas!$C$100-Coordenadas!$C$202)^2+(Coordenadas!$D$100-Coordenadas!$D$202)^2)&lt;=LEEME!$B$20,EXP(-LEEME!$B$19*SQRT((Coordenadas!$C$100-Coordenadas!$C$202)^2+(Coordenadas!$D$100-Coordenadas!$D$202)^2)),0)</f>
        <v>0.517665419457767</v>
      </c>
    </row>
    <row r="623" customFormat="false" ht="15" hidden="false" customHeight="false" outlineLevel="0" collapsed="false">
      <c r="A623" s="0" t="s">
        <v>147</v>
      </c>
      <c r="B623" s="0" t="s">
        <v>308</v>
      </c>
      <c r="C623" s="17" t="n">
        <f aca="false">IF(SQRT((Coordenadas!$C$100-Coordenadas!$C$203)^2+(Coordenadas!$D$100-Coordenadas!$D$203)^2)&lt;=LEEME!$B$20,EXP(-LEEME!$B$19*SQRT((Coordenadas!$C$100-Coordenadas!$C$203)^2+(Coordenadas!$D$100-Coordenadas!$D$203)^2)),0)</f>
        <v>0.392943097877817</v>
      </c>
    </row>
    <row r="624" customFormat="false" ht="15" hidden="false" customHeight="false" outlineLevel="0" collapsed="false">
      <c r="A624" s="0" t="s">
        <v>148</v>
      </c>
      <c r="B624" s="0" t="s">
        <v>278</v>
      </c>
      <c r="C624" s="17" t="n">
        <f aca="false">IF(SQRT((Coordenadas!$C$101-Coordenadas!$C$173)^2+(Coordenadas!$D$101-Coordenadas!$D$173)^2)&lt;=LEEME!$B$20,EXP(-LEEME!$B$19*SQRT((Coordenadas!$C$101-Coordenadas!$C$173)^2+(Coordenadas!$D$101-Coordenadas!$D$173)^2)),0)</f>
        <v>0.435649104067381</v>
      </c>
    </row>
    <row r="625" customFormat="false" ht="15" hidden="false" customHeight="false" outlineLevel="0" collapsed="false">
      <c r="A625" s="0" t="s">
        <v>148</v>
      </c>
      <c r="B625" s="0" t="s">
        <v>280</v>
      </c>
      <c r="C625" s="17" t="n">
        <f aca="false">IF(SQRT((Coordenadas!$C$101-Coordenadas!$C$175)^2+(Coordenadas!$D$101-Coordenadas!$D$175)^2)&lt;=LEEME!$B$20,EXP(-LEEME!$B$19*SQRT((Coordenadas!$C$101-Coordenadas!$C$175)^2+(Coordenadas!$D$101-Coordenadas!$D$175)^2)),0)</f>
        <v>0.496363734015975</v>
      </c>
    </row>
    <row r="626" customFormat="false" ht="15" hidden="false" customHeight="false" outlineLevel="0" collapsed="false">
      <c r="A626" s="0" t="s">
        <v>148</v>
      </c>
      <c r="B626" s="0" t="s">
        <v>285</v>
      </c>
      <c r="C626" s="17" t="n">
        <f aca="false">IF(SQRT((Coordenadas!$C$101-Coordenadas!$C$180)^2+(Coordenadas!$D$101-Coordenadas!$D$180)^2)&lt;=LEEME!$B$20,EXP(-LEEME!$B$19*SQRT((Coordenadas!$C$101-Coordenadas!$C$180)^2+(Coordenadas!$D$101-Coordenadas!$D$180)^2)),0)</f>
        <v>0.684109021806529</v>
      </c>
    </row>
    <row r="627" customFormat="false" ht="15" hidden="false" customHeight="false" outlineLevel="0" collapsed="false">
      <c r="A627" s="0" t="s">
        <v>148</v>
      </c>
      <c r="B627" s="0" t="s">
        <v>290</v>
      </c>
      <c r="C627" s="17" t="n">
        <f aca="false">IF(SQRT((Coordenadas!$C$101-Coordenadas!$C$185)^2+(Coordenadas!$D$101-Coordenadas!$D$185)^2)&lt;=LEEME!$B$20,EXP(-LEEME!$B$19*SQRT((Coordenadas!$C$101-Coordenadas!$C$185)^2+(Coordenadas!$D$101-Coordenadas!$D$185)^2)),0)</f>
        <v>0.76953892826181</v>
      </c>
    </row>
    <row r="628" customFormat="false" ht="15" hidden="false" customHeight="false" outlineLevel="0" collapsed="false">
      <c r="A628" s="0" t="s">
        <v>148</v>
      </c>
      <c r="B628" s="0" t="s">
        <v>291</v>
      </c>
      <c r="C628" s="17" t="n">
        <f aca="false">IF(SQRT((Coordenadas!$C$101-Coordenadas!$C$186)^2+(Coordenadas!$D$101-Coordenadas!$D$186)^2)&lt;=LEEME!$B$20,EXP(-LEEME!$B$19*SQRT((Coordenadas!$C$101-Coordenadas!$C$186)^2+(Coordenadas!$D$101-Coordenadas!$D$186)^2)),0)</f>
        <v>0.603445831213581</v>
      </c>
    </row>
    <row r="629" customFormat="false" ht="15" hidden="false" customHeight="false" outlineLevel="0" collapsed="false">
      <c r="A629" s="0" t="s">
        <v>148</v>
      </c>
      <c r="B629" s="0" t="s">
        <v>293</v>
      </c>
      <c r="C629" s="17" t="n">
        <f aca="false">IF(SQRT((Coordenadas!$C$101-Coordenadas!$C$188)^2+(Coordenadas!$D$101-Coordenadas!$D$188)^2)&lt;=LEEME!$B$20,EXP(-LEEME!$B$19*SQRT((Coordenadas!$C$101-Coordenadas!$C$188)^2+(Coordenadas!$D$101-Coordenadas!$D$188)^2)),0)</f>
        <v>0.440579415241336</v>
      </c>
    </row>
    <row r="630" customFormat="false" ht="15" hidden="false" customHeight="false" outlineLevel="0" collapsed="false">
      <c r="A630" s="0" t="s">
        <v>148</v>
      </c>
      <c r="B630" s="0" t="s">
        <v>296</v>
      </c>
      <c r="C630" s="17" t="n">
        <f aca="false">IF(SQRT((Coordenadas!$C$101-Coordenadas!$C$191)^2+(Coordenadas!$D$101-Coordenadas!$D$191)^2)&lt;=LEEME!$B$20,EXP(-LEEME!$B$19*SQRT((Coordenadas!$C$101-Coordenadas!$C$191)^2+(Coordenadas!$D$101-Coordenadas!$D$191)^2)),0)</f>
        <v>0.386288672907745</v>
      </c>
    </row>
    <row r="631" customFormat="false" ht="15" hidden="false" customHeight="false" outlineLevel="0" collapsed="false">
      <c r="A631" s="0" t="s">
        <v>149</v>
      </c>
      <c r="B631" s="0" t="s">
        <v>280</v>
      </c>
      <c r="C631" s="17" t="n">
        <f aca="false">IF(SQRT((Coordenadas!$C$102-Coordenadas!$C$175)^2+(Coordenadas!$D$102-Coordenadas!$D$175)^2)&lt;=LEEME!$B$20,EXP(-LEEME!$B$19*SQRT((Coordenadas!$C$102-Coordenadas!$C$175)^2+(Coordenadas!$D$102-Coordenadas!$D$175)^2)),0)</f>
        <v>0.379039077464387</v>
      </c>
    </row>
    <row r="632" customFormat="false" ht="15" hidden="false" customHeight="false" outlineLevel="0" collapsed="false">
      <c r="A632" s="0" t="s">
        <v>149</v>
      </c>
      <c r="B632" s="0" t="s">
        <v>285</v>
      </c>
      <c r="C632" s="17" t="n">
        <f aca="false">IF(SQRT((Coordenadas!$C$102-Coordenadas!$C$180)^2+(Coordenadas!$D$102-Coordenadas!$D$180)^2)&lt;=LEEME!$B$20,EXP(-LEEME!$B$19*SQRT((Coordenadas!$C$102-Coordenadas!$C$180)^2+(Coordenadas!$D$102-Coordenadas!$D$180)^2)),0)</f>
        <v>0.667636684782795</v>
      </c>
    </row>
    <row r="633" customFormat="false" ht="15" hidden="false" customHeight="false" outlineLevel="0" collapsed="false">
      <c r="A633" s="0" t="s">
        <v>149</v>
      </c>
      <c r="B633" s="0" t="s">
        <v>290</v>
      </c>
      <c r="C633" s="17" t="n">
        <f aca="false">IF(SQRT((Coordenadas!$C$102-Coordenadas!$C$185)^2+(Coordenadas!$D$102-Coordenadas!$D$185)^2)&lt;=LEEME!$B$20,EXP(-LEEME!$B$19*SQRT((Coordenadas!$C$102-Coordenadas!$C$185)^2+(Coordenadas!$D$102-Coordenadas!$D$185)^2)),0)</f>
        <v>0.975309912028333</v>
      </c>
    </row>
    <row r="634" customFormat="false" ht="15" hidden="false" customHeight="false" outlineLevel="0" collapsed="false">
      <c r="A634" s="0" t="s">
        <v>149</v>
      </c>
      <c r="B634" s="0" t="s">
        <v>291</v>
      </c>
      <c r="C634" s="17" t="n">
        <f aca="false">IF(SQRT((Coordenadas!$C$102-Coordenadas!$C$186)^2+(Coordenadas!$D$102-Coordenadas!$D$186)^2)&lt;=LEEME!$B$20,EXP(-LEEME!$B$19*SQRT((Coordenadas!$C$102-Coordenadas!$C$186)^2+(Coordenadas!$D$102-Coordenadas!$D$186)^2)),0)</f>
        <v>0.58112250097679</v>
      </c>
    </row>
    <row r="635" customFormat="false" ht="15" hidden="false" customHeight="false" outlineLevel="0" collapsed="false">
      <c r="A635" s="0" t="s">
        <v>149</v>
      </c>
      <c r="B635" s="0" t="s">
        <v>293</v>
      </c>
      <c r="C635" s="17" t="n">
        <f aca="false">IF(SQRT((Coordenadas!$C$102-Coordenadas!$C$188)^2+(Coordenadas!$D$102-Coordenadas!$D$188)^2)&lt;=LEEME!$B$20,EXP(-LEEME!$B$19*SQRT((Coordenadas!$C$102-Coordenadas!$C$188)^2+(Coordenadas!$D$102-Coordenadas!$D$188)^2)),0)</f>
        <v>0.554538789436473</v>
      </c>
    </row>
    <row r="636" customFormat="false" ht="15" hidden="false" customHeight="false" outlineLevel="0" collapsed="false">
      <c r="A636" s="0" t="s">
        <v>149</v>
      </c>
      <c r="B636" s="0" t="s">
        <v>296</v>
      </c>
      <c r="C636" s="17" t="n">
        <f aca="false">IF(SQRT((Coordenadas!$C$102-Coordenadas!$C$191)^2+(Coordenadas!$D$102-Coordenadas!$D$191)^2)&lt;=LEEME!$B$20,EXP(-LEEME!$B$19*SQRT((Coordenadas!$C$102-Coordenadas!$C$191)^2+(Coordenadas!$D$102-Coordenadas!$D$191)^2)),0)</f>
        <v>0.415508958958627</v>
      </c>
    </row>
    <row r="637" customFormat="false" ht="15" hidden="false" customHeight="false" outlineLevel="0" collapsed="false">
      <c r="A637" s="0" t="s">
        <v>149</v>
      </c>
      <c r="B637" s="0" t="s">
        <v>298</v>
      </c>
      <c r="C637" s="17" t="n">
        <f aca="false">IF(SQRT((Coordenadas!$C$102-Coordenadas!$C$193)^2+(Coordenadas!$D$102-Coordenadas!$D$193)^2)&lt;=LEEME!$B$20,EXP(-LEEME!$B$19*SQRT((Coordenadas!$C$102-Coordenadas!$C$193)^2+(Coordenadas!$D$102-Coordenadas!$D$193)^2)),0)</f>
        <v>0.407600128486962</v>
      </c>
    </row>
    <row r="638" customFormat="false" ht="15" hidden="false" customHeight="false" outlineLevel="0" collapsed="false">
      <c r="A638" s="0" t="s">
        <v>150</v>
      </c>
      <c r="B638" s="0" t="s">
        <v>285</v>
      </c>
      <c r="C638" s="17" t="n">
        <f aca="false">IF(SQRT((Coordenadas!$C$103-Coordenadas!$C$180)^2+(Coordenadas!$D$103-Coordenadas!$D$180)^2)&lt;=LEEME!$B$20,EXP(-LEEME!$B$19*SQRT((Coordenadas!$C$103-Coordenadas!$C$180)^2+(Coordenadas!$D$103-Coordenadas!$D$180)^2)),0)</f>
        <v>0.516596981845254</v>
      </c>
    </row>
    <row r="639" customFormat="false" ht="15" hidden="false" customHeight="false" outlineLevel="0" collapsed="false">
      <c r="A639" s="0" t="s">
        <v>150</v>
      </c>
      <c r="B639" s="0" t="s">
        <v>290</v>
      </c>
      <c r="C639" s="17" t="n">
        <f aca="false">IF(SQRT((Coordenadas!$C$103-Coordenadas!$C$185)^2+(Coordenadas!$D$103-Coordenadas!$D$185)^2)&lt;=LEEME!$B$20,EXP(-LEEME!$B$19*SQRT((Coordenadas!$C$103-Coordenadas!$C$185)^2+(Coordenadas!$D$103-Coordenadas!$D$185)^2)),0)</f>
        <v>0.755783741455726</v>
      </c>
    </row>
    <row r="640" customFormat="false" ht="15" hidden="false" customHeight="false" outlineLevel="0" collapsed="false">
      <c r="A640" s="0" t="s">
        <v>150</v>
      </c>
      <c r="B640" s="0" t="s">
        <v>291</v>
      </c>
      <c r="C640" s="17" t="n">
        <f aca="false">IF(SQRT((Coordenadas!$C$103-Coordenadas!$C$186)^2+(Coordenadas!$D$103-Coordenadas!$D$186)^2)&lt;=LEEME!$B$20,EXP(-LEEME!$B$19*SQRT((Coordenadas!$C$103-Coordenadas!$C$186)^2+(Coordenadas!$D$103-Coordenadas!$D$186)^2)),0)</f>
        <v>0.570064744334107</v>
      </c>
    </row>
    <row r="641" customFormat="false" ht="15" hidden="false" customHeight="false" outlineLevel="0" collapsed="false">
      <c r="A641" s="0" t="s">
        <v>150</v>
      </c>
      <c r="B641" s="0" t="s">
        <v>293</v>
      </c>
      <c r="C641" s="17" t="n">
        <f aca="false">IF(SQRT((Coordenadas!$C$103-Coordenadas!$C$188)^2+(Coordenadas!$D$103-Coordenadas!$D$188)^2)&lt;=LEEME!$B$20,EXP(-LEEME!$B$19*SQRT((Coordenadas!$C$103-Coordenadas!$C$188)^2+(Coordenadas!$D$103-Coordenadas!$D$188)^2)),0)</f>
        <v>0.564030268738899</v>
      </c>
    </row>
    <row r="642" customFormat="false" ht="15" hidden="false" customHeight="false" outlineLevel="0" collapsed="false">
      <c r="A642" s="0" t="s">
        <v>150</v>
      </c>
      <c r="B642" s="0" t="s">
        <v>295</v>
      </c>
      <c r="C642" s="17" t="n">
        <f aca="false">IF(SQRT((Coordenadas!$C$103-Coordenadas!$C$190)^2+(Coordenadas!$D$103-Coordenadas!$D$190)^2)&lt;=LEEME!$B$20,EXP(-LEEME!$B$19*SQRT((Coordenadas!$C$103-Coordenadas!$C$190)^2+(Coordenadas!$D$103-Coordenadas!$D$190)^2)),0)</f>
        <v>0.371684629900201</v>
      </c>
    </row>
    <row r="643" customFormat="false" ht="15" hidden="false" customHeight="false" outlineLevel="0" collapsed="false">
      <c r="A643" s="0" t="s">
        <v>150</v>
      </c>
      <c r="B643" s="0" t="s">
        <v>296</v>
      </c>
      <c r="C643" s="17" t="n">
        <f aca="false">IF(SQRT((Coordenadas!$C$103-Coordenadas!$C$191)^2+(Coordenadas!$D$103-Coordenadas!$D$191)^2)&lt;=LEEME!$B$20,EXP(-LEEME!$B$19*SQRT((Coordenadas!$C$103-Coordenadas!$C$191)^2+(Coordenadas!$D$103-Coordenadas!$D$191)^2)),0)</f>
        <v>0.483200372316763</v>
      </c>
    </row>
    <row r="644" customFormat="false" ht="15" hidden="false" customHeight="false" outlineLevel="0" collapsed="false">
      <c r="A644" s="0" t="s">
        <v>150</v>
      </c>
      <c r="B644" s="0" t="s">
        <v>298</v>
      </c>
      <c r="C644" s="17" t="n">
        <f aca="false">IF(SQRT((Coordenadas!$C$103-Coordenadas!$C$193)^2+(Coordenadas!$D$103-Coordenadas!$D$193)^2)&lt;=LEEME!$B$20,EXP(-LEEME!$B$19*SQRT((Coordenadas!$C$103-Coordenadas!$C$193)^2+(Coordenadas!$D$103-Coordenadas!$D$193)^2)),0)</f>
        <v>0.50504913697181</v>
      </c>
    </row>
    <row r="645" customFormat="false" ht="15" hidden="false" customHeight="false" outlineLevel="0" collapsed="false">
      <c r="A645" s="0" t="s">
        <v>150</v>
      </c>
      <c r="B645" s="0" t="s">
        <v>300</v>
      </c>
      <c r="C645" s="17" t="n">
        <f aca="false">IF(SQRT((Coordenadas!$C$103-Coordenadas!$C$195)^2+(Coordenadas!$D$103-Coordenadas!$D$195)^2)&lt;=LEEME!$B$20,EXP(-LEEME!$B$19*SQRT((Coordenadas!$C$103-Coordenadas!$C$195)^2+(Coordenadas!$D$103-Coordenadas!$D$195)^2)),0)</f>
        <v>0.420832631229241</v>
      </c>
    </row>
    <row r="646" customFormat="false" ht="15" hidden="false" customHeight="false" outlineLevel="0" collapsed="false">
      <c r="A646" s="0" t="s">
        <v>150</v>
      </c>
      <c r="B646" s="0" t="s">
        <v>301</v>
      </c>
      <c r="C646" s="17" t="n">
        <f aca="false">IF(SQRT((Coordenadas!$C$103-Coordenadas!$C$196)^2+(Coordenadas!$D$103-Coordenadas!$D$196)^2)&lt;=LEEME!$B$20,EXP(-LEEME!$B$19*SQRT((Coordenadas!$C$103-Coordenadas!$C$196)^2+(Coordenadas!$D$103-Coordenadas!$D$196)^2)),0)</f>
        <v>0.422296762898744</v>
      </c>
    </row>
    <row r="647" customFormat="false" ht="15" hidden="false" customHeight="false" outlineLevel="0" collapsed="false">
      <c r="A647" s="0" t="s">
        <v>150</v>
      </c>
      <c r="B647" s="0" t="s">
        <v>303</v>
      </c>
      <c r="C647" s="17" t="n">
        <f aca="false">IF(SQRT((Coordenadas!$C$103-Coordenadas!$C$198)^2+(Coordenadas!$D$103-Coordenadas!$D$198)^2)&lt;=LEEME!$B$20,EXP(-LEEME!$B$19*SQRT((Coordenadas!$C$103-Coordenadas!$C$198)^2+(Coordenadas!$D$103-Coordenadas!$D$198)^2)),0)</f>
        <v>0.421923588305729</v>
      </c>
    </row>
    <row r="648" customFormat="false" ht="15" hidden="false" customHeight="false" outlineLevel="0" collapsed="false">
      <c r="A648" s="0" t="s">
        <v>150</v>
      </c>
      <c r="B648" s="0" t="s">
        <v>305</v>
      </c>
      <c r="C648" s="17" t="n">
        <f aca="false">IF(SQRT((Coordenadas!$C$103-Coordenadas!$C$200)^2+(Coordenadas!$D$103-Coordenadas!$D$200)^2)&lt;=LEEME!$B$20,EXP(-LEEME!$B$19*SQRT((Coordenadas!$C$103-Coordenadas!$C$200)^2+(Coordenadas!$D$103-Coordenadas!$D$200)^2)),0)</f>
        <v>0.391121958976864</v>
      </c>
    </row>
    <row r="649" customFormat="false" ht="15" hidden="false" customHeight="false" outlineLevel="0" collapsed="false">
      <c r="A649" s="0" t="s">
        <v>151</v>
      </c>
      <c r="B649" s="0" t="s">
        <v>271</v>
      </c>
      <c r="C649" s="17" t="n">
        <f aca="false">IF(SQRT((Coordenadas!$C$104-Coordenadas!$C$166)^2+(Coordenadas!$D$104-Coordenadas!$D$166)^2)&lt;=LEEME!$B$20,EXP(-LEEME!$B$19*SQRT((Coordenadas!$C$104-Coordenadas!$C$166)^2+(Coordenadas!$D$104-Coordenadas!$D$166)^2)),0)</f>
        <v>0.392585865531518</v>
      </c>
    </row>
    <row r="650" customFormat="false" ht="15" hidden="false" customHeight="false" outlineLevel="0" collapsed="false">
      <c r="A650" s="0" t="s">
        <v>151</v>
      </c>
      <c r="B650" s="0" t="s">
        <v>277</v>
      </c>
      <c r="C650" s="17" t="n">
        <f aca="false">IF(SQRT((Coordenadas!$C$104-Coordenadas!$C$172)^2+(Coordenadas!$D$104-Coordenadas!$D$172)^2)&lt;=LEEME!$B$20,EXP(-LEEME!$B$19*SQRT((Coordenadas!$C$104-Coordenadas!$C$172)^2+(Coordenadas!$D$104-Coordenadas!$D$172)^2)),0)</f>
        <v>0.385700718898804</v>
      </c>
    </row>
    <row r="651" customFormat="false" ht="15" hidden="false" customHeight="false" outlineLevel="0" collapsed="false">
      <c r="A651" s="0" t="s">
        <v>152</v>
      </c>
      <c r="B651" s="0" t="s">
        <v>270</v>
      </c>
      <c r="C651" s="17" t="n">
        <f aca="false">IF(SQRT((Coordenadas!$C$105-Coordenadas!$C$165)^2+(Coordenadas!$D$105-Coordenadas!$D$165)^2)&lt;=LEEME!$B$20,EXP(-LEEME!$B$19*SQRT((Coordenadas!$C$105-Coordenadas!$C$165)^2+(Coordenadas!$D$105-Coordenadas!$D$165)^2)),0)</f>
        <v>0.538628850140228</v>
      </c>
    </row>
    <row r="652" customFormat="false" ht="15" hidden="false" customHeight="false" outlineLevel="0" collapsed="false">
      <c r="A652" s="0" t="s">
        <v>152</v>
      </c>
      <c r="B652" s="0" t="s">
        <v>271</v>
      </c>
      <c r="C652" s="17" t="n">
        <f aca="false">IF(SQRT((Coordenadas!$C$105-Coordenadas!$C$166)^2+(Coordenadas!$D$105-Coordenadas!$D$166)^2)&lt;=LEEME!$B$20,EXP(-LEEME!$B$19*SQRT((Coordenadas!$C$105-Coordenadas!$C$166)^2+(Coordenadas!$D$105-Coordenadas!$D$166)^2)),0)</f>
        <v>0.838501298150596</v>
      </c>
    </row>
    <row r="653" customFormat="false" ht="15" hidden="false" customHeight="false" outlineLevel="0" collapsed="false">
      <c r="A653" s="0" t="s">
        <v>152</v>
      </c>
      <c r="B653" s="0" t="s">
        <v>273</v>
      </c>
      <c r="C653" s="17" t="n">
        <f aca="false">IF(SQRT((Coordenadas!$C$105-Coordenadas!$C$168)^2+(Coordenadas!$D$105-Coordenadas!$D$168)^2)&lt;=LEEME!$B$20,EXP(-LEEME!$B$19*SQRT((Coordenadas!$C$105-Coordenadas!$C$168)^2+(Coordenadas!$D$105-Coordenadas!$D$168)^2)),0)</f>
        <v>0.526459917327554</v>
      </c>
    </row>
    <row r="654" customFormat="false" ht="15" hidden="false" customHeight="false" outlineLevel="0" collapsed="false">
      <c r="A654" s="0" t="s">
        <v>152</v>
      </c>
      <c r="B654" s="0" t="s">
        <v>274</v>
      </c>
      <c r="C654" s="17" t="n">
        <f aca="false">IF(SQRT((Coordenadas!$C$105-Coordenadas!$C$169)^2+(Coordenadas!$D$105-Coordenadas!$D$169)^2)&lt;=LEEME!$B$20,EXP(-LEEME!$B$19*SQRT((Coordenadas!$C$105-Coordenadas!$C$169)^2+(Coordenadas!$D$105-Coordenadas!$D$169)^2)),0)</f>
        <v>0.555836065516247</v>
      </c>
    </row>
    <row r="655" customFormat="false" ht="15" hidden="false" customHeight="false" outlineLevel="0" collapsed="false">
      <c r="A655" s="0" t="s">
        <v>152</v>
      </c>
      <c r="B655" s="0" t="s">
        <v>275</v>
      </c>
      <c r="C655" s="17" t="n">
        <f aca="false">IF(SQRT((Coordenadas!$C$105-Coordenadas!$C$170)^2+(Coordenadas!$D$105-Coordenadas!$D$170)^2)&lt;=LEEME!$B$20,EXP(-LEEME!$B$19*SQRT((Coordenadas!$C$105-Coordenadas!$C$170)^2+(Coordenadas!$D$105-Coordenadas!$D$170)^2)),0)</f>
        <v>0.617210383758519</v>
      </c>
    </row>
    <row r="656" customFormat="false" ht="15" hidden="false" customHeight="false" outlineLevel="0" collapsed="false">
      <c r="A656" s="0" t="s">
        <v>152</v>
      </c>
      <c r="B656" s="0" t="s">
        <v>276</v>
      </c>
      <c r="C656" s="17" t="n">
        <f aca="false">IF(SQRT((Coordenadas!$C$105-Coordenadas!$C$171)^2+(Coordenadas!$D$105-Coordenadas!$D$171)^2)&lt;=LEEME!$B$20,EXP(-LEEME!$B$19*SQRT((Coordenadas!$C$105-Coordenadas!$C$171)^2+(Coordenadas!$D$105-Coordenadas!$D$171)^2)),0)</f>
        <v>0.506747413204219</v>
      </c>
    </row>
    <row r="657" customFormat="false" ht="15" hidden="false" customHeight="false" outlineLevel="0" collapsed="false">
      <c r="A657" s="0" t="s">
        <v>152</v>
      </c>
      <c r="B657" s="0" t="s">
        <v>277</v>
      </c>
      <c r="C657" s="17" t="n">
        <f aca="false">IF(SQRT((Coordenadas!$C$105-Coordenadas!$C$172)^2+(Coordenadas!$D$105-Coordenadas!$D$172)^2)&lt;=LEEME!$B$20,EXP(-LEEME!$B$19*SQRT((Coordenadas!$C$105-Coordenadas!$C$172)^2+(Coordenadas!$D$105-Coordenadas!$D$172)^2)),0)</f>
        <v>0.411366476264107</v>
      </c>
    </row>
    <row r="658" customFormat="false" ht="15" hidden="false" customHeight="false" outlineLevel="0" collapsed="false">
      <c r="A658" s="0" t="s">
        <v>153</v>
      </c>
      <c r="B658" s="0" t="s">
        <v>270</v>
      </c>
      <c r="C658" s="17" t="n">
        <f aca="false">IF(SQRT((Coordenadas!$C$106-Coordenadas!$C$165)^2+(Coordenadas!$D$106-Coordenadas!$D$165)^2)&lt;=LEEME!$B$20,EXP(-LEEME!$B$19*SQRT((Coordenadas!$C$106-Coordenadas!$C$165)^2+(Coordenadas!$D$106-Coordenadas!$D$165)^2)),0)</f>
        <v>0.46387177064166</v>
      </c>
    </row>
    <row r="659" customFormat="false" ht="15" hidden="false" customHeight="false" outlineLevel="0" collapsed="false">
      <c r="A659" s="0" t="s">
        <v>153</v>
      </c>
      <c r="B659" s="0" t="s">
        <v>271</v>
      </c>
      <c r="C659" s="17" t="n">
        <f aca="false">IF(SQRT((Coordenadas!$C$106-Coordenadas!$C$166)^2+(Coordenadas!$D$106-Coordenadas!$D$166)^2)&lt;=LEEME!$B$20,EXP(-LEEME!$B$19*SQRT((Coordenadas!$C$106-Coordenadas!$C$166)^2+(Coordenadas!$D$106-Coordenadas!$D$166)^2)),0)</f>
        <v>0.690641011504097</v>
      </c>
    </row>
    <row r="660" customFormat="false" ht="15" hidden="false" customHeight="false" outlineLevel="0" collapsed="false">
      <c r="A660" s="0" t="s">
        <v>153</v>
      </c>
      <c r="B660" s="0" t="s">
        <v>273</v>
      </c>
      <c r="C660" s="17" t="n">
        <f aca="false">IF(SQRT((Coordenadas!$C$106-Coordenadas!$C$168)^2+(Coordenadas!$D$106-Coordenadas!$D$168)^2)&lt;=LEEME!$B$20,EXP(-LEEME!$B$19*SQRT((Coordenadas!$C$106-Coordenadas!$C$168)^2+(Coordenadas!$D$106-Coordenadas!$D$168)^2)),0)</f>
        <v>0.608818045953405</v>
      </c>
    </row>
    <row r="661" customFormat="false" ht="15" hidden="false" customHeight="false" outlineLevel="0" collapsed="false">
      <c r="A661" s="0" t="s">
        <v>153</v>
      </c>
      <c r="B661" s="0" t="s">
        <v>274</v>
      </c>
      <c r="C661" s="17" t="n">
        <f aca="false">IF(SQRT((Coordenadas!$C$106-Coordenadas!$C$169)^2+(Coordenadas!$D$106-Coordenadas!$D$169)^2)&lt;=LEEME!$B$20,EXP(-LEEME!$B$19*SQRT((Coordenadas!$C$106-Coordenadas!$C$169)^2+(Coordenadas!$D$106-Coordenadas!$D$169)^2)),0)</f>
        <v>0.724427199250692</v>
      </c>
    </row>
    <row r="662" customFormat="false" ht="15" hidden="false" customHeight="false" outlineLevel="0" collapsed="false">
      <c r="A662" s="0" t="s">
        <v>153</v>
      </c>
      <c r="B662" s="0" t="s">
        <v>275</v>
      </c>
      <c r="C662" s="17" t="n">
        <f aca="false">IF(SQRT((Coordenadas!$C$106-Coordenadas!$C$170)^2+(Coordenadas!$D$106-Coordenadas!$D$170)^2)&lt;=LEEME!$B$20,EXP(-LEEME!$B$19*SQRT((Coordenadas!$C$106-Coordenadas!$C$170)^2+(Coordenadas!$D$106-Coordenadas!$D$170)^2)),0)</f>
        <v>0.809766391506475</v>
      </c>
    </row>
    <row r="663" customFormat="false" ht="15" hidden="false" customHeight="false" outlineLevel="0" collapsed="false">
      <c r="A663" s="0" t="s">
        <v>153</v>
      </c>
      <c r="B663" s="0" t="s">
        <v>276</v>
      </c>
      <c r="C663" s="17" t="n">
        <f aca="false">IF(SQRT((Coordenadas!$C$106-Coordenadas!$C$171)^2+(Coordenadas!$D$106-Coordenadas!$D$171)^2)&lt;=LEEME!$B$20,EXP(-LEEME!$B$19*SQRT((Coordenadas!$C$106-Coordenadas!$C$171)^2+(Coordenadas!$D$106-Coordenadas!$D$171)^2)),0)</f>
        <v>0.672320477820276</v>
      </c>
    </row>
    <row r="664" customFormat="false" ht="15" hidden="false" customHeight="false" outlineLevel="0" collapsed="false">
      <c r="A664" s="0" t="s">
        <v>153</v>
      </c>
      <c r="B664" s="0" t="s">
        <v>277</v>
      </c>
      <c r="C664" s="17" t="n">
        <f aca="false">IF(SQRT((Coordenadas!$C$106-Coordenadas!$C$172)^2+(Coordenadas!$D$106-Coordenadas!$D$172)^2)&lt;=LEEME!$B$20,EXP(-LEEME!$B$19*SQRT((Coordenadas!$C$106-Coordenadas!$C$172)^2+(Coordenadas!$D$106-Coordenadas!$D$172)^2)),0)</f>
        <v>0.468869938915602</v>
      </c>
    </row>
    <row r="665" customFormat="false" ht="15" hidden="false" customHeight="false" outlineLevel="0" collapsed="false">
      <c r="A665" s="0" t="s">
        <v>153</v>
      </c>
      <c r="B665" s="0" t="s">
        <v>278</v>
      </c>
      <c r="C665" s="17" t="n">
        <f aca="false">IF(SQRT((Coordenadas!$C$106-Coordenadas!$C$173)^2+(Coordenadas!$D$106-Coordenadas!$D$173)^2)&lt;=LEEME!$B$20,EXP(-LEEME!$B$19*SQRT((Coordenadas!$C$106-Coordenadas!$C$173)^2+(Coordenadas!$D$106-Coordenadas!$D$173)^2)),0)</f>
        <v>0.43515164697846</v>
      </c>
    </row>
    <row r="666" customFormat="false" ht="15" hidden="false" customHeight="false" outlineLevel="0" collapsed="false">
      <c r="A666" s="0" t="s">
        <v>153</v>
      </c>
      <c r="B666" s="0" t="s">
        <v>280</v>
      </c>
      <c r="C666" s="17" t="n">
        <f aca="false">IF(SQRT((Coordenadas!$C$106-Coordenadas!$C$175)^2+(Coordenadas!$D$106-Coordenadas!$D$175)^2)&lt;=LEEME!$B$20,EXP(-LEEME!$B$19*SQRT((Coordenadas!$C$106-Coordenadas!$C$175)^2+(Coordenadas!$D$106-Coordenadas!$D$175)^2)),0)</f>
        <v>0.445649121263158</v>
      </c>
    </row>
    <row r="667" customFormat="false" ht="15" hidden="false" customHeight="false" outlineLevel="0" collapsed="false">
      <c r="A667" s="0" t="s">
        <v>154</v>
      </c>
      <c r="B667" s="0" t="s">
        <v>271</v>
      </c>
      <c r="C667" s="17" t="n">
        <f aca="false">IF(SQRT((Coordenadas!$C$107-Coordenadas!$C$166)^2+(Coordenadas!$D$107-Coordenadas!$D$166)^2)&lt;=LEEME!$B$20,EXP(-LEEME!$B$19*SQRT((Coordenadas!$C$107-Coordenadas!$C$166)^2+(Coordenadas!$D$107-Coordenadas!$D$166)^2)),0)</f>
        <v>0.376261376362024</v>
      </c>
    </row>
    <row r="668" customFormat="false" ht="15" hidden="false" customHeight="false" outlineLevel="0" collapsed="false">
      <c r="A668" s="0" t="s">
        <v>154</v>
      </c>
      <c r="B668" s="0" t="s">
        <v>275</v>
      </c>
      <c r="C668" s="17" t="n">
        <f aca="false">IF(SQRT((Coordenadas!$C$107-Coordenadas!$C$170)^2+(Coordenadas!$D$107-Coordenadas!$D$170)^2)&lt;=LEEME!$B$20,EXP(-LEEME!$B$19*SQRT((Coordenadas!$C$107-Coordenadas!$C$170)^2+(Coordenadas!$D$107-Coordenadas!$D$170)^2)),0)</f>
        <v>0.397800246074163</v>
      </c>
    </row>
    <row r="669" customFormat="false" ht="15" hidden="false" customHeight="false" outlineLevel="0" collapsed="false">
      <c r="A669" s="0" t="s">
        <v>154</v>
      </c>
      <c r="B669" s="0" t="s">
        <v>277</v>
      </c>
      <c r="C669" s="17" t="n">
        <f aca="false">IF(SQRT((Coordenadas!$C$107-Coordenadas!$C$172)^2+(Coordenadas!$D$107-Coordenadas!$D$172)^2)&lt;=LEEME!$B$20,EXP(-LEEME!$B$19*SQRT((Coordenadas!$C$107-Coordenadas!$C$172)^2+(Coordenadas!$D$107-Coordenadas!$D$172)^2)),0)</f>
        <v>0.497563073004097</v>
      </c>
    </row>
    <row r="670" customFormat="false" ht="15" hidden="false" customHeight="false" outlineLevel="0" collapsed="false">
      <c r="A670" s="0" t="s">
        <v>154</v>
      </c>
      <c r="B670" s="0" t="s">
        <v>278</v>
      </c>
      <c r="C670" s="17" t="n">
        <f aca="false">IF(SQRT((Coordenadas!$C$107-Coordenadas!$C$173)^2+(Coordenadas!$D$107-Coordenadas!$D$173)^2)&lt;=LEEME!$B$20,EXP(-LEEME!$B$19*SQRT((Coordenadas!$C$107-Coordenadas!$C$173)^2+(Coordenadas!$D$107-Coordenadas!$D$173)^2)),0)</f>
        <v>0.406067749179089</v>
      </c>
    </row>
    <row r="671" customFormat="false" ht="15" hidden="false" customHeight="false" outlineLevel="0" collapsed="false">
      <c r="A671" s="0" t="s">
        <v>155</v>
      </c>
      <c r="B671" s="0" t="s">
        <v>271</v>
      </c>
      <c r="C671" s="17" t="n">
        <f aca="false">IF(SQRT((Coordenadas!$C$108-Coordenadas!$C$166)^2+(Coordenadas!$D$108-Coordenadas!$D$166)^2)&lt;=LEEME!$B$20,EXP(-LEEME!$B$19*SQRT((Coordenadas!$C$108-Coordenadas!$C$166)^2+(Coordenadas!$D$108-Coordenadas!$D$166)^2)),0)</f>
        <v>0.530981321001662</v>
      </c>
    </row>
    <row r="672" customFormat="false" ht="15" hidden="false" customHeight="false" outlineLevel="0" collapsed="false">
      <c r="A672" s="0" t="s">
        <v>155</v>
      </c>
      <c r="B672" s="0" t="s">
        <v>274</v>
      </c>
      <c r="C672" s="17" t="n">
        <f aca="false">IF(SQRT((Coordenadas!$C$108-Coordenadas!$C$169)^2+(Coordenadas!$D$108-Coordenadas!$D$169)^2)&lt;=LEEME!$B$20,EXP(-LEEME!$B$19*SQRT((Coordenadas!$C$108-Coordenadas!$C$169)^2+(Coordenadas!$D$108-Coordenadas!$D$169)^2)),0)</f>
        <v>0.380731683097043</v>
      </c>
    </row>
    <row r="673" customFormat="false" ht="15" hidden="false" customHeight="false" outlineLevel="0" collapsed="false">
      <c r="A673" s="0" t="s">
        <v>155</v>
      </c>
      <c r="B673" s="0" t="s">
        <v>275</v>
      </c>
      <c r="C673" s="17" t="n">
        <f aca="false">IF(SQRT((Coordenadas!$C$108-Coordenadas!$C$170)^2+(Coordenadas!$D$108-Coordenadas!$D$170)^2)&lt;=LEEME!$B$20,EXP(-LEEME!$B$19*SQRT((Coordenadas!$C$108-Coordenadas!$C$170)^2+(Coordenadas!$D$108-Coordenadas!$D$170)^2)),0)</f>
        <v>0.497064715448273</v>
      </c>
    </row>
    <row r="674" customFormat="false" ht="15" hidden="false" customHeight="false" outlineLevel="0" collapsed="false">
      <c r="A674" s="0" t="s">
        <v>155</v>
      </c>
      <c r="B674" s="0" t="s">
        <v>277</v>
      </c>
      <c r="C674" s="17" t="n">
        <f aca="false">IF(SQRT((Coordenadas!$C$108-Coordenadas!$C$172)^2+(Coordenadas!$D$108-Coordenadas!$D$172)^2)&lt;=LEEME!$B$20,EXP(-LEEME!$B$19*SQRT((Coordenadas!$C$108-Coordenadas!$C$172)^2+(Coordenadas!$D$108-Coordenadas!$D$172)^2)),0)</f>
        <v>0.481241685133091</v>
      </c>
    </row>
    <row r="675" customFormat="false" ht="15" hidden="false" customHeight="false" outlineLevel="0" collapsed="false">
      <c r="A675" s="0" t="s">
        <v>155</v>
      </c>
      <c r="B675" s="0" t="s">
        <v>278</v>
      </c>
      <c r="C675" s="17" t="n">
        <f aca="false">IF(SQRT((Coordenadas!$C$108-Coordenadas!$C$173)^2+(Coordenadas!$D$108-Coordenadas!$D$173)^2)&lt;=LEEME!$B$20,EXP(-LEEME!$B$19*SQRT((Coordenadas!$C$108-Coordenadas!$C$173)^2+(Coordenadas!$D$108-Coordenadas!$D$173)^2)),0)</f>
        <v>0.398237686114938</v>
      </c>
    </row>
    <row r="676" customFormat="false" ht="15" hidden="false" customHeight="false" outlineLevel="0" collapsed="false">
      <c r="A676" s="0" t="s">
        <v>155</v>
      </c>
      <c r="B676" s="0" t="s">
        <v>280</v>
      </c>
      <c r="C676" s="17" t="n">
        <f aca="false">IF(SQRT((Coordenadas!$C$108-Coordenadas!$C$175)^2+(Coordenadas!$D$108-Coordenadas!$D$175)^2)&lt;=LEEME!$B$20,EXP(-LEEME!$B$19*SQRT((Coordenadas!$C$108-Coordenadas!$C$175)^2+(Coordenadas!$D$108-Coordenadas!$D$175)^2)),0)</f>
        <v>0.367879441171442</v>
      </c>
    </row>
    <row r="677" customFormat="false" ht="15" hidden="false" customHeight="false" outlineLevel="0" collapsed="false">
      <c r="A677" s="0" t="s">
        <v>156</v>
      </c>
      <c r="B677" s="0" t="s">
        <v>271</v>
      </c>
      <c r="C677" s="17" t="n">
        <f aca="false">IF(SQRT((Coordenadas!$C$109-Coordenadas!$C$166)^2+(Coordenadas!$D$109-Coordenadas!$D$166)^2)&lt;=LEEME!$B$20,EXP(-LEEME!$B$19*SQRT((Coordenadas!$C$109-Coordenadas!$C$166)^2+(Coordenadas!$D$109-Coordenadas!$D$166)^2)),0)</f>
        <v>0.525120606237156</v>
      </c>
    </row>
    <row r="678" customFormat="false" ht="15" hidden="false" customHeight="false" outlineLevel="0" collapsed="false">
      <c r="A678" s="0" t="s">
        <v>156</v>
      </c>
      <c r="B678" s="0" t="s">
        <v>274</v>
      </c>
      <c r="C678" s="17" t="n">
        <f aca="false">IF(SQRT((Coordenadas!$C$109-Coordenadas!$C$169)^2+(Coordenadas!$D$109-Coordenadas!$D$169)^2)&lt;=LEEME!$B$20,EXP(-LEEME!$B$19*SQRT((Coordenadas!$C$109-Coordenadas!$C$169)^2+(Coordenadas!$D$109-Coordenadas!$D$169)^2)),0)</f>
        <v>0.41557993835045</v>
      </c>
    </row>
    <row r="679" customFormat="false" ht="15" hidden="false" customHeight="false" outlineLevel="0" collapsed="false">
      <c r="A679" s="0" t="s">
        <v>156</v>
      </c>
      <c r="B679" s="0" t="s">
        <v>275</v>
      </c>
      <c r="C679" s="17" t="n">
        <f aca="false">IF(SQRT((Coordenadas!$C$109-Coordenadas!$C$170)^2+(Coordenadas!$D$109-Coordenadas!$D$170)^2)&lt;=LEEME!$B$20,EXP(-LEEME!$B$19*SQRT((Coordenadas!$C$109-Coordenadas!$C$170)^2+(Coordenadas!$D$109-Coordenadas!$D$170)^2)),0)</f>
        <v>0.560224427997974</v>
      </c>
    </row>
    <row r="680" customFormat="false" ht="15" hidden="false" customHeight="false" outlineLevel="0" collapsed="false">
      <c r="A680" s="0" t="s">
        <v>156</v>
      </c>
      <c r="B680" s="0" t="s">
        <v>276</v>
      </c>
      <c r="C680" s="17" t="n">
        <f aca="false">IF(SQRT((Coordenadas!$C$109-Coordenadas!$C$171)^2+(Coordenadas!$D$109-Coordenadas!$D$171)^2)&lt;=LEEME!$B$20,EXP(-LEEME!$B$19*SQRT((Coordenadas!$C$109-Coordenadas!$C$171)^2+(Coordenadas!$D$109-Coordenadas!$D$171)^2)),0)</f>
        <v>0.394018846319455</v>
      </c>
    </row>
    <row r="681" customFormat="false" ht="15" hidden="false" customHeight="false" outlineLevel="0" collapsed="false">
      <c r="A681" s="0" t="s">
        <v>156</v>
      </c>
      <c r="B681" s="0" t="s">
        <v>277</v>
      </c>
      <c r="C681" s="17" t="n">
        <f aca="false">IF(SQRT((Coordenadas!$C$109-Coordenadas!$C$172)^2+(Coordenadas!$D$109-Coordenadas!$D$172)^2)&lt;=LEEME!$B$20,EXP(-LEEME!$B$19*SQRT((Coordenadas!$C$109-Coordenadas!$C$172)^2+(Coordenadas!$D$109-Coordenadas!$D$172)^2)),0)</f>
        <v>0.559898366565402</v>
      </c>
    </row>
    <row r="682" customFormat="false" ht="15" hidden="false" customHeight="false" outlineLevel="0" collapsed="false">
      <c r="A682" s="0" t="s">
        <v>156</v>
      </c>
      <c r="B682" s="0" t="s">
        <v>278</v>
      </c>
      <c r="C682" s="17" t="n">
        <f aca="false">IF(SQRT((Coordenadas!$C$109-Coordenadas!$C$173)^2+(Coordenadas!$D$109-Coordenadas!$D$173)^2)&lt;=LEEME!$B$20,EXP(-LEEME!$B$19*SQRT((Coordenadas!$C$109-Coordenadas!$C$173)^2+(Coordenadas!$D$109-Coordenadas!$D$173)^2)),0)</f>
        <v>0.464908584084544</v>
      </c>
    </row>
    <row r="683" customFormat="false" ht="15" hidden="false" customHeight="false" outlineLevel="0" collapsed="false">
      <c r="A683" s="0" t="s">
        <v>156</v>
      </c>
      <c r="B683" s="0" t="s">
        <v>280</v>
      </c>
      <c r="C683" s="17" t="n">
        <f aca="false">IF(SQRT((Coordenadas!$C$109-Coordenadas!$C$175)^2+(Coordenadas!$D$109-Coordenadas!$D$175)^2)&lt;=LEEME!$B$20,EXP(-LEEME!$B$19*SQRT((Coordenadas!$C$109-Coordenadas!$C$175)^2+(Coordenadas!$D$109-Coordenadas!$D$175)^2)),0)</f>
        <v>0.430244832816069</v>
      </c>
    </row>
    <row r="684" customFormat="false" ht="15" hidden="false" customHeight="false" outlineLevel="0" collapsed="false">
      <c r="A684" s="0" t="s">
        <v>157</v>
      </c>
      <c r="B684" s="0" t="s">
        <v>271</v>
      </c>
      <c r="C684" s="17" t="n">
        <f aca="false">IF(SQRT((Coordenadas!$C$110-Coordenadas!$C$166)^2+(Coordenadas!$D$110-Coordenadas!$D$166)^2)&lt;=LEEME!$B$20,EXP(-LEEME!$B$19*SQRT((Coordenadas!$C$110-Coordenadas!$C$166)^2+(Coordenadas!$D$110-Coordenadas!$D$166)^2)),0)</f>
        <v>0.439080062306629</v>
      </c>
    </row>
    <row r="685" customFormat="false" ht="15" hidden="false" customHeight="false" outlineLevel="0" collapsed="false">
      <c r="A685" s="0" t="s">
        <v>157</v>
      </c>
      <c r="B685" s="0" t="s">
        <v>274</v>
      </c>
      <c r="C685" s="17" t="n">
        <f aca="false">IF(SQRT((Coordenadas!$C$110-Coordenadas!$C$169)^2+(Coordenadas!$D$110-Coordenadas!$D$169)^2)&lt;=LEEME!$B$20,EXP(-LEEME!$B$19*SQRT((Coordenadas!$C$110-Coordenadas!$C$169)^2+(Coordenadas!$D$110-Coordenadas!$D$169)^2)),0)</f>
        <v>0.386695230740811</v>
      </c>
    </row>
    <row r="686" customFormat="false" ht="15" hidden="false" customHeight="false" outlineLevel="0" collapsed="false">
      <c r="A686" s="0" t="s">
        <v>157</v>
      </c>
      <c r="B686" s="0" t="s">
        <v>275</v>
      </c>
      <c r="C686" s="17" t="n">
        <f aca="false">IF(SQRT((Coordenadas!$C$110-Coordenadas!$C$170)^2+(Coordenadas!$D$110-Coordenadas!$D$170)^2)&lt;=LEEME!$B$20,EXP(-LEEME!$B$19*SQRT((Coordenadas!$C$110-Coordenadas!$C$170)^2+(Coordenadas!$D$110-Coordenadas!$D$170)^2)),0)</f>
        <v>0.542450965435241</v>
      </c>
    </row>
    <row r="687" customFormat="false" ht="15" hidden="false" customHeight="false" outlineLevel="0" collapsed="false">
      <c r="A687" s="0" t="s">
        <v>157</v>
      </c>
      <c r="B687" s="0" t="s">
        <v>276</v>
      </c>
      <c r="C687" s="17" t="n">
        <f aca="false">IF(SQRT((Coordenadas!$C$110-Coordenadas!$C$171)^2+(Coordenadas!$D$110-Coordenadas!$D$171)^2)&lt;=LEEME!$B$20,EXP(-LEEME!$B$19*SQRT((Coordenadas!$C$110-Coordenadas!$C$171)^2+(Coordenadas!$D$110-Coordenadas!$D$171)^2)),0)</f>
        <v>0.374427584777661</v>
      </c>
    </row>
    <row r="688" customFormat="false" ht="15" hidden="false" customHeight="false" outlineLevel="0" collapsed="false">
      <c r="A688" s="0" t="s">
        <v>157</v>
      </c>
      <c r="B688" s="0" t="s">
        <v>277</v>
      </c>
      <c r="C688" s="17" t="n">
        <f aca="false">IF(SQRT((Coordenadas!$C$110-Coordenadas!$C$172)^2+(Coordenadas!$D$110-Coordenadas!$D$172)^2)&lt;=LEEME!$B$20,EXP(-LEEME!$B$19*SQRT((Coordenadas!$C$110-Coordenadas!$C$172)^2+(Coordenadas!$D$110-Coordenadas!$D$172)^2)),0)</f>
        <v>0.666134643594572</v>
      </c>
    </row>
    <row r="689" customFormat="false" ht="15" hidden="false" customHeight="false" outlineLevel="0" collapsed="false">
      <c r="A689" s="0" t="s">
        <v>157</v>
      </c>
      <c r="B689" s="0" t="s">
        <v>278</v>
      </c>
      <c r="C689" s="17" t="n">
        <f aca="false">IF(SQRT((Coordenadas!$C$110-Coordenadas!$C$173)^2+(Coordenadas!$D$110-Coordenadas!$D$173)^2)&lt;=LEEME!$B$20,EXP(-LEEME!$B$19*SQRT((Coordenadas!$C$110-Coordenadas!$C$173)^2+(Coordenadas!$D$110-Coordenadas!$D$173)^2)),0)</f>
        <v>0.545758757984364</v>
      </c>
    </row>
    <row r="690" customFormat="false" ht="15" hidden="false" customHeight="false" outlineLevel="0" collapsed="false">
      <c r="A690" s="0" t="s">
        <v>157</v>
      </c>
      <c r="B690" s="0" t="s">
        <v>280</v>
      </c>
      <c r="C690" s="17" t="n">
        <f aca="false">IF(SQRT((Coordenadas!$C$110-Coordenadas!$C$175)^2+(Coordenadas!$D$110-Coordenadas!$D$175)^2)&lt;=LEEME!$B$20,EXP(-LEEME!$B$19*SQRT((Coordenadas!$C$110-Coordenadas!$C$175)^2+(Coordenadas!$D$110-Coordenadas!$D$175)^2)),0)</f>
        <v>0.493234368377009</v>
      </c>
    </row>
    <row r="691" customFormat="false" ht="15" hidden="false" customHeight="false" outlineLevel="0" collapsed="false">
      <c r="A691" s="0" t="s">
        <v>158</v>
      </c>
      <c r="B691" s="0" t="s">
        <v>270</v>
      </c>
      <c r="C691" s="17" t="n">
        <f aca="false">IF(SQRT((Coordenadas!$C$111-Coordenadas!$C$165)^2+(Coordenadas!$D$111-Coordenadas!$D$165)^2)&lt;=LEEME!$B$20,EXP(-LEEME!$B$19*SQRT((Coordenadas!$C$111-Coordenadas!$C$165)^2+(Coordenadas!$D$111-Coordenadas!$D$165)^2)),0)</f>
        <v>0.384766818744511</v>
      </c>
    </row>
    <row r="692" customFormat="false" ht="15" hidden="false" customHeight="false" outlineLevel="0" collapsed="false">
      <c r="A692" s="0" t="s">
        <v>158</v>
      </c>
      <c r="B692" s="0" t="s">
        <v>271</v>
      </c>
      <c r="C692" s="17" t="n">
        <f aca="false">IF(SQRT((Coordenadas!$C$111-Coordenadas!$C$166)^2+(Coordenadas!$D$111-Coordenadas!$D$166)^2)&lt;=LEEME!$B$20,EXP(-LEEME!$B$19*SQRT((Coordenadas!$C$111-Coordenadas!$C$166)^2+(Coordenadas!$D$111-Coordenadas!$D$166)^2)),0)</f>
        <v>0.600260226950808</v>
      </c>
    </row>
    <row r="693" customFormat="false" ht="15" hidden="false" customHeight="false" outlineLevel="0" collapsed="false">
      <c r="A693" s="0" t="s">
        <v>158</v>
      </c>
      <c r="B693" s="0" t="s">
        <v>273</v>
      </c>
      <c r="C693" s="17" t="n">
        <f aca="false">IF(SQRT((Coordenadas!$C$111-Coordenadas!$C$168)^2+(Coordenadas!$D$111-Coordenadas!$D$168)^2)&lt;=LEEME!$B$20,EXP(-LEEME!$B$19*SQRT((Coordenadas!$C$111-Coordenadas!$C$168)^2+(Coordenadas!$D$111-Coordenadas!$D$168)^2)),0)</f>
        <v>0.458156393965074</v>
      </c>
    </row>
    <row r="694" customFormat="false" ht="15" hidden="false" customHeight="false" outlineLevel="0" collapsed="false">
      <c r="A694" s="0" t="s">
        <v>158</v>
      </c>
      <c r="B694" s="0" t="s">
        <v>274</v>
      </c>
      <c r="C694" s="17" t="n">
        <f aca="false">IF(SQRT((Coordenadas!$C$111-Coordenadas!$C$169)^2+(Coordenadas!$D$111-Coordenadas!$D$169)^2)&lt;=LEEME!$B$20,EXP(-LEEME!$B$19*SQRT((Coordenadas!$C$111-Coordenadas!$C$169)^2+(Coordenadas!$D$111-Coordenadas!$D$169)^2)),0)</f>
        <v>0.559596918353994</v>
      </c>
    </row>
    <row r="695" customFormat="false" ht="15" hidden="false" customHeight="false" outlineLevel="0" collapsed="false">
      <c r="A695" s="0" t="s">
        <v>158</v>
      </c>
      <c r="B695" s="0" t="s">
        <v>275</v>
      </c>
      <c r="C695" s="17" t="n">
        <f aca="false">IF(SQRT((Coordenadas!$C$111-Coordenadas!$C$170)^2+(Coordenadas!$D$111-Coordenadas!$D$170)^2)&lt;=LEEME!$B$20,EXP(-LEEME!$B$19*SQRT((Coordenadas!$C$111-Coordenadas!$C$170)^2+(Coordenadas!$D$111-Coordenadas!$D$170)^2)),0)</f>
        <v>0.757786522973047</v>
      </c>
    </row>
    <row r="696" customFormat="false" ht="15" hidden="false" customHeight="false" outlineLevel="0" collapsed="false">
      <c r="A696" s="0" t="s">
        <v>158</v>
      </c>
      <c r="B696" s="0" t="s">
        <v>276</v>
      </c>
      <c r="C696" s="17" t="n">
        <f aca="false">IF(SQRT((Coordenadas!$C$111-Coordenadas!$C$171)^2+(Coordenadas!$D$111-Coordenadas!$D$171)^2)&lt;=LEEME!$B$20,EXP(-LEEME!$B$19*SQRT((Coordenadas!$C$111-Coordenadas!$C$171)^2+(Coordenadas!$D$111-Coordenadas!$D$171)^2)),0)</f>
        <v>0.533725618620866</v>
      </c>
    </row>
    <row r="697" customFormat="false" ht="15" hidden="false" customHeight="false" outlineLevel="0" collapsed="false">
      <c r="A697" s="0" t="s">
        <v>158</v>
      </c>
      <c r="B697" s="0" t="s">
        <v>277</v>
      </c>
      <c r="C697" s="17" t="n">
        <f aca="false">IF(SQRT((Coordenadas!$C$111-Coordenadas!$C$172)^2+(Coordenadas!$D$111-Coordenadas!$D$172)^2)&lt;=LEEME!$B$20,EXP(-LEEME!$B$19*SQRT((Coordenadas!$C$111-Coordenadas!$C$172)^2+(Coordenadas!$D$111-Coordenadas!$D$172)^2)),0)</f>
        <v>0.583613412227582</v>
      </c>
    </row>
    <row r="698" customFormat="false" ht="15" hidden="false" customHeight="false" outlineLevel="0" collapsed="false">
      <c r="A698" s="0" t="s">
        <v>158</v>
      </c>
      <c r="B698" s="0" t="s">
        <v>278</v>
      </c>
      <c r="C698" s="17" t="n">
        <f aca="false">IF(SQRT((Coordenadas!$C$111-Coordenadas!$C$173)^2+(Coordenadas!$D$111-Coordenadas!$D$173)^2)&lt;=LEEME!$B$20,EXP(-LEEME!$B$19*SQRT((Coordenadas!$C$111-Coordenadas!$C$173)^2+(Coordenadas!$D$111-Coordenadas!$D$173)^2)),0)</f>
        <v>0.513655782692793</v>
      </c>
    </row>
    <row r="699" customFormat="false" ht="15" hidden="false" customHeight="false" outlineLevel="0" collapsed="false">
      <c r="A699" s="0" t="s">
        <v>158</v>
      </c>
      <c r="B699" s="0" t="s">
        <v>280</v>
      </c>
      <c r="C699" s="17" t="n">
        <f aca="false">IF(SQRT((Coordenadas!$C$111-Coordenadas!$C$175)^2+(Coordenadas!$D$111-Coordenadas!$D$175)^2)&lt;=LEEME!$B$20,EXP(-LEEME!$B$19*SQRT((Coordenadas!$C$111-Coordenadas!$C$175)^2+(Coordenadas!$D$111-Coordenadas!$D$175)^2)),0)</f>
        <v>0.500841380259057</v>
      </c>
    </row>
    <row r="700" customFormat="false" ht="15" hidden="false" customHeight="false" outlineLevel="0" collapsed="false">
      <c r="A700" s="0" t="s">
        <v>159</v>
      </c>
      <c r="B700" s="0" t="s">
        <v>271</v>
      </c>
      <c r="C700" s="17" t="n">
        <f aca="false">IF(SQRT((Coordenadas!$C$112-Coordenadas!$C$166)^2+(Coordenadas!$D$112-Coordenadas!$D$166)^2)&lt;=LEEME!$B$20,EXP(-LEEME!$B$19*SQRT((Coordenadas!$C$112-Coordenadas!$C$166)^2+(Coordenadas!$D$112-Coordenadas!$D$166)^2)),0)</f>
        <v>0.436654375555221</v>
      </c>
    </row>
    <row r="701" customFormat="false" ht="15" hidden="false" customHeight="false" outlineLevel="0" collapsed="false">
      <c r="A701" s="0" t="s">
        <v>159</v>
      </c>
      <c r="B701" s="0" t="s">
        <v>275</v>
      </c>
      <c r="C701" s="17" t="n">
        <f aca="false">IF(SQRT((Coordenadas!$C$112-Coordenadas!$C$170)^2+(Coordenadas!$D$112-Coordenadas!$D$170)^2)&lt;=LEEME!$B$20,EXP(-LEEME!$B$19*SQRT((Coordenadas!$C$112-Coordenadas!$C$170)^2+(Coordenadas!$D$112-Coordenadas!$D$170)^2)),0)</f>
        <v>0.449743619407336</v>
      </c>
    </row>
    <row r="702" customFormat="false" ht="15" hidden="false" customHeight="false" outlineLevel="0" collapsed="false">
      <c r="A702" s="0" t="s">
        <v>159</v>
      </c>
      <c r="B702" s="0" t="s">
        <v>277</v>
      </c>
      <c r="C702" s="17" t="n">
        <f aca="false">IF(SQRT((Coordenadas!$C$112-Coordenadas!$C$172)^2+(Coordenadas!$D$112-Coordenadas!$D$172)^2)&lt;=LEEME!$B$20,EXP(-LEEME!$B$19*SQRT((Coordenadas!$C$112-Coordenadas!$C$172)^2+(Coordenadas!$D$112-Coordenadas!$D$172)^2)),0)</f>
        <v>0.513087940345076</v>
      </c>
    </row>
    <row r="703" customFormat="false" ht="15" hidden="false" customHeight="false" outlineLevel="0" collapsed="false">
      <c r="A703" s="0" t="s">
        <v>159</v>
      </c>
      <c r="B703" s="0" t="s">
        <v>278</v>
      </c>
      <c r="C703" s="17" t="n">
        <f aca="false">IF(SQRT((Coordenadas!$C$112-Coordenadas!$C$173)^2+(Coordenadas!$D$112-Coordenadas!$D$173)^2)&lt;=LEEME!$B$20,EXP(-LEEME!$B$19*SQRT((Coordenadas!$C$112-Coordenadas!$C$173)^2+(Coordenadas!$D$112-Coordenadas!$D$173)^2)),0)</f>
        <v>0.419331141977534</v>
      </c>
    </row>
    <row r="704" customFormat="false" ht="15" hidden="false" customHeight="false" outlineLevel="0" collapsed="false">
      <c r="A704" s="0" t="s">
        <v>159</v>
      </c>
      <c r="B704" s="0" t="s">
        <v>280</v>
      </c>
      <c r="C704" s="17" t="n">
        <f aca="false">IF(SQRT((Coordenadas!$C$112-Coordenadas!$C$175)^2+(Coordenadas!$D$112-Coordenadas!$D$175)^2)&lt;=LEEME!$B$20,EXP(-LEEME!$B$19*SQRT((Coordenadas!$C$112-Coordenadas!$C$175)^2+(Coordenadas!$D$112-Coordenadas!$D$175)^2)),0)</f>
        <v>0.377967692885415</v>
      </c>
    </row>
    <row r="705" customFormat="false" ht="15" hidden="false" customHeight="false" outlineLevel="0" collapsed="false">
      <c r="A705" s="0" t="s">
        <v>160</v>
      </c>
      <c r="B705" s="0" t="s">
        <v>270</v>
      </c>
      <c r="C705" s="17" t="n">
        <f aca="false">IF(SQRT((Coordenadas!$C$113-Coordenadas!$C$165)^2+(Coordenadas!$D$113-Coordenadas!$D$165)^2)&lt;=LEEME!$B$20,EXP(-LEEME!$B$19*SQRT((Coordenadas!$C$113-Coordenadas!$C$165)^2+(Coordenadas!$D$113-Coordenadas!$D$165)^2)),0)</f>
        <v>0.437149027668401</v>
      </c>
    </row>
    <row r="706" customFormat="false" ht="15" hidden="false" customHeight="false" outlineLevel="0" collapsed="false">
      <c r="A706" s="0" t="s">
        <v>160</v>
      </c>
      <c r="B706" s="0" t="s">
        <v>271</v>
      </c>
      <c r="C706" s="17" t="n">
        <f aca="false">IF(SQRT((Coordenadas!$C$113-Coordenadas!$C$166)^2+(Coordenadas!$D$113-Coordenadas!$D$166)^2)&lt;=LEEME!$B$20,EXP(-LEEME!$B$19*SQRT((Coordenadas!$C$113-Coordenadas!$C$166)^2+(Coordenadas!$D$113-Coordenadas!$D$166)^2)),0)</f>
        <v>0.617482370676281</v>
      </c>
    </row>
    <row r="707" customFormat="false" ht="15" hidden="false" customHeight="false" outlineLevel="0" collapsed="false">
      <c r="A707" s="0" t="s">
        <v>160</v>
      </c>
      <c r="B707" s="0" t="s">
        <v>274</v>
      </c>
      <c r="C707" s="17" t="n">
        <f aca="false">IF(SQRT((Coordenadas!$C$113-Coordenadas!$C$169)^2+(Coordenadas!$D$113-Coordenadas!$D$169)^2)&lt;=LEEME!$B$20,EXP(-LEEME!$B$19*SQRT((Coordenadas!$C$113-Coordenadas!$C$169)^2+(Coordenadas!$D$113-Coordenadas!$D$169)^2)),0)</f>
        <v>0.390908547426554</v>
      </c>
    </row>
    <row r="708" customFormat="false" ht="15" hidden="false" customHeight="false" outlineLevel="0" collapsed="false">
      <c r="A708" s="0" t="s">
        <v>160</v>
      </c>
      <c r="B708" s="0" t="s">
        <v>275</v>
      </c>
      <c r="C708" s="17" t="n">
        <f aca="false">IF(SQRT((Coordenadas!$C$113-Coordenadas!$C$170)^2+(Coordenadas!$D$113-Coordenadas!$D$170)^2)&lt;=LEEME!$B$20,EXP(-LEEME!$B$19*SQRT((Coordenadas!$C$113-Coordenadas!$C$170)^2+(Coordenadas!$D$113-Coordenadas!$D$170)^2)),0)</f>
        <v>0.472902610537377</v>
      </c>
    </row>
    <row r="709" customFormat="false" ht="15" hidden="false" customHeight="false" outlineLevel="0" collapsed="false">
      <c r="A709" s="0" t="s">
        <v>160</v>
      </c>
      <c r="B709" s="0" t="s">
        <v>277</v>
      </c>
      <c r="C709" s="17" t="n">
        <f aca="false">IF(SQRT((Coordenadas!$C$113-Coordenadas!$C$172)^2+(Coordenadas!$D$113-Coordenadas!$D$172)^2)&lt;=LEEME!$B$20,EXP(-LEEME!$B$19*SQRT((Coordenadas!$C$113-Coordenadas!$C$172)^2+(Coordenadas!$D$113-Coordenadas!$D$172)^2)),0)</f>
        <v>0.394803121519434</v>
      </c>
    </row>
    <row r="710" customFormat="false" ht="15" hidden="false" customHeight="false" outlineLevel="0" collapsed="false">
      <c r="A710" s="0" t="s">
        <v>161</v>
      </c>
      <c r="B710" s="0" t="s">
        <v>271</v>
      </c>
      <c r="C710" s="17" t="n">
        <f aca="false">IF(SQRT((Coordenadas!$C$114-Coordenadas!$C$166)^2+(Coordenadas!$D$114-Coordenadas!$D$166)^2)&lt;=LEEME!$B$20,EXP(-LEEME!$B$19*SQRT((Coordenadas!$C$114-Coordenadas!$C$166)^2+(Coordenadas!$D$114-Coordenadas!$D$166)^2)),0)</f>
        <v>0.47562038656766</v>
      </c>
    </row>
    <row r="711" customFormat="false" ht="15" hidden="false" customHeight="false" outlineLevel="0" collapsed="false">
      <c r="A711" s="0" t="s">
        <v>161</v>
      </c>
      <c r="B711" s="0" t="s">
        <v>273</v>
      </c>
      <c r="C711" s="17" t="n">
        <f aca="false">IF(SQRT((Coordenadas!$C$114-Coordenadas!$C$168)^2+(Coordenadas!$D$114-Coordenadas!$D$168)^2)&lt;=LEEME!$B$20,EXP(-LEEME!$B$19*SQRT((Coordenadas!$C$114-Coordenadas!$C$168)^2+(Coordenadas!$D$114-Coordenadas!$D$168)^2)),0)</f>
        <v>0.433751112574777</v>
      </c>
    </row>
    <row r="712" customFormat="false" ht="15" hidden="false" customHeight="false" outlineLevel="0" collapsed="false">
      <c r="A712" s="0" t="s">
        <v>161</v>
      </c>
      <c r="B712" s="0" t="s">
        <v>274</v>
      </c>
      <c r="C712" s="17" t="n">
        <f aca="false">IF(SQRT((Coordenadas!$C$114-Coordenadas!$C$169)^2+(Coordenadas!$D$114-Coordenadas!$D$169)^2)&lt;=LEEME!$B$20,EXP(-LEEME!$B$19*SQRT((Coordenadas!$C$114-Coordenadas!$C$169)^2+(Coordenadas!$D$114-Coordenadas!$D$169)^2)),0)</f>
        <v>0.571809200784148</v>
      </c>
    </row>
    <row r="713" customFormat="false" ht="15" hidden="false" customHeight="false" outlineLevel="0" collapsed="false">
      <c r="A713" s="0" t="s">
        <v>161</v>
      </c>
      <c r="B713" s="0" t="s">
        <v>275</v>
      </c>
      <c r="C713" s="17" t="n">
        <f aca="false">IF(SQRT((Coordenadas!$C$114-Coordenadas!$C$170)^2+(Coordenadas!$D$114-Coordenadas!$D$170)^2)&lt;=LEEME!$B$20,EXP(-LEEME!$B$19*SQRT((Coordenadas!$C$114-Coordenadas!$C$170)^2+(Coordenadas!$D$114-Coordenadas!$D$170)^2)),0)</f>
        <v>0.804123597353969</v>
      </c>
    </row>
    <row r="714" customFormat="false" ht="15" hidden="false" customHeight="false" outlineLevel="0" collapsed="false">
      <c r="A714" s="0" t="s">
        <v>161</v>
      </c>
      <c r="B714" s="0" t="s">
        <v>276</v>
      </c>
      <c r="C714" s="17" t="n">
        <f aca="false">IF(SQRT((Coordenadas!$C$114-Coordenadas!$C$171)^2+(Coordenadas!$D$114-Coordenadas!$D$171)^2)&lt;=LEEME!$B$20,EXP(-LEEME!$B$19*SQRT((Coordenadas!$C$114-Coordenadas!$C$171)^2+(Coordenadas!$D$114-Coordenadas!$D$171)^2)),0)</f>
        <v>0.57459009726721</v>
      </c>
    </row>
    <row r="715" customFormat="false" ht="15" hidden="false" customHeight="false" outlineLevel="0" collapsed="false">
      <c r="A715" s="0" t="s">
        <v>161</v>
      </c>
      <c r="B715" s="0" t="s">
        <v>277</v>
      </c>
      <c r="C715" s="17" t="n">
        <f aca="false">IF(SQRT((Coordenadas!$C$114-Coordenadas!$C$172)^2+(Coordenadas!$D$114-Coordenadas!$D$172)^2)&lt;=LEEME!$B$20,EXP(-LEEME!$B$19*SQRT((Coordenadas!$C$114-Coordenadas!$C$172)^2+(Coordenadas!$D$114-Coordenadas!$D$172)^2)),0)</f>
        <v>0.685261320437182</v>
      </c>
    </row>
    <row r="716" customFormat="false" ht="15" hidden="false" customHeight="false" outlineLevel="0" collapsed="false">
      <c r="A716" s="0" t="s">
        <v>161</v>
      </c>
      <c r="B716" s="0" t="s">
        <v>278</v>
      </c>
      <c r="C716" s="17" t="n">
        <f aca="false">IF(SQRT((Coordenadas!$C$114-Coordenadas!$C$173)^2+(Coordenadas!$D$114-Coordenadas!$D$173)^2)&lt;=LEEME!$B$20,EXP(-LEEME!$B$19*SQRT((Coordenadas!$C$114-Coordenadas!$C$173)^2+(Coordenadas!$D$114-Coordenadas!$D$173)^2)),0)</f>
        <v>0.651475898330963</v>
      </c>
    </row>
    <row r="717" customFormat="false" ht="15" hidden="false" customHeight="false" outlineLevel="0" collapsed="false">
      <c r="A717" s="0" t="s">
        <v>161</v>
      </c>
      <c r="B717" s="0" t="s">
        <v>280</v>
      </c>
      <c r="C717" s="17" t="n">
        <f aca="false">IF(SQRT((Coordenadas!$C$114-Coordenadas!$C$175)^2+(Coordenadas!$D$114-Coordenadas!$D$175)^2)&lt;=LEEME!$B$20,EXP(-LEEME!$B$19*SQRT((Coordenadas!$C$114-Coordenadas!$C$175)^2+(Coordenadas!$D$114-Coordenadas!$D$175)^2)),0)</f>
        <v>0.658913483465655</v>
      </c>
    </row>
    <row r="718" customFormat="false" ht="15" hidden="false" customHeight="false" outlineLevel="0" collapsed="false">
      <c r="A718" s="0" t="s">
        <v>162</v>
      </c>
      <c r="B718" s="0" t="s">
        <v>270</v>
      </c>
      <c r="C718" s="17" t="n">
        <f aca="false">IF(SQRT((Coordenadas!$C$115-Coordenadas!$C$165)^2+(Coordenadas!$D$115-Coordenadas!$D$165)^2)&lt;=LEEME!$B$20,EXP(-LEEME!$B$19*SQRT((Coordenadas!$C$115-Coordenadas!$C$165)^2+(Coordenadas!$D$115-Coordenadas!$D$165)^2)),0)</f>
        <v>0.369556308709187</v>
      </c>
    </row>
    <row r="719" customFormat="false" ht="15" hidden="false" customHeight="false" outlineLevel="0" collapsed="false">
      <c r="A719" s="0" t="s">
        <v>162</v>
      </c>
      <c r="B719" s="0" t="s">
        <v>271</v>
      </c>
      <c r="C719" s="17" t="n">
        <f aca="false">IF(SQRT((Coordenadas!$C$115-Coordenadas!$C$166)^2+(Coordenadas!$D$115-Coordenadas!$D$166)^2)&lt;=LEEME!$B$20,EXP(-LEEME!$B$19*SQRT((Coordenadas!$C$115-Coordenadas!$C$166)^2+(Coordenadas!$D$115-Coordenadas!$D$166)^2)),0)</f>
        <v>0.549900702331469</v>
      </c>
    </row>
    <row r="720" customFormat="false" ht="15" hidden="false" customHeight="false" outlineLevel="0" collapsed="false">
      <c r="A720" s="0" t="s">
        <v>162</v>
      </c>
      <c r="B720" s="0" t="s">
        <v>273</v>
      </c>
      <c r="C720" s="17" t="n">
        <f aca="false">IF(SQRT((Coordenadas!$C$115-Coordenadas!$C$168)^2+(Coordenadas!$D$115-Coordenadas!$D$168)^2)&lt;=LEEME!$B$20,EXP(-LEEME!$B$19*SQRT((Coordenadas!$C$115-Coordenadas!$C$168)^2+(Coordenadas!$D$115-Coordenadas!$D$168)^2)),0)</f>
        <v>0.533343449764872</v>
      </c>
    </row>
    <row r="721" customFormat="false" ht="15" hidden="false" customHeight="false" outlineLevel="0" collapsed="false">
      <c r="A721" s="0" t="s">
        <v>162</v>
      </c>
      <c r="B721" s="0" t="s">
        <v>274</v>
      </c>
      <c r="C721" s="17" t="n">
        <f aca="false">IF(SQRT((Coordenadas!$C$115-Coordenadas!$C$169)^2+(Coordenadas!$D$115-Coordenadas!$D$169)^2)&lt;=LEEME!$B$20,EXP(-LEEME!$B$19*SQRT((Coordenadas!$C$115-Coordenadas!$C$169)^2+(Coordenadas!$D$115-Coordenadas!$D$169)^2)),0)</f>
        <v>0.699184413564784</v>
      </c>
    </row>
    <row r="722" customFormat="false" ht="15" hidden="false" customHeight="false" outlineLevel="0" collapsed="false">
      <c r="A722" s="0" t="s">
        <v>162</v>
      </c>
      <c r="B722" s="0" t="s">
        <v>275</v>
      </c>
      <c r="C722" s="17" t="n">
        <f aca="false">IF(SQRT((Coordenadas!$C$115-Coordenadas!$C$170)^2+(Coordenadas!$D$115-Coordenadas!$D$170)^2)&lt;=LEEME!$B$20,EXP(-LEEME!$B$19*SQRT((Coordenadas!$C$115-Coordenadas!$C$170)^2+(Coordenadas!$D$115-Coordenadas!$D$170)^2)),0)</f>
        <v>0.980198673306755</v>
      </c>
    </row>
    <row r="723" customFormat="false" ht="15" hidden="false" customHeight="false" outlineLevel="0" collapsed="false">
      <c r="A723" s="0" t="s">
        <v>162</v>
      </c>
      <c r="B723" s="0" t="s">
        <v>276</v>
      </c>
      <c r="C723" s="17" t="n">
        <f aca="false">IF(SQRT((Coordenadas!$C$115-Coordenadas!$C$171)^2+(Coordenadas!$D$115-Coordenadas!$D$171)^2)&lt;=LEEME!$B$20,EXP(-LEEME!$B$19*SQRT((Coordenadas!$C$115-Coordenadas!$C$171)^2+(Coordenadas!$D$115-Coordenadas!$D$171)^2)),0)</f>
        <v>0.690641011504097</v>
      </c>
    </row>
    <row r="724" customFormat="false" ht="15" hidden="false" customHeight="false" outlineLevel="0" collapsed="false">
      <c r="A724" s="0" t="s">
        <v>162</v>
      </c>
      <c r="B724" s="0" t="s">
        <v>277</v>
      </c>
      <c r="C724" s="17" t="n">
        <f aca="false">IF(SQRT((Coordenadas!$C$115-Coordenadas!$C$172)^2+(Coordenadas!$D$115-Coordenadas!$D$172)^2)&lt;=LEEME!$B$20,EXP(-LEEME!$B$19*SQRT((Coordenadas!$C$115-Coordenadas!$C$172)^2+(Coordenadas!$D$115-Coordenadas!$D$172)^2)),0)</f>
        <v>0.557534851988354</v>
      </c>
    </row>
    <row r="725" customFormat="false" ht="15" hidden="false" customHeight="false" outlineLevel="0" collapsed="false">
      <c r="A725" s="0" t="s">
        <v>162</v>
      </c>
      <c r="B725" s="0" t="s">
        <v>278</v>
      </c>
      <c r="C725" s="17" t="n">
        <f aca="false">IF(SQRT((Coordenadas!$C$115-Coordenadas!$C$173)^2+(Coordenadas!$D$115-Coordenadas!$D$173)^2)&lt;=LEEME!$B$20,EXP(-LEEME!$B$19*SQRT((Coordenadas!$C$115-Coordenadas!$C$173)^2+(Coordenadas!$D$115-Coordenadas!$D$173)^2)),0)</f>
        <v>0.536194896487115</v>
      </c>
    </row>
    <row r="726" customFormat="false" ht="15" hidden="false" customHeight="false" outlineLevel="0" collapsed="false">
      <c r="A726" s="0" t="s">
        <v>162</v>
      </c>
      <c r="B726" s="0" t="s">
        <v>280</v>
      </c>
      <c r="C726" s="17" t="n">
        <f aca="false">IF(SQRT((Coordenadas!$C$115-Coordenadas!$C$175)^2+(Coordenadas!$D$115-Coordenadas!$D$175)^2)&lt;=LEEME!$B$20,EXP(-LEEME!$B$19*SQRT((Coordenadas!$C$115-Coordenadas!$C$175)^2+(Coordenadas!$D$115-Coordenadas!$D$175)^2)),0)</f>
        <v>0.557761624842958</v>
      </c>
    </row>
    <row r="727" customFormat="false" ht="15" hidden="false" customHeight="false" outlineLevel="0" collapsed="false">
      <c r="A727" s="0" t="s">
        <v>163</v>
      </c>
      <c r="B727" s="0" t="s">
        <v>274</v>
      </c>
      <c r="C727" s="17" t="n">
        <f aca="false">IF(SQRT((Coordenadas!$C$116-Coordenadas!$C$169)^2+(Coordenadas!$D$116-Coordenadas!$D$169)^2)&lt;=LEEME!$B$20,EXP(-LEEME!$B$19*SQRT((Coordenadas!$C$116-Coordenadas!$C$169)^2+(Coordenadas!$D$116-Coordenadas!$D$169)^2)),0)</f>
        <v>0.442530733884869</v>
      </c>
    </row>
    <row r="728" customFormat="false" ht="15" hidden="false" customHeight="false" outlineLevel="0" collapsed="false">
      <c r="A728" s="0" t="s">
        <v>163</v>
      </c>
      <c r="B728" s="0" t="s">
        <v>275</v>
      </c>
      <c r="C728" s="17" t="n">
        <f aca="false">IF(SQRT((Coordenadas!$C$116-Coordenadas!$C$170)^2+(Coordenadas!$D$116-Coordenadas!$D$170)^2)&lt;=LEEME!$B$20,EXP(-LEEME!$B$19*SQRT((Coordenadas!$C$116-Coordenadas!$C$170)^2+(Coordenadas!$D$116-Coordenadas!$D$170)^2)),0)</f>
        <v>0.555871560654439</v>
      </c>
    </row>
    <row r="729" customFormat="false" ht="15" hidden="false" customHeight="false" outlineLevel="0" collapsed="false">
      <c r="A729" s="0" t="s">
        <v>163</v>
      </c>
      <c r="B729" s="0" t="s">
        <v>276</v>
      </c>
      <c r="C729" s="17" t="n">
        <f aca="false">IF(SQRT((Coordenadas!$C$116-Coordenadas!$C$171)^2+(Coordenadas!$D$116-Coordenadas!$D$171)^2)&lt;=LEEME!$B$20,EXP(-LEEME!$B$19*SQRT((Coordenadas!$C$116-Coordenadas!$C$171)^2+(Coordenadas!$D$116-Coordenadas!$D$171)^2)),0)</f>
        <v>0.47091530470558</v>
      </c>
    </row>
    <row r="730" customFormat="false" ht="15" hidden="false" customHeight="false" outlineLevel="0" collapsed="false">
      <c r="A730" s="0" t="s">
        <v>163</v>
      </c>
      <c r="B730" s="0" t="s">
        <v>277</v>
      </c>
      <c r="C730" s="17" t="n">
        <f aca="false">IF(SQRT((Coordenadas!$C$116-Coordenadas!$C$172)^2+(Coordenadas!$D$116-Coordenadas!$D$172)^2)&lt;=LEEME!$B$20,EXP(-LEEME!$B$19*SQRT((Coordenadas!$C$116-Coordenadas!$C$172)^2+(Coordenadas!$D$116-Coordenadas!$D$172)^2)),0)</f>
        <v>0.646614759821489</v>
      </c>
    </row>
    <row r="731" customFormat="false" ht="15" hidden="false" customHeight="false" outlineLevel="0" collapsed="false">
      <c r="A731" s="0" t="s">
        <v>163</v>
      </c>
      <c r="B731" s="0" t="s">
        <v>278</v>
      </c>
      <c r="C731" s="17" t="n">
        <f aca="false">IF(SQRT((Coordenadas!$C$116-Coordenadas!$C$173)^2+(Coordenadas!$D$116-Coordenadas!$D$173)^2)&lt;=LEEME!$B$20,EXP(-LEEME!$B$19*SQRT((Coordenadas!$C$116-Coordenadas!$C$173)^2+(Coordenadas!$D$116-Coordenadas!$D$173)^2)),0)</f>
        <v>0.765478186306306</v>
      </c>
    </row>
    <row r="732" customFormat="false" ht="15" hidden="false" customHeight="false" outlineLevel="0" collapsed="false">
      <c r="A732" s="0" t="s">
        <v>163</v>
      </c>
      <c r="B732" s="0" t="s">
        <v>280</v>
      </c>
      <c r="C732" s="17" t="n">
        <f aca="false">IF(SQRT((Coordenadas!$C$116-Coordenadas!$C$175)^2+(Coordenadas!$D$116-Coordenadas!$D$175)^2)&lt;=LEEME!$B$20,EXP(-LEEME!$B$19*SQRT((Coordenadas!$C$116-Coordenadas!$C$175)^2+(Coordenadas!$D$116-Coordenadas!$D$175)^2)),0)</f>
        <v>0.887942186643984</v>
      </c>
    </row>
    <row r="733" customFormat="false" ht="15" hidden="false" customHeight="false" outlineLevel="0" collapsed="false">
      <c r="A733" s="0" t="s">
        <v>163</v>
      </c>
      <c r="B733" s="0" t="s">
        <v>285</v>
      </c>
      <c r="C733" s="17" t="n">
        <f aca="false">IF(SQRT((Coordenadas!$C$116-Coordenadas!$C$180)^2+(Coordenadas!$D$116-Coordenadas!$D$180)^2)&lt;=LEEME!$B$20,EXP(-LEEME!$B$19*SQRT((Coordenadas!$C$116-Coordenadas!$C$180)^2+(Coordenadas!$D$116-Coordenadas!$D$180)^2)),0)</f>
        <v>0.441637094947808</v>
      </c>
    </row>
    <row r="734" customFormat="false" ht="15" hidden="false" customHeight="false" outlineLevel="0" collapsed="false">
      <c r="A734" s="0" t="s">
        <v>163</v>
      </c>
      <c r="B734" s="0" t="s">
        <v>290</v>
      </c>
      <c r="C734" s="17" t="n">
        <f aca="false">IF(SQRT((Coordenadas!$C$116-Coordenadas!$C$185)^2+(Coordenadas!$D$116-Coordenadas!$D$185)^2)&lt;=LEEME!$B$20,EXP(-LEEME!$B$19*SQRT((Coordenadas!$C$116-Coordenadas!$C$185)^2+(Coordenadas!$D$116-Coordenadas!$D$185)^2)),0)</f>
        <v>0.419427664279405</v>
      </c>
    </row>
    <row r="735" customFormat="false" ht="15" hidden="false" customHeight="false" outlineLevel="0" collapsed="false">
      <c r="A735" s="0" t="s">
        <v>163</v>
      </c>
      <c r="B735" s="0" t="s">
        <v>291</v>
      </c>
      <c r="C735" s="17" t="n">
        <f aca="false">IF(SQRT((Coordenadas!$C$116-Coordenadas!$C$186)^2+(Coordenadas!$D$116-Coordenadas!$D$186)^2)&lt;=LEEME!$B$20,EXP(-LEEME!$B$19*SQRT((Coordenadas!$C$116-Coordenadas!$C$186)^2+(Coordenadas!$D$116-Coordenadas!$D$186)^2)),0)</f>
        <v>0.442883879820147</v>
      </c>
    </row>
    <row r="736" customFormat="false" ht="15" hidden="false" customHeight="false" outlineLevel="0" collapsed="false">
      <c r="A736" s="0" t="s">
        <v>164</v>
      </c>
      <c r="B736" s="0" t="s">
        <v>270</v>
      </c>
      <c r="C736" s="17" t="n">
        <f aca="false">IF(SQRT((Coordenadas!$C$117-Coordenadas!$C$165)^2+(Coordenadas!$D$117-Coordenadas!$D$165)^2)&lt;=LEEME!$B$20,EXP(-LEEME!$B$19*SQRT((Coordenadas!$C$117-Coordenadas!$C$165)^2+(Coordenadas!$D$117-Coordenadas!$D$165)^2)),0)</f>
        <v>0.378609784885586</v>
      </c>
    </row>
    <row r="737" customFormat="false" ht="15" hidden="false" customHeight="false" outlineLevel="0" collapsed="false">
      <c r="A737" s="0" t="s">
        <v>164</v>
      </c>
      <c r="B737" s="0" t="s">
        <v>271</v>
      </c>
      <c r="C737" s="17" t="n">
        <f aca="false">IF(SQRT((Coordenadas!$C$117-Coordenadas!$C$166)^2+(Coordenadas!$D$117-Coordenadas!$D$166)^2)&lt;=LEEME!$B$20,EXP(-LEEME!$B$19*SQRT((Coordenadas!$C$117-Coordenadas!$C$166)^2+(Coordenadas!$D$117-Coordenadas!$D$166)^2)),0)</f>
        <v>0.518611051131337</v>
      </c>
    </row>
    <row r="738" customFormat="false" ht="15" hidden="false" customHeight="false" outlineLevel="0" collapsed="false">
      <c r="A738" s="0" t="s">
        <v>164</v>
      </c>
      <c r="B738" s="0" t="s">
        <v>273</v>
      </c>
      <c r="C738" s="17" t="n">
        <f aca="false">IF(SQRT((Coordenadas!$C$117-Coordenadas!$C$168)^2+(Coordenadas!$D$117-Coordenadas!$D$168)^2)&lt;=LEEME!$B$20,EXP(-LEEME!$B$19*SQRT((Coordenadas!$C$117-Coordenadas!$C$168)^2+(Coordenadas!$D$117-Coordenadas!$D$168)^2)),0)</f>
        <v>0.627393530296791</v>
      </c>
    </row>
    <row r="739" customFormat="false" ht="15" hidden="false" customHeight="false" outlineLevel="0" collapsed="false">
      <c r="A739" s="0" t="s">
        <v>164</v>
      </c>
      <c r="B739" s="0" t="s">
        <v>274</v>
      </c>
      <c r="C739" s="17" t="n">
        <f aca="false">IF(SQRT((Coordenadas!$C$117-Coordenadas!$C$169)^2+(Coordenadas!$D$117-Coordenadas!$D$169)^2)&lt;=LEEME!$B$20,EXP(-LEEME!$B$19*SQRT((Coordenadas!$C$117-Coordenadas!$C$169)^2+(Coordenadas!$D$117-Coordenadas!$D$169)^2)),0)</f>
        <v>0.848731671815659</v>
      </c>
    </row>
    <row r="740" customFormat="false" ht="15" hidden="false" customHeight="false" outlineLevel="0" collapsed="false">
      <c r="A740" s="0" t="s">
        <v>164</v>
      </c>
      <c r="B740" s="0" t="s">
        <v>275</v>
      </c>
      <c r="C740" s="17" t="n">
        <f aca="false">IF(SQRT((Coordenadas!$C$117-Coordenadas!$C$170)^2+(Coordenadas!$D$117-Coordenadas!$D$170)^2)&lt;=LEEME!$B$20,EXP(-LEEME!$B$19*SQRT((Coordenadas!$C$117-Coordenadas!$C$170)^2+(Coordenadas!$D$117-Coordenadas!$D$170)^2)),0)</f>
        <v>0.777946447601636</v>
      </c>
    </row>
    <row r="741" customFormat="false" ht="15" hidden="false" customHeight="false" outlineLevel="0" collapsed="false">
      <c r="A741" s="0" t="s">
        <v>164</v>
      </c>
      <c r="B741" s="0" t="s">
        <v>276</v>
      </c>
      <c r="C741" s="17" t="n">
        <f aca="false">IF(SQRT((Coordenadas!$C$117-Coordenadas!$C$171)^2+(Coordenadas!$D$117-Coordenadas!$D$171)^2)&lt;=LEEME!$B$20,EXP(-LEEME!$B$19*SQRT((Coordenadas!$C$117-Coordenadas!$C$171)^2+(Coordenadas!$D$117-Coordenadas!$D$171)^2)),0)</f>
        <v>0.880314993991898</v>
      </c>
    </row>
    <row r="742" customFormat="false" ht="15" hidden="false" customHeight="false" outlineLevel="0" collapsed="false">
      <c r="A742" s="0" t="s">
        <v>164</v>
      </c>
      <c r="B742" s="0" t="s">
        <v>277</v>
      </c>
      <c r="C742" s="17" t="n">
        <f aca="false">IF(SQRT((Coordenadas!$C$117-Coordenadas!$C$172)^2+(Coordenadas!$D$117-Coordenadas!$D$172)^2)&lt;=LEEME!$B$20,EXP(-LEEME!$B$19*SQRT((Coordenadas!$C$117-Coordenadas!$C$172)^2+(Coordenadas!$D$117-Coordenadas!$D$172)^2)),0)</f>
        <v>0.45143927863642</v>
      </c>
    </row>
    <row r="743" customFormat="false" ht="15" hidden="false" customHeight="false" outlineLevel="0" collapsed="false">
      <c r="A743" s="0" t="s">
        <v>164</v>
      </c>
      <c r="B743" s="0" t="s">
        <v>278</v>
      </c>
      <c r="C743" s="17" t="n">
        <f aca="false">IF(SQRT((Coordenadas!$C$117-Coordenadas!$C$173)^2+(Coordenadas!$D$117-Coordenadas!$D$173)^2)&lt;=LEEME!$B$20,EXP(-LEEME!$B$19*SQRT((Coordenadas!$C$117-Coordenadas!$C$173)^2+(Coordenadas!$D$117-Coordenadas!$D$173)^2)),0)</f>
        <v>0.454881549936702</v>
      </c>
    </row>
    <row r="744" customFormat="false" ht="15" hidden="false" customHeight="false" outlineLevel="0" collapsed="false">
      <c r="A744" s="0" t="s">
        <v>164</v>
      </c>
      <c r="B744" s="0" t="s">
        <v>280</v>
      </c>
      <c r="C744" s="17" t="n">
        <f aca="false">IF(SQRT((Coordenadas!$C$117-Coordenadas!$C$175)^2+(Coordenadas!$D$117-Coordenadas!$D$175)^2)&lt;=LEEME!$B$20,EXP(-LEEME!$B$19*SQRT((Coordenadas!$C$117-Coordenadas!$C$175)^2+(Coordenadas!$D$117-Coordenadas!$D$175)^2)),0)</f>
        <v>0.492789959915647</v>
      </c>
    </row>
    <row r="745" customFormat="false" ht="15" hidden="false" customHeight="false" outlineLevel="0" collapsed="false">
      <c r="A745" s="0" t="s">
        <v>164</v>
      </c>
      <c r="B745" s="0" t="s">
        <v>285</v>
      </c>
      <c r="C745" s="17" t="n">
        <f aca="false">IF(SQRT((Coordenadas!$C$117-Coordenadas!$C$180)^2+(Coordenadas!$D$117-Coordenadas!$D$180)^2)&lt;=LEEME!$B$20,EXP(-LEEME!$B$19*SQRT((Coordenadas!$C$117-Coordenadas!$C$180)^2+(Coordenadas!$D$117-Coordenadas!$D$180)^2)),0)</f>
        <v>0.373918492763762</v>
      </c>
    </row>
    <row r="746" customFormat="false" ht="15" hidden="false" customHeight="false" outlineLevel="0" collapsed="false">
      <c r="A746" s="0" t="s">
        <v>165</v>
      </c>
      <c r="B746" s="0" t="s">
        <v>271</v>
      </c>
      <c r="C746" s="17" t="n">
        <f aca="false">IF(SQRT((Coordenadas!$C$118-Coordenadas!$C$166)^2+(Coordenadas!$D$118-Coordenadas!$D$166)^2)&lt;=LEEME!$B$20,EXP(-LEEME!$B$19*SQRT((Coordenadas!$C$118-Coordenadas!$C$166)^2+(Coordenadas!$D$118-Coordenadas!$D$166)^2)),0)</f>
        <v>0.43572776447987</v>
      </c>
    </row>
    <row r="747" customFormat="false" ht="15" hidden="false" customHeight="false" outlineLevel="0" collapsed="false">
      <c r="A747" s="0" t="s">
        <v>165</v>
      </c>
      <c r="B747" s="0" t="s">
        <v>273</v>
      </c>
      <c r="C747" s="17" t="n">
        <f aca="false">IF(SQRT((Coordenadas!$C$118-Coordenadas!$C$168)^2+(Coordenadas!$D$118-Coordenadas!$D$168)^2)&lt;=LEEME!$B$20,EXP(-LEEME!$B$19*SQRT((Coordenadas!$C$118-Coordenadas!$C$168)^2+(Coordenadas!$D$118-Coordenadas!$D$168)^2)),0)</f>
        <v>0.467136383420234</v>
      </c>
    </row>
    <row r="748" customFormat="false" ht="15" hidden="false" customHeight="false" outlineLevel="0" collapsed="false">
      <c r="A748" s="0" t="s">
        <v>165</v>
      </c>
      <c r="B748" s="0" t="s">
        <v>274</v>
      </c>
      <c r="C748" s="17" t="n">
        <f aca="false">IF(SQRT((Coordenadas!$C$118-Coordenadas!$C$169)^2+(Coordenadas!$D$118-Coordenadas!$D$169)^2)&lt;=LEEME!$B$20,EXP(-LEEME!$B$19*SQRT((Coordenadas!$C$118-Coordenadas!$C$169)^2+(Coordenadas!$D$118-Coordenadas!$D$169)^2)),0)</f>
        <v>0.631489605475022</v>
      </c>
    </row>
    <row r="749" customFormat="false" ht="15" hidden="false" customHeight="false" outlineLevel="0" collapsed="false">
      <c r="A749" s="0" t="s">
        <v>165</v>
      </c>
      <c r="B749" s="0" t="s">
        <v>275</v>
      </c>
      <c r="C749" s="17" t="n">
        <f aca="false">IF(SQRT((Coordenadas!$C$118-Coordenadas!$C$170)^2+(Coordenadas!$D$118-Coordenadas!$D$170)^2)&lt;=LEEME!$B$20,EXP(-LEEME!$B$19*SQRT((Coordenadas!$C$118-Coordenadas!$C$170)^2+(Coordenadas!$D$118-Coordenadas!$D$170)^2)),0)</f>
        <v>0.773969695309069</v>
      </c>
    </row>
    <row r="750" customFormat="false" ht="15" hidden="false" customHeight="false" outlineLevel="0" collapsed="false">
      <c r="A750" s="0" t="s">
        <v>165</v>
      </c>
      <c r="B750" s="0" t="s">
        <v>276</v>
      </c>
      <c r="C750" s="17" t="n">
        <f aca="false">IF(SQRT((Coordenadas!$C$118-Coordenadas!$C$171)^2+(Coordenadas!$D$118-Coordenadas!$D$171)^2)&lt;=LEEME!$B$20,EXP(-LEEME!$B$19*SQRT((Coordenadas!$C$118-Coordenadas!$C$171)^2+(Coordenadas!$D$118-Coordenadas!$D$171)^2)),0)</f>
        <v>0.662399847236474</v>
      </c>
    </row>
    <row r="751" customFormat="false" ht="15" hidden="false" customHeight="false" outlineLevel="0" collapsed="false">
      <c r="A751" s="0" t="s">
        <v>165</v>
      </c>
      <c r="B751" s="0" t="s">
        <v>277</v>
      </c>
      <c r="C751" s="17" t="n">
        <f aca="false">IF(SQRT((Coordenadas!$C$118-Coordenadas!$C$172)^2+(Coordenadas!$D$118-Coordenadas!$D$172)^2)&lt;=LEEME!$B$20,EXP(-LEEME!$B$19*SQRT((Coordenadas!$C$118-Coordenadas!$C$172)^2+(Coordenadas!$D$118-Coordenadas!$D$172)^2)),0)</f>
        <v>0.584305469380601</v>
      </c>
    </row>
    <row r="752" customFormat="false" ht="15" hidden="false" customHeight="false" outlineLevel="0" collapsed="false">
      <c r="A752" s="0" t="s">
        <v>165</v>
      </c>
      <c r="B752" s="0" t="s">
        <v>278</v>
      </c>
      <c r="C752" s="17" t="n">
        <f aca="false">IF(SQRT((Coordenadas!$C$118-Coordenadas!$C$173)^2+(Coordenadas!$D$118-Coordenadas!$D$173)^2)&lt;=LEEME!$B$20,EXP(-LEEME!$B$19*SQRT((Coordenadas!$C$118-Coordenadas!$C$173)^2+(Coordenadas!$D$118-Coordenadas!$D$173)^2)),0)</f>
        <v>0.608664745110906</v>
      </c>
    </row>
    <row r="753" customFormat="false" ht="15" hidden="false" customHeight="false" outlineLevel="0" collapsed="false">
      <c r="A753" s="0" t="s">
        <v>165</v>
      </c>
      <c r="B753" s="0" t="s">
        <v>280</v>
      </c>
      <c r="C753" s="17" t="n">
        <f aca="false">IF(SQRT((Coordenadas!$C$118-Coordenadas!$C$175)^2+(Coordenadas!$D$118-Coordenadas!$D$175)^2)&lt;=LEEME!$B$20,EXP(-LEEME!$B$19*SQRT((Coordenadas!$C$118-Coordenadas!$C$175)^2+(Coordenadas!$D$118-Coordenadas!$D$175)^2)),0)</f>
        <v>0.663407603865066</v>
      </c>
    </row>
    <row r="754" customFormat="false" ht="15" hidden="false" customHeight="false" outlineLevel="0" collapsed="false">
      <c r="A754" s="0" t="s">
        <v>165</v>
      </c>
      <c r="B754" s="0" t="s">
        <v>285</v>
      </c>
      <c r="C754" s="17" t="n">
        <f aca="false">IF(SQRT((Coordenadas!$C$118-Coordenadas!$C$180)^2+(Coordenadas!$D$118-Coordenadas!$D$180)^2)&lt;=LEEME!$B$20,EXP(-LEEME!$B$19*SQRT((Coordenadas!$C$118-Coordenadas!$C$180)^2+(Coordenadas!$D$118-Coordenadas!$D$180)^2)),0)</f>
        <v>0.407089867246525</v>
      </c>
    </row>
    <row r="755" customFormat="false" ht="15" hidden="false" customHeight="false" outlineLevel="0" collapsed="false">
      <c r="A755" s="0" t="s">
        <v>166</v>
      </c>
      <c r="B755" s="0" t="s">
        <v>273</v>
      </c>
      <c r="C755" s="17" t="n">
        <f aca="false">IF(SQRT((Coordenadas!$C$119-Coordenadas!$C$168)^2+(Coordenadas!$D$119-Coordenadas!$D$168)^2)&lt;=LEEME!$B$20,EXP(-LEEME!$B$19*SQRT((Coordenadas!$C$119-Coordenadas!$C$168)^2+(Coordenadas!$D$119-Coordenadas!$D$168)^2)),0)</f>
        <v>0.47257134846338</v>
      </c>
    </row>
    <row r="756" customFormat="false" ht="15" hidden="false" customHeight="false" outlineLevel="0" collapsed="false">
      <c r="A756" s="0" t="s">
        <v>166</v>
      </c>
      <c r="B756" s="0" t="s">
        <v>274</v>
      </c>
      <c r="C756" s="17" t="n">
        <f aca="false">IF(SQRT((Coordenadas!$C$119-Coordenadas!$C$169)^2+(Coordenadas!$D$119-Coordenadas!$D$169)^2)&lt;=LEEME!$B$20,EXP(-LEEME!$B$19*SQRT((Coordenadas!$C$119-Coordenadas!$C$169)^2+(Coordenadas!$D$119-Coordenadas!$D$169)^2)),0)</f>
        <v>0.617995347399026</v>
      </c>
    </row>
    <row r="757" customFormat="false" ht="15" hidden="false" customHeight="false" outlineLevel="0" collapsed="false">
      <c r="A757" s="0" t="s">
        <v>166</v>
      </c>
      <c r="B757" s="0" t="s">
        <v>275</v>
      </c>
      <c r="C757" s="17" t="n">
        <f aca="false">IF(SQRT((Coordenadas!$C$119-Coordenadas!$C$170)^2+(Coordenadas!$D$119-Coordenadas!$D$170)^2)&lt;=LEEME!$B$20,EXP(-LEEME!$B$19*SQRT((Coordenadas!$C$119-Coordenadas!$C$170)^2+(Coordenadas!$D$119-Coordenadas!$D$170)^2)),0)</f>
        <v>0.600480861317377</v>
      </c>
    </row>
    <row r="758" customFormat="false" ht="15" hidden="false" customHeight="false" outlineLevel="0" collapsed="false">
      <c r="A758" s="0" t="s">
        <v>166</v>
      </c>
      <c r="B758" s="0" t="s">
        <v>276</v>
      </c>
      <c r="C758" s="17" t="n">
        <f aca="false">IF(SQRT((Coordenadas!$C$119-Coordenadas!$C$171)^2+(Coordenadas!$D$119-Coordenadas!$D$171)^2)&lt;=LEEME!$B$20,EXP(-LEEME!$B$19*SQRT((Coordenadas!$C$119-Coordenadas!$C$171)^2+(Coordenadas!$D$119-Coordenadas!$D$171)^2)),0)</f>
        <v>0.684018943180213</v>
      </c>
    </row>
    <row r="759" customFormat="false" ht="15" hidden="false" customHeight="false" outlineLevel="0" collapsed="false">
      <c r="A759" s="0" t="s">
        <v>166</v>
      </c>
      <c r="B759" s="0" t="s">
        <v>277</v>
      </c>
      <c r="C759" s="17" t="n">
        <f aca="false">IF(SQRT((Coordenadas!$C$119-Coordenadas!$C$172)^2+(Coordenadas!$D$119-Coordenadas!$D$172)^2)&lt;=LEEME!$B$20,EXP(-LEEME!$B$19*SQRT((Coordenadas!$C$119-Coordenadas!$C$172)^2+(Coordenadas!$D$119-Coordenadas!$D$172)^2)),0)</f>
        <v>0.437764117968797</v>
      </c>
    </row>
    <row r="760" customFormat="false" ht="15" hidden="false" customHeight="false" outlineLevel="0" collapsed="false">
      <c r="A760" s="0" t="s">
        <v>166</v>
      </c>
      <c r="B760" s="0" t="s">
        <v>278</v>
      </c>
      <c r="C760" s="17" t="n">
        <f aca="false">IF(SQRT((Coordenadas!$C$119-Coordenadas!$C$173)^2+(Coordenadas!$D$119-Coordenadas!$D$173)^2)&lt;=LEEME!$B$20,EXP(-LEEME!$B$19*SQRT((Coordenadas!$C$119-Coordenadas!$C$173)^2+(Coordenadas!$D$119-Coordenadas!$D$173)^2)),0)</f>
        <v>0.482198010696898</v>
      </c>
    </row>
    <row r="761" customFormat="false" ht="15" hidden="false" customHeight="false" outlineLevel="0" collapsed="false">
      <c r="A761" s="0" t="s">
        <v>166</v>
      </c>
      <c r="B761" s="0" t="s">
        <v>280</v>
      </c>
      <c r="C761" s="17" t="n">
        <f aca="false">IF(SQRT((Coordenadas!$C$119-Coordenadas!$C$175)^2+(Coordenadas!$D$119-Coordenadas!$D$175)^2)&lt;=LEEME!$B$20,EXP(-LEEME!$B$19*SQRT((Coordenadas!$C$119-Coordenadas!$C$175)^2+(Coordenadas!$D$119-Coordenadas!$D$175)^2)),0)</f>
        <v>0.549212200813587</v>
      </c>
    </row>
    <row r="762" customFormat="false" ht="15" hidden="false" customHeight="false" outlineLevel="0" collapsed="false">
      <c r="A762" s="0" t="s">
        <v>166</v>
      </c>
      <c r="B762" s="0" t="s">
        <v>285</v>
      </c>
      <c r="C762" s="17" t="n">
        <f aca="false">IF(SQRT((Coordenadas!$C$119-Coordenadas!$C$180)^2+(Coordenadas!$D$119-Coordenadas!$D$180)^2)&lt;=LEEME!$B$20,EXP(-LEEME!$B$19*SQRT((Coordenadas!$C$119-Coordenadas!$C$180)^2+(Coordenadas!$D$119-Coordenadas!$D$180)^2)),0)</f>
        <v>0.531821830124</v>
      </c>
    </row>
    <row r="763" customFormat="false" ht="15" hidden="false" customHeight="false" outlineLevel="0" collapsed="false">
      <c r="A763" s="0" t="s">
        <v>166</v>
      </c>
      <c r="B763" s="0" t="s">
        <v>290</v>
      </c>
      <c r="C763" s="17" t="n">
        <f aca="false">IF(SQRT((Coordenadas!$C$119-Coordenadas!$C$185)^2+(Coordenadas!$D$119-Coordenadas!$D$185)^2)&lt;=LEEME!$B$20,EXP(-LEEME!$B$19*SQRT((Coordenadas!$C$119-Coordenadas!$C$185)^2+(Coordenadas!$D$119-Coordenadas!$D$185)^2)),0)</f>
        <v>0.40016676765744</v>
      </c>
    </row>
    <row r="764" customFormat="false" ht="15" hidden="false" customHeight="false" outlineLevel="0" collapsed="false">
      <c r="A764" s="0" t="s">
        <v>167</v>
      </c>
      <c r="B764" s="0" t="s">
        <v>274</v>
      </c>
      <c r="C764" s="17" t="n">
        <f aca="false">IF(SQRT((Coordenadas!$C$120-Coordenadas!$C$169)^2+(Coordenadas!$D$120-Coordenadas!$D$169)^2)&lt;=LEEME!$B$20,EXP(-LEEME!$B$19*SQRT((Coordenadas!$C$120-Coordenadas!$C$169)^2+(Coordenadas!$D$120-Coordenadas!$D$169)^2)),0)</f>
        <v>0.491047825687083</v>
      </c>
    </row>
    <row r="765" customFormat="false" ht="15" hidden="false" customHeight="false" outlineLevel="0" collapsed="false">
      <c r="A765" s="0" t="s">
        <v>167</v>
      </c>
      <c r="B765" s="0" t="s">
        <v>275</v>
      </c>
      <c r="C765" s="17" t="n">
        <f aca="false">IF(SQRT((Coordenadas!$C$120-Coordenadas!$C$170)^2+(Coordenadas!$D$120-Coordenadas!$D$170)^2)&lt;=LEEME!$B$20,EXP(-LEEME!$B$19*SQRT((Coordenadas!$C$120-Coordenadas!$C$170)^2+(Coordenadas!$D$120-Coordenadas!$D$170)^2)),0)</f>
        <v>0.554080803805154</v>
      </c>
    </row>
    <row r="766" customFormat="false" ht="15" hidden="false" customHeight="false" outlineLevel="0" collapsed="false">
      <c r="A766" s="0" t="s">
        <v>167</v>
      </c>
      <c r="B766" s="0" t="s">
        <v>276</v>
      </c>
      <c r="C766" s="17" t="n">
        <f aca="false">IF(SQRT((Coordenadas!$C$120-Coordenadas!$C$171)^2+(Coordenadas!$D$120-Coordenadas!$D$171)^2)&lt;=LEEME!$B$20,EXP(-LEEME!$B$19*SQRT((Coordenadas!$C$120-Coordenadas!$C$171)^2+(Coordenadas!$D$120-Coordenadas!$D$171)^2)),0)</f>
        <v>0.534620114741242</v>
      </c>
    </row>
    <row r="767" customFormat="false" ht="15" hidden="false" customHeight="false" outlineLevel="0" collapsed="false">
      <c r="A767" s="0" t="s">
        <v>167</v>
      </c>
      <c r="B767" s="0" t="s">
        <v>277</v>
      </c>
      <c r="C767" s="17" t="n">
        <f aca="false">IF(SQRT((Coordenadas!$C$120-Coordenadas!$C$172)^2+(Coordenadas!$D$120-Coordenadas!$D$172)^2)&lt;=LEEME!$B$20,EXP(-LEEME!$B$19*SQRT((Coordenadas!$C$120-Coordenadas!$C$172)^2+(Coordenadas!$D$120-Coordenadas!$D$172)^2)),0)</f>
        <v>0.520445723131446</v>
      </c>
    </row>
    <row r="768" customFormat="false" ht="15" hidden="false" customHeight="false" outlineLevel="0" collapsed="false">
      <c r="A768" s="0" t="s">
        <v>167</v>
      </c>
      <c r="B768" s="0" t="s">
        <v>278</v>
      </c>
      <c r="C768" s="17" t="n">
        <f aca="false">IF(SQRT((Coordenadas!$C$120-Coordenadas!$C$173)^2+(Coordenadas!$D$120-Coordenadas!$D$173)^2)&lt;=LEEME!$B$20,EXP(-LEEME!$B$19*SQRT((Coordenadas!$C$120-Coordenadas!$C$173)^2+(Coordenadas!$D$120-Coordenadas!$D$173)^2)),0)</f>
        <v>0.603505575427041</v>
      </c>
    </row>
    <row r="769" customFormat="false" ht="15" hidden="false" customHeight="false" outlineLevel="0" collapsed="false">
      <c r="A769" s="0" t="s">
        <v>167</v>
      </c>
      <c r="B769" s="0" t="s">
        <v>280</v>
      </c>
      <c r="C769" s="17" t="n">
        <f aca="false">IF(SQRT((Coordenadas!$C$120-Coordenadas!$C$175)^2+(Coordenadas!$D$120-Coordenadas!$D$175)^2)&lt;=LEEME!$B$20,EXP(-LEEME!$B$19*SQRT((Coordenadas!$C$120-Coordenadas!$C$175)^2+(Coordenadas!$D$120-Coordenadas!$D$175)^2)),0)</f>
        <v>0.698720945955739</v>
      </c>
    </row>
    <row r="770" customFormat="false" ht="15" hidden="false" customHeight="false" outlineLevel="0" collapsed="false">
      <c r="A770" s="0" t="s">
        <v>167</v>
      </c>
      <c r="B770" s="0" t="s">
        <v>285</v>
      </c>
      <c r="C770" s="17" t="n">
        <f aca="false">IF(SQRT((Coordenadas!$C$120-Coordenadas!$C$180)^2+(Coordenadas!$D$120-Coordenadas!$D$180)^2)&lt;=LEEME!$B$20,EXP(-LEEME!$B$19*SQRT((Coordenadas!$C$120-Coordenadas!$C$180)^2+(Coordenadas!$D$120-Coordenadas!$D$180)^2)),0)</f>
        <v>0.542008015305853</v>
      </c>
    </row>
    <row r="771" customFormat="false" ht="15" hidden="false" customHeight="false" outlineLevel="0" collapsed="false">
      <c r="A771" s="0" t="s">
        <v>167</v>
      </c>
      <c r="B771" s="0" t="s">
        <v>290</v>
      </c>
      <c r="C771" s="17" t="n">
        <f aca="false">IF(SQRT((Coordenadas!$C$120-Coordenadas!$C$185)^2+(Coordenadas!$D$120-Coordenadas!$D$185)^2)&lt;=LEEME!$B$20,EXP(-LEEME!$B$19*SQRT((Coordenadas!$C$120-Coordenadas!$C$185)^2+(Coordenadas!$D$120-Coordenadas!$D$185)^2)),0)</f>
        <v>0.468059094472123</v>
      </c>
    </row>
    <row r="772" customFormat="false" ht="15" hidden="false" customHeight="false" outlineLevel="0" collapsed="false">
      <c r="A772" s="0" t="s">
        <v>167</v>
      </c>
      <c r="B772" s="0" t="s">
        <v>291</v>
      </c>
      <c r="C772" s="17" t="n">
        <f aca="false">IF(SQRT((Coordenadas!$C$120-Coordenadas!$C$186)^2+(Coordenadas!$D$120-Coordenadas!$D$186)^2)&lt;=LEEME!$B$20,EXP(-LEEME!$B$19*SQRT((Coordenadas!$C$120-Coordenadas!$C$186)^2+(Coordenadas!$D$120-Coordenadas!$D$186)^2)),0)</f>
        <v>0.425606772694539</v>
      </c>
    </row>
    <row r="773" customFormat="false" ht="15" hidden="false" customHeight="false" outlineLevel="0" collapsed="false">
      <c r="A773" s="0" t="s">
        <v>168</v>
      </c>
      <c r="B773" s="0" t="s">
        <v>274</v>
      </c>
      <c r="C773" s="17" t="n">
        <f aca="false">IF(SQRT((Coordenadas!$C$121-Coordenadas!$C$169)^2+(Coordenadas!$D$121-Coordenadas!$D$169)^2)&lt;=LEEME!$B$20,EXP(-LEEME!$B$19*SQRT((Coordenadas!$C$121-Coordenadas!$C$169)^2+(Coordenadas!$D$121-Coordenadas!$D$169)^2)),0)</f>
        <v>0.391267841776854</v>
      </c>
    </row>
    <row r="774" customFormat="false" ht="15" hidden="false" customHeight="false" outlineLevel="0" collapsed="false">
      <c r="A774" s="0" t="s">
        <v>168</v>
      </c>
      <c r="B774" s="0" t="s">
        <v>275</v>
      </c>
      <c r="C774" s="17" t="n">
        <f aca="false">IF(SQRT((Coordenadas!$C$121-Coordenadas!$C$170)^2+(Coordenadas!$D$121-Coordenadas!$D$170)^2)&lt;=LEEME!$B$20,EXP(-LEEME!$B$19*SQRT((Coordenadas!$C$121-Coordenadas!$C$170)^2+(Coordenadas!$D$121-Coordenadas!$D$170)^2)),0)</f>
        <v>0.413602257773294</v>
      </c>
    </row>
    <row r="775" customFormat="false" ht="15" hidden="false" customHeight="false" outlineLevel="0" collapsed="false">
      <c r="A775" s="0" t="s">
        <v>168</v>
      </c>
      <c r="B775" s="0" t="s">
        <v>276</v>
      </c>
      <c r="C775" s="17" t="n">
        <f aca="false">IF(SQRT((Coordenadas!$C$121-Coordenadas!$C$171)^2+(Coordenadas!$D$121-Coordenadas!$D$171)^2)&lt;=LEEME!$B$20,EXP(-LEEME!$B$19*SQRT((Coordenadas!$C$121-Coordenadas!$C$171)^2+(Coordenadas!$D$121-Coordenadas!$D$171)^2)),0)</f>
        <v>0.43234755377636</v>
      </c>
    </row>
    <row r="776" customFormat="false" ht="15" hidden="false" customHeight="false" outlineLevel="0" collapsed="false">
      <c r="A776" s="0" t="s">
        <v>168</v>
      </c>
      <c r="B776" s="0" t="s">
        <v>277</v>
      </c>
      <c r="C776" s="17" t="n">
        <f aca="false">IF(SQRT((Coordenadas!$C$121-Coordenadas!$C$172)^2+(Coordenadas!$D$121-Coordenadas!$D$172)^2)&lt;=LEEME!$B$20,EXP(-LEEME!$B$19*SQRT((Coordenadas!$C$121-Coordenadas!$C$172)^2+(Coordenadas!$D$121-Coordenadas!$D$172)^2)),0)</f>
        <v>0.400916465763164</v>
      </c>
    </row>
    <row r="777" customFormat="false" ht="15" hidden="false" customHeight="false" outlineLevel="0" collapsed="false">
      <c r="A777" s="0" t="s">
        <v>168</v>
      </c>
      <c r="B777" s="0" t="s">
        <v>278</v>
      </c>
      <c r="C777" s="17" t="n">
        <f aca="false">IF(SQRT((Coordenadas!$C$121-Coordenadas!$C$173)^2+(Coordenadas!$D$121-Coordenadas!$D$173)^2)&lt;=LEEME!$B$20,EXP(-LEEME!$B$19*SQRT((Coordenadas!$C$121-Coordenadas!$C$173)^2+(Coordenadas!$D$121-Coordenadas!$D$173)^2)),0)</f>
        <v>0.479538081013173</v>
      </c>
    </row>
    <row r="778" customFormat="false" ht="15" hidden="false" customHeight="false" outlineLevel="0" collapsed="false">
      <c r="A778" s="0" t="s">
        <v>168</v>
      </c>
      <c r="B778" s="0" t="s">
        <v>280</v>
      </c>
      <c r="C778" s="17" t="n">
        <f aca="false">IF(SQRT((Coordenadas!$C$121-Coordenadas!$C$175)^2+(Coordenadas!$D$121-Coordenadas!$D$175)^2)&lt;=LEEME!$B$20,EXP(-LEEME!$B$19*SQRT((Coordenadas!$C$121-Coordenadas!$C$175)^2+(Coordenadas!$D$121-Coordenadas!$D$175)^2)),0)</f>
        <v>0.554644623400049</v>
      </c>
    </row>
    <row r="779" customFormat="false" ht="15" hidden="false" customHeight="false" outlineLevel="0" collapsed="false">
      <c r="A779" s="0" t="s">
        <v>168</v>
      </c>
      <c r="B779" s="0" t="s">
        <v>285</v>
      </c>
      <c r="C779" s="17" t="n">
        <f aca="false">IF(SQRT((Coordenadas!$C$121-Coordenadas!$C$180)^2+(Coordenadas!$D$121-Coordenadas!$D$180)^2)&lt;=LEEME!$B$20,EXP(-LEEME!$B$19*SQRT((Coordenadas!$C$121-Coordenadas!$C$180)^2+(Coordenadas!$D$121-Coordenadas!$D$180)^2)),0)</f>
        <v>0.708425750815524</v>
      </c>
    </row>
    <row r="780" customFormat="false" ht="15" hidden="false" customHeight="false" outlineLevel="0" collapsed="false">
      <c r="A780" s="0" t="s">
        <v>168</v>
      </c>
      <c r="B780" s="0" t="s">
        <v>290</v>
      </c>
      <c r="C780" s="17" t="n">
        <f aca="false">IF(SQRT((Coordenadas!$C$121-Coordenadas!$C$185)^2+(Coordenadas!$D$121-Coordenadas!$D$185)^2)&lt;=LEEME!$B$20,EXP(-LEEME!$B$19*SQRT((Coordenadas!$C$121-Coordenadas!$C$185)^2+(Coordenadas!$D$121-Coordenadas!$D$185)^2)),0)</f>
        <v>0.626453677166843</v>
      </c>
    </row>
    <row r="781" customFormat="false" ht="15" hidden="false" customHeight="false" outlineLevel="0" collapsed="false">
      <c r="A781" s="0" t="s">
        <v>168</v>
      </c>
      <c r="B781" s="0" t="s">
        <v>291</v>
      </c>
      <c r="C781" s="17" t="n">
        <f aca="false">IF(SQRT((Coordenadas!$C$121-Coordenadas!$C$186)^2+(Coordenadas!$D$121-Coordenadas!$D$186)^2)&lt;=LEEME!$B$20,EXP(-LEEME!$B$19*SQRT((Coordenadas!$C$121-Coordenadas!$C$186)^2+(Coordenadas!$D$121-Coordenadas!$D$186)^2)),0)</f>
        <v>0.49778594670427</v>
      </c>
    </row>
    <row r="782" customFormat="false" ht="15" hidden="false" customHeight="false" outlineLevel="0" collapsed="false">
      <c r="A782" s="0" t="s">
        <v>168</v>
      </c>
      <c r="B782" s="0" t="s">
        <v>293</v>
      </c>
      <c r="C782" s="17" t="n">
        <f aca="false">IF(SQRT((Coordenadas!$C$121-Coordenadas!$C$188)^2+(Coordenadas!$D$121-Coordenadas!$D$188)^2)&lt;=LEEME!$B$20,EXP(-LEEME!$B$19*SQRT((Coordenadas!$C$121-Coordenadas!$C$188)^2+(Coordenadas!$D$121-Coordenadas!$D$188)^2)),0)</f>
        <v>0.395489360981064</v>
      </c>
    </row>
    <row r="783" customFormat="false" ht="15" hidden="false" customHeight="false" outlineLevel="0" collapsed="false">
      <c r="A783" s="0" t="s">
        <v>169</v>
      </c>
      <c r="B783" s="0" t="s">
        <v>275</v>
      </c>
      <c r="C783" s="17" t="n">
        <f aca="false">IF(SQRT((Coordenadas!$C$122-Coordenadas!$C$170)^2+(Coordenadas!$D$122-Coordenadas!$D$170)^2)&lt;=LEEME!$B$20,EXP(-LEEME!$B$19*SQRT((Coordenadas!$C$122-Coordenadas!$C$170)^2+(Coordenadas!$D$122-Coordenadas!$D$170)^2)),0)</f>
        <v>0.404324092357118</v>
      </c>
    </row>
    <row r="784" customFormat="false" ht="15" hidden="false" customHeight="false" outlineLevel="0" collapsed="false">
      <c r="A784" s="0" t="s">
        <v>169</v>
      </c>
      <c r="B784" s="0" t="s">
        <v>276</v>
      </c>
      <c r="C784" s="17" t="n">
        <f aca="false">IF(SQRT((Coordenadas!$C$122-Coordenadas!$C$171)^2+(Coordenadas!$D$122-Coordenadas!$D$171)^2)&lt;=LEEME!$B$20,EXP(-LEEME!$B$19*SQRT((Coordenadas!$C$122-Coordenadas!$C$171)^2+(Coordenadas!$D$122-Coordenadas!$D$171)^2)),0)</f>
        <v>0.372008825121082</v>
      </c>
    </row>
    <row r="785" customFormat="false" ht="15" hidden="false" customHeight="false" outlineLevel="0" collapsed="false">
      <c r="A785" s="0" t="s">
        <v>169</v>
      </c>
      <c r="B785" s="0" t="s">
        <v>277</v>
      </c>
      <c r="C785" s="17" t="n">
        <f aca="false">IF(SQRT((Coordenadas!$C$122-Coordenadas!$C$172)^2+(Coordenadas!$D$122-Coordenadas!$D$172)^2)&lt;=LEEME!$B$20,EXP(-LEEME!$B$19*SQRT((Coordenadas!$C$122-Coordenadas!$C$172)^2+(Coordenadas!$D$122-Coordenadas!$D$172)^2)),0)</f>
        <v>0.485496997673963</v>
      </c>
    </row>
    <row r="786" customFormat="false" ht="15" hidden="false" customHeight="false" outlineLevel="0" collapsed="false">
      <c r="A786" s="0" t="s">
        <v>169</v>
      </c>
      <c r="B786" s="0" t="s">
        <v>278</v>
      </c>
      <c r="C786" s="17" t="n">
        <f aca="false">IF(SQRT((Coordenadas!$C$122-Coordenadas!$C$173)^2+(Coordenadas!$D$122-Coordenadas!$D$173)^2)&lt;=LEEME!$B$20,EXP(-LEEME!$B$19*SQRT((Coordenadas!$C$122-Coordenadas!$C$173)^2+(Coordenadas!$D$122-Coordenadas!$D$173)^2)),0)</f>
        <v>0.593921194766229</v>
      </c>
    </row>
    <row r="787" customFormat="false" ht="15" hidden="false" customHeight="false" outlineLevel="0" collapsed="false">
      <c r="A787" s="0" t="s">
        <v>169</v>
      </c>
      <c r="B787" s="0" t="s">
        <v>280</v>
      </c>
      <c r="C787" s="17" t="n">
        <f aca="false">IF(SQRT((Coordenadas!$C$122-Coordenadas!$C$175)^2+(Coordenadas!$D$122-Coordenadas!$D$175)^2)&lt;=LEEME!$B$20,EXP(-LEEME!$B$19*SQRT((Coordenadas!$C$122-Coordenadas!$C$175)^2+(Coordenadas!$D$122-Coordenadas!$D$175)^2)),0)</f>
        <v>0.667120964818478</v>
      </c>
    </row>
    <row r="788" customFormat="false" ht="15" hidden="false" customHeight="false" outlineLevel="0" collapsed="false">
      <c r="A788" s="0" t="s">
        <v>169</v>
      </c>
      <c r="B788" s="0" t="s">
        <v>285</v>
      </c>
      <c r="C788" s="17" t="n">
        <f aca="false">IF(SQRT((Coordenadas!$C$122-Coordenadas!$C$180)^2+(Coordenadas!$D$122-Coordenadas!$D$180)^2)&lt;=LEEME!$B$20,EXP(-LEEME!$B$19*SQRT((Coordenadas!$C$122-Coordenadas!$C$180)^2+(Coordenadas!$D$122-Coordenadas!$D$180)^2)),0)</f>
        <v>0.526203649565507</v>
      </c>
    </row>
    <row r="789" customFormat="false" ht="15" hidden="false" customHeight="false" outlineLevel="0" collapsed="false">
      <c r="A789" s="0" t="s">
        <v>169</v>
      </c>
      <c r="B789" s="0" t="s">
        <v>290</v>
      </c>
      <c r="C789" s="17" t="n">
        <f aca="false">IF(SQRT((Coordenadas!$C$122-Coordenadas!$C$185)^2+(Coordenadas!$D$122-Coordenadas!$D$185)^2)&lt;=LEEME!$B$20,EXP(-LEEME!$B$19*SQRT((Coordenadas!$C$122-Coordenadas!$C$185)^2+(Coordenadas!$D$122-Coordenadas!$D$185)^2)),0)</f>
        <v>0.571362123388959</v>
      </c>
    </row>
    <row r="790" customFormat="false" ht="15" hidden="false" customHeight="false" outlineLevel="0" collapsed="false">
      <c r="A790" s="0" t="s">
        <v>169</v>
      </c>
      <c r="B790" s="0" t="s">
        <v>291</v>
      </c>
      <c r="C790" s="17" t="n">
        <f aca="false">IF(SQRT((Coordenadas!$C$122-Coordenadas!$C$186)^2+(Coordenadas!$D$122-Coordenadas!$D$186)^2)&lt;=LEEME!$B$20,EXP(-LEEME!$B$19*SQRT((Coordenadas!$C$122-Coordenadas!$C$186)^2+(Coordenadas!$D$122-Coordenadas!$D$186)^2)),0)</f>
        <v>0.608572820437023</v>
      </c>
    </row>
    <row r="791" customFormat="false" ht="15" hidden="false" customHeight="false" outlineLevel="0" collapsed="false">
      <c r="A791" s="0" t="s">
        <v>169</v>
      </c>
      <c r="B791" s="0" t="s">
        <v>296</v>
      </c>
      <c r="C791" s="17" t="n">
        <f aca="false">IF(SQRT((Coordenadas!$C$122-Coordenadas!$C$191)^2+(Coordenadas!$D$122-Coordenadas!$D$191)^2)&lt;=LEEME!$B$20,EXP(-LEEME!$B$19*SQRT((Coordenadas!$C$122-Coordenadas!$C$191)^2+(Coordenadas!$D$122-Coordenadas!$D$191)^2)),0)</f>
        <v>0.37399452987503</v>
      </c>
    </row>
    <row r="792" customFormat="false" ht="15" hidden="false" customHeight="false" outlineLevel="0" collapsed="false">
      <c r="A792" s="0" t="s">
        <v>170</v>
      </c>
      <c r="B792" s="0" t="s">
        <v>297</v>
      </c>
      <c r="C792" s="17" t="n">
        <f aca="false">IF(SQRT((Coordenadas!$C$123-Coordenadas!$C$192)^2+(Coordenadas!$D$123-Coordenadas!$D$192)^2)&lt;=LEEME!$B$20,EXP(-LEEME!$B$19*SQRT((Coordenadas!$C$123-Coordenadas!$C$192)^2+(Coordenadas!$D$123-Coordenadas!$D$192)^2)),0)</f>
        <v>0.808477106603893</v>
      </c>
    </row>
    <row r="793" customFormat="false" ht="15" hidden="false" customHeight="false" outlineLevel="0" collapsed="false">
      <c r="A793" s="0" t="s">
        <v>170</v>
      </c>
      <c r="B793" s="0" t="s">
        <v>299</v>
      </c>
      <c r="C793" s="17" t="n">
        <f aca="false">IF(SQRT((Coordenadas!$C$123-Coordenadas!$C$194)^2+(Coordenadas!$D$123-Coordenadas!$D$194)^2)&lt;=LEEME!$B$20,EXP(-LEEME!$B$19*SQRT((Coordenadas!$C$123-Coordenadas!$C$194)^2+(Coordenadas!$D$123-Coordenadas!$D$194)^2)),0)</f>
        <v>0.503282336322843</v>
      </c>
    </row>
    <row r="794" customFormat="false" ht="15" hidden="false" customHeight="false" outlineLevel="0" collapsed="false">
      <c r="A794" s="0" t="s">
        <v>170</v>
      </c>
      <c r="B794" s="0" t="s">
        <v>302</v>
      </c>
      <c r="C794" s="17" t="n">
        <f aca="false">IF(SQRT((Coordenadas!$C$123-Coordenadas!$C$197)^2+(Coordenadas!$D$123-Coordenadas!$D$197)^2)&lt;=LEEME!$B$20,EXP(-LEEME!$B$19*SQRT((Coordenadas!$C$123-Coordenadas!$C$197)^2+(Coordenadas!$D$123-Coordenadas!$D$197)^2)),0)</f>
        <v>0.649283779390699</v>
      </c>
    </row>
    <row r="795" customFormat="false" ht="15" hidden="false" customHeight="false" outlineLevel="0" collapsed="false">
      <c r="A795" s="0" t="s">
        <v>170</v>
      </c>
      <c r="B795" s="0" t="s">
        <v>304</v>
      </c>
      <c r="C795" s="17" t="n">
        <f aca="false">IF(SQRT((Coordenadas!$C$123-Coordenadas!$C$199)^2+(Coordenadas!$D$123-Coordenadas!$D$199)^2)&lt;=LEEME!$B$20,EXP(-LEEME!$B$19*SQRT((Coordenadas!$C$123-Coordenadas!$C$199)^2+(Coordenadas!$D$123-Coordenadas!$D$199)^2)),0)</f>
        <v>0.796096328290004</v>
      </c>
    </row>
    <row r="796" customFormat="false" ht="15" hidden="false" customHeight="false" outlineLevel="0" collapsed="false">
      <c r="A796" s="0" t="s">
        <v>170</v>
      </c>
      <c r="B796" s="0" t="s">
        <v>306</v>
      </c>
      <c r="C796" s="17" t="n">
        <f aca="false">IF(SQRT((Coordenadas!$C$123-Coordenadas!$C$201)^2+(Coordenadas!$D$123-Coordenadas!$D$201)^2)&lt;=LEEME!$B$20,EXP(-LEEME!$B$19*SQRT((Coordenadas!$C$123-Coordenadas!$C$201)^2+(Coordenadas!$D$123-Coordenadas!$D$201)^2)),0)</f>
        <v>0.516059963387967</v>
      </c>
    </row>
    <row r="797" customFormat="false" ht="15" hidden="false" customHeight="false" outlineLevel="0" collapsed="false">
      <c r="A797" s="0" t="s">
        <v>170</v>
      </c>
      <c r="B797" s="0" t="s">
        <v>307</v>
      </c>
      <c r="C797" s="17" t="n">
        <f aca="false">IF(SQRT((Coordenadas!$C$123-Coordenadas!$C$202)^2+(Coordenadas!$D$123-Coordenadas!$D$202)^2)&lt;=LEEME!$B$20,EXP(-LEEME!$B$19*SQRT((Coordenadas!$C$123-Coordenadas!$C$202)^2+(Coordenadas!$D$123-Coordenadas!$D$202)^2)),0)</f>
        <v>0.482388162413836</v>
      </c>
    </row>
    <row r="798" customFormat="false" ht="15" hidden="false" customHeight="false" outlineLevel="0" collapsed="false">
      <c r="A798" s="0" t="s">
        <v>170</v>
      </c>
      <c r="B798" s="0" t="s">
        <v>308</v>
      </c>
      <c r="C798" s="17" t="n">
        <f aca="false">IF(SQRT((Coordenadas!$C$123-Coordenadas!$C$203)^2+(Coordenadas!$D$123-Coordenadas!$D$203)^2)&lt;=LEEME!$B$20,EXP(-LEEME!$B$19*SQRT((Coordenadas!$C$123-Coordenadas!$C$203)^2+(Coordenadas!$D$123-Coordenadas!$D$203)^2)),0)</f>
        <v>0.57424041439958</v>
      </c>
    </row>
    <row r="799" customFormat="false" ht="15" hidden="false" customHeight="false" outlineLevel="0" collapsed="false">
      <c r="A799" s="0" t="s">
        <v>171</v>
      </c>
      <c r="B799" s="0" t="s">
        <v>297</v>
      </c>
      <c r="C799" s="17" t="n">
        <f aca="false">IF(SQRT((Coordenadas!$C$124-Coordenadas!$C$192)^2+(Coordenadas!$D$124-Coordenadas!$D$192)^2)&lt;=LEEME!$B$20,EXP(-LEEME!$B$19*SQRT((Coordenadas!$C$124-Coordenadas!$C$192)^2+(Coordenadas!$D$124-Coordenadas!$D$192)^2)),0)</f>
        <v>0.714061431105316</v>
      </c>
    </row>
    <row r="800" customFormat="false" ht="15" hidden="false" customHeight="false" outlineLevel="0" collapsed="false">
      <c r="A800" s="0" t="s">
        <v>171</v>
      </c>
      <c r="B800" s="0" t="s">
        <v>299</v>
      </c>
      <c r="C800" s="17" t="n">
        <f aca="false">IF(SQRT((Coordenadas!$C$124-Coordenadas!$C$194)^2+(Coordenadas!$D$124-Coordenadas!$D$194)^2)&lt;=LEEME!$B$20,EXP(-LEEME!$B$19*SQRT((Coordenadas!$C$124-Coordenadas!$C$194)^2+(Coordenadas!$D$124-Coordenadas!$D$194)^2)),0)</f>
        <v>0.422768838667969</v>
      </c>
    </row>
    <row r="801" customFormat="false" ht="15" hidden="false" customHeight="false" outlineLevel="0" collapsed="false">
      <c r="A801" s="0" t="s">
        <v>171</v>
      </c>
      <c r="B801" s="0" t="s">
        <v>302</v>
      </c>
      <c r="C801" s="17" t="n">
        <f aca="false">IF(SQRT((Coordenadas!$C$124-Coordenadas!$C$197)^2+(Coordenadas!$D$124-Coordenadas!$D$197)^2)&lt;=LEEME!$B$20,EXP(-LEEME!$B$19*SQRT((Coordenadas!$C$124-Coordenadas!$C$197)^2+(Coordenadas!$D$124-Coordenadas!$D$197)^2)),0)</f>
        <v>0.538009521804928</v>
      </c>
    </row>
    <row r="802" customFormat="false" ht="15" hidden="false" customHeight="false" outlineLevel="0" collapsed="false">
      <c r="A802" s="0" t="s">
        <v>171</v>
      </c>
      <c r="B802" s="0" t="s">
        <v>304</v>
      </c>
      <c r="C802" s="17" t="n">
        <f aca="false">IF(SQRT((Coordenadas!$C$124-Coordenadas!$C$199)^2+(Coordenadas!$D$124-Coordenadas!$D$199)^2)&lt;=LEEME!$B$20,EXP(-LEEME!$B$19*SQRT((Coordenadas!$C$124-Coordenadas!$C$199)^2+(Coordenadas!$D$124-Coordenadas!$D$199)^2)),0)</f>
        <v>0.694196650877979</v>
      </c>
    </row>
    <row r="803" customFormat="false" ht="15" hidden="false" customHeight="false" outlineLevel="0" collapsed="false">
      <c r="A803" s="0" t="s">
        <v>171</v>
      </c>
      <c r="B803" s="0" t="s">
        <v>306</v>
      </c>
      <c r="C803" s="17" t="n">
        <f aca="false">IF(SQRT((Coordenadas!$C$124-Coordenadas!$C$201)^2+(Coordenadas!$D$124-Coordenadas!$D$201)^2)&lt;=LEEME!$B$20,EXP(-LEEME!$B$19*SQRT((Coordenadas!$C$124-Coordenadas!$C$201)^2+(Coordenadas!$D$124-Coordenadas!$D$201)^2)),0)</f>
        <v>0.429958093146281</v>
      </c>
    </row>
    <row r="804" customFormat="false" ht="15" hidden="false" customHeight="false" outlineLevel="0" collapsed="false">
      <c r="A804" s="0" t="s">
        <v>171</v>
      </c>
      <c r="B804" s="0" t="s">
        <v>307</v>
      </c>
      <c r="C804" s="17" t="n">
        <f aca="false">IF(SQRT((Coordenadas!$C$124-Coordenadas!$C$202)^2+(Coordenadas!$D$124-Coordenadas!$D$202)^2)&lt;=LEEME!$B$20,EXP(-LEEME!$B$19*SQRT((Coordenadas!$C$124-Coordenadas!$C$202)^2+(Coordenadas!$D$124-Coordenadas!$D$202)^2)),0)</f>
        <v>0.403138946837256</v>
      </c>
    </row>
    <row r="805" customFormat="false" ht="15" hidden="false" customHeight="false" outlineLevel="0" collapsed="false">
      <c r="A805" s="0" t="s">
        <v>171</v>
      </c>
      <c r="B805" s="0" t="s">
        <v>308</v>
      </c>
      <c r="C805" s="17" t="n">
        <f aca="false">IF(SQRT((Coordenadas!$C$124-Coordenadas!$C$203)^2+(Coordenadas!$D$124-Coordenadas!$D$203)^2)&lt;=LEEME!$B$20,EXP(-LEEME!$B$19*SQRT((Coordenadas!$C$124-Coordenadas!$C$203)^2+(Coordenadas!$D$124-Coordenadas!$D$203)^2)),0)</f>
        <v>0.491220507806353</v>
      </c>
    </row>
    <row r="806" customFormat="false" ht="15" hidden="false" customHeight="false" outlineLevel="0" collapsed="false">
      <c r="A806" s="0" t="s">
        <v>172</v>
      </c>
      <c r="B806" s="0" t="s">
        <v>297</v>
      </c>
      <c r="C806" s="17" t="n">
        <f aca="false">IF(SQRT((Coordenadas!$C$125-Coordenadas!$C$192)^2+(Coordenadas!$D$125-Coordenadas!$D$192)^2)&lt;=LEEME!$B$20,EXP(-LEEME!$B$19*SQRT((Coordenadas!$C$125-Coordenadas!$C$192)^2+(Coordenadas!$D$125-Coordenadas!$D$192)^2)),0)</f>
        <v>0.620060465601715</v>
      </c>
    </row>
    <row r="807" customFormat="false" ht="15" hidden="false" customHeight="false" outlineLevel="0" collapsed="false">
      <c r="A807" s="0" t="s">
        <v>172</v>
      </c>
      <c r="B807" s="0" t="s">
        <v>299</v>
      </c>
      <c r="C807" s="17" t="n">
        <f aca="false">IF(SQRT((Coordenadas!$C$125-Coordenadas!$C$194)^2+(Coordenadas!$D$125-Coordenadas!$D$194)^2)&lt;=LEEME!$B$20,EXP(-LEEME!$B$19*SQRT((Coordenadas!$C$125-Coordenadas!$C$194)^2+(Coordenadas!$D$125-Coordenadas!$D$194)^2)),0)</f>
        <v>0.394309922255913</v>
      </c>
    </row>
    <row r="808" customFormat="false" ht="15" hidden="false" customHeight="false" outlineLevel="0" collapsed="false">
      <c r="A808" s="0" t="s">
        <v>172</v>
      </c>
      <c r="B808" s="0" t="s">
        <v>302</v>
      </c>
      <c r="C808" s="17" t="n">
        <f aca="false">IF(SQRT((Coordenadas!$C$125-Coordenadas!$C$197)^2+(Coordenadas!$D$125-Coordenadas!$D$197)^2)&lt;=LEEME!$B$20,EXP(-LEEME!$B$19*SQRT((Coordenadas!$C$125-Coordenadas!$C$197)^2+(Coordenadas!$D$125-Coordenadas!$D$197)^2)),0)</f>
        <v>0.537901059548847</v>
      </c>
    </row>
    <row r="809" customFormat="false" ht="15" hidden="false" customHeight="false" outlineLevel="0" collapsed="false">
      <c r="A809" s="0" t="s">
        <v>172</v>
      </c>
      <c r="B809" s="0" t="s">
        <v>304</v>
      </c>
      <c r="C809" s="17" t="n">
        <f aca="false">IF(SQRT((Coordenadas!$C$125-Coordenadas!$C$199)^2+(Coordenadas!$D$125-Coordenadas!$D$199)^2)&lt;=LEEME!$B$20,EXP(-LEEME!$B$19*SQRT((Coordenadas!$C$125-Coordenadas!$C$199)^2+(Coordenadas!$D$125-Coordenadas!$D$199)^2)),0)</f>
        <v>0.754674039363153</v>
      </c>
    </row>
    <row r="810" customFormat="false" ht="15" hidden="false" customHeight="false" outlineLevel="0" collapsed="false">
      <c r="A810" s="0" t="s">
        <v>172</v>
      </c>
      <c r="B810" s="0" t="s">
        <v>306</v>
      </c>
      <c r="C810" s="17" t="n">
        <f aca="false">IF(SQRT((Coordenadas!$C$125-Coordenadas!$C$201)^2+(Coordenadas!$D$125-Coordenadas!$D$201)^2)&lt;=LEEME!$B$20,EXP(-LEEME!$B$19*SQRT((Coordenadas!$C$125-Coordenadas!$C$201)^2+(Coordenadas!$D$125-Coordenadas!$D$201)^2)),0)</f>
        <v>0.451332877509497</v>
      </c>
    </row>
    <row r="811" customFormat="false" ht="15" hidden="false" customHeight="false" outlineLevel="0" collapsed="false">
      <c r="A811" s="0" t="s">
        <v>172</v>
      </c>
      <c r="B811" s="0" t="s">
        <v>307</v>
      </c>
      <c r="C811" s="17" t="n">
        <f aca="false">IF(SQRT((Coordenadas!$C$125-Coordenadas!$C$202)^2+(Coordenadas!$D$125-Coordenadas!$D$202)^2)&lt;=LEEME!$B$20,EXP(-LEEME!$B$19*SQRT((Coordenadas!$C$125-Coordenadas!$C$202)^2+(Coordenadas!$D$125-Coordenadas!$D$202)^2)),0)</f>
        <v>0.429151096494017</v>
      </c>
    </row>
    <row r="812" customFormat="false" ht="15" hidden="false" customHeight="false" outlineLevel="0" collapsed="false">
      <c r="A812" s="0" t="s">
        <v>172</v>
      </c>
      <c r="B812" s="0" t="s">
        <v>308</v>
      </c>
      <c r="C812" s="17" t="n">
        <f aca="false">IF(SQRT((Coordenadas!$C$125-Coordenadas!$C$203)^2+(Coordenadas!$D$125-Coordenadas!$D$203)^2)&lt;=LEEME!$B$20,EXP(-LEEME!$B$19*SQRT((Coordenadas!$C$125-Coordenadas!$C$203)^2+(Coordenadas!$D$125-Coordenadas!$D$203)^2)),0)</f>
        <v>0.546255026315158</v>
      </c>
    </row>
    <row r="813" customFormat="false" ht="15" hidden="false" customHeight="false" outlineLevel="0" collapsed="false">
      <c r="A813" s="0" t="s">
        <v>173</v>
      </c>
      <c r="B813" s="0" t="s">
        <v>297</v>
      </c>
      <c r="C813" s="17" t="n">
        <f aca="false">IF(SQRT((Coordenadas!$C$126-Coordenadas!$C$192)^2+(Coordenadas!$D$126-Coordenadas!$D$192)^2)&lt;=LEEME!$B$20,EXP(-LEEME!$B$19*SQRT((Coordenadas!$C$126-Coordenadas!$C$192)^2+(Coordenadas!$D$126-Coordenadas!$D$192)^2)),0)</f>
        <v>0.536248672902551</v>
      </c>
    </row>
    <row r="814" customFormat="false" ht="15" hidden="false" customHeight="false" outlineLevel="0" collapsed="false">
      <c r="A814" s="0" t="s">
        <v>173</v>
      </c>
      <c r="B814" s="0" t="s">
        <v>302</v>
      </c>
      <c r="C814" s="17" t="n">
        <f aca="false">IF(SQRT((Coordenadas!$C$126-Coordenadas!$C$197)^2+(Coordenadas!$D$126-Coordenadas!$D$197)^2)&lt;=LEEME!$B$20,EXP(-LEEME!$B$19*SQRT((Coordenadas!$C$126-Coordenadas!$C$197)^2+(Coordenadas!$D$126-Coordenadas!$D$197)^2)),0)</f>
        <v>0.509430038818123</v>
      </c>
    </row>
    <row r="815" customFormat="false" ht="15" hidden="false" customHeight="false" outlineLevel="0" collapsed="false">
      <c r="A815" s="0" t="s">
        <v>173</v>
      </c>
      <c r="B815" s="0" t="s">
        <v>304</v>
      </c>
      <c r="C815" s="17" t="n">
        <f aca="false">IF(SQRT((Coordenadas!$C$126-Coordenadas!$C$199)^2+(Coordenadas!$D$126-Coordenadas!$D$199)^2)&lt;=LEEME!$B$20,EXP(-LEEME!$B$19*SQRT((Coordenadas!$C$126-Coordenadas!$C$199)^2+(Coordenadas!$D$126-Coordenadas!$D$199)^2)),0)</f>
        <v>0.723084017543436</v>
      </c>
    </row>
    <row r="816" customFormat="false" ht="15" hidden="false" customHeight="false" outlineLevel="0" collapsed="false">
      <c r="A816" s="0" t="s">
        <v>173</v>
      </c>
      <c r="B816" s="0" t="s">
        <v>306</v>
      </c>
      <c r="C816" s="17" t="n">
        <f aca="false">IF(SQRT((Coordenadas!$C$126-Coordenadas!$C$201)^2+(Coordenadas!$D$126-Coordenadas!$D$201)^2)&lt;=LEEME!$B$20,EXP(-LEEME!$B$19*SQRT((Coordenadas!$C$126-Coordenadas!$C$201)^2+(Coordenadas!$D$126-Coordenadas!$D$201)^2)),0)</f>
        <v>0.449076376391037</v>
      </c>
    </row>
    <row r="817" customFormat="false" ht="15" hidden="false" customHeight="false" outlineLevel="0" collapsed="false">
      <c r="A817" s="0" t="s">
        <v>173</v>
      </c>
      <c r="B817" s="0" t="s">
        <v>307</v>
      </c>
      <c r="C817" s="17" t="n">
        <f aca="false">IF(SQRT((Coordenadas!$C$126-Coordenadas!$C$202)^2+(Coordenadas!$D$126-Coordenadas!$D$202)^2)&lt;=LEEME!$B$20,EXP(-LEEME!$B$19*SQRT((Coordenadas!$C$126-Coordenadas!$C$202)^2+(Coordenadas!$D$126-Coordenadas!$D$202)^2)),0)</f>
        <v>0.433174251181694</v>
      </c>
    </row>
    <row r="818" customFormat="false" ht="15" hidden="false" customHeight="false" outlineLevel="0" collapsed="false">
      <c r="A818" s="0" t="s">
        <v>173</v>
      </c>
      <c r="B818" s="0" t="s">
        <v>308</v>
      </c>
      <c r="C818" s="17" t="n">
        <f aca="false">IF(SQRT((Coordenadas!$C$126-Coordenadas!$C$203)^2+(Coordenadas!$D$126-Coordenadas!$D$203)^2)&lt;=LEEME!$B$20,EXP(-LEEME!$B$19*SQRT((Coordenadas!$C$126-Coordenadas!$C$203)^2+(Coordenadas!$D$126-Coordenadas!$D$203)^2)),0)</f>
        <v>0.565513037200423</v>
      </c>
    </row>
    <row r="819" customFormat="false" ht="15" hidden="false" customHeight="false" outlineLevel="0" collapsed="false">
      <c r="A819" s="0" t="s">
        <v>174</v>
      </c>
      <c r="B819" s="0" t="s">
        <v>297</v>
      </c>
      <c r="C819" s="17" t="n">
        <f aca="false">IF(SQRT((Coordenadas!$C$127-Coordenadas!$C$192)^2+(Coordenadas!$D$127-Coordenadas!$D$192)^2)&lt;=LEEME!$B$20,EXP(-LEEME!$B$19*SQRT((Coordenadas!$C$127-Coordenadas!$C$192)^2+(Coordenadas!$D$127-Coordenadas!$D$192)^2)),0)</f>
        <v>0.444988545749881</v>
      </c>
    </row>
    <row r="820" customFormat="false" ht="15" hidden="false" customHeight="false" outlineLevel="0" collapsed="false">
      <c r="A820" s="0" t="s">
        <v>174</v>
      </c>
      <c r="B820" s="0" t="s">
        <v>302</v>
      </c>
      <c r="C820" s="17" t="n">
        <f aca="false">IF(SQRT((Coordenadas!$C$127-Coordenadas!$C$197)^2+(Coordenadas!$D$127-Coordenadas!$D$197)^2)&lt;=LEEME!$B$20,EXP(-LEEME!$B$19*SQRT((Coordenadas!$C$127-Coordenadas!$C$197)^2+(Coordenadas!$D$127-Coordenadas!$D$197)^2)),0)</f>
        <v>0.466914026128566</v>
      </c>
    </row>
    <row r="821" customFormat="false" ht="15" hidden="false" customHeight="false" outlineLevel="0" collapsed="false">
      <c r="A821" s="0" t="s">
        <v>174</v>
      </c>
      <c r="B821" s="0" t="s">
        <v>304</v>
      </c>
      <c r="C821" s="17" t="n">
        <f aca="false">IF(SQRT((Coordenadas!$C$127-Coordenadas!$C$199)^2+(Coordenadas!$D$127-Coordenadas!$D$199)^2)&lt;=LEEME!$B$20,EXP(-LEEME!$B$19*SQRT((Coordenadas!$C$127-Coordenadas!$C$199)^2+(Coordenadas!$D$127-Coordenadas!$D$199)^2)),0)</f>
        <v>0.637823078426184</v>
      </c>
    </row>
    <row r="822" customFormat="false" ht="15" hidden="false" customHeight="false" outlineLevel="0" collapsed="false">
      <c r="A822" s="0" t="s">
        <v>174</v>
      </c>
      <c r="B822" s="0" t="s">
        <v>306</v>
      </c>
      <c r="C822" s="17" t="n">
        <f aca="false">IF(SQRT((Coordenadas!$C$127-Coordenadas!$C$201)^2+(Coordenadas!$D$127-Coordenadas!$D$201)^2)&lt;=LEEME!$B$20,EXP(-LEEME!$B$19*SQRT((Coordenadas!$C$127-Coordenadas!$C$201)^2+(Coordenadas!$D$127-Coordenadas!$D$201)^2)),0)</f>
        <v>0.441063766399237</v>
      </c>
    </row>
    <row r="823" customFormat="false" ht="15" hidden="false" customHeight="false" outlineLevel="0" collapsed="false">
      <c r="A823" s="0" t="s">
        <v>174</v>
      </c>
      <c r="B823" s="0" t="s">
        <v>307</v>
      </c>
      <c r="C823" s="17" t="n">
        <f aca="false">IF(SQRT((Coordenadas!$C$127-Coordenadas!$C$202)^2+(Coordenadas!$D$127-Coordenadas!$D$202)^2)&lt;=LEEME!$B$20,EXP(-LEEME!$B$19*SQRT((Coordenadas!$C$127-Coordenadas!$C$202)^2+(Coordenadas!$D$127-Coordenadas!$D$202)^2)),0)</f>
        <v>0.434446881442858</v>
      </c>
    </row>
    <row r="824" customFormat="false" ht="15" hidden="false" customHeight="false" outlineLevel="0" collapsed="false">
      <c r="A824" s="0" t="s">
        <v>174</v>
      </c>
      <c r="B824" s="0" t="s">
        <v>308</v>
      </c>
      <c r="C824" s="17" t="n">
        <f aca="false">IF(SQRT((Coordenadas!$C$127-Coordenadas!$C$203)^2+(Coordenadas!$D$127-Coordenadas!$D$203)^2)&lt;=LEEME!$B$20,EXP(-LEEME!$B$19*SQRT((Coordenadas!$C$127-Coordenadas!$C$203)^2+(Coordenadas!$D$127-Coordenadas!$D$203)^2)),0)</f>
        <v>0.572270071197162</v>
      </c>
    </row>
    <row r="825" customFormat="false" ht="15" hidden="false" customHeight="false" outlineLevel="0" collapsed="false">
      <c r="A825" s="0" t="s">
        <v>175</v>
      </c>
      <c r="B825" s="0" t="s">
        <v>302</v>
      </c>
      <c r="C825" s="17" t="n">
        <f aca="false">IF(SQRT((Coordenadas!$C$128-Coordenadas!$C$197)^2+(Coordenadas!$D$128-Coordenadas!$D$197)^2)&lt;=LEEME!$B$20,EXP(-LEEME!$B$19*SQRT((Coordenadas!$C$128-Coordenadas!$C$197)^2+(Coordenadas!$D$128-Coordenadas!$D$197)^2)),0)</f>
        <v>0.400949366470627</v>
      </c>
    </row>
    <row r="826" customFormat="false" ht="15" hidden="false" customHeight="false" outlineLevel="0" collapsed="false">
      <c r="A826" s="0" t="s">
        <v>175</v>
      </c>
      <c r="B826" s="0" t="s">
        <v>304</v>
      </c>
      <c r="C826" s="17" t="n">
        <f aca="false">IF(SQRT((Coordenadas!$C$128-Coordenadas!$C$199)^2+(Coordenadas!$D$128-Coordenadas!$D$199)^2)&lt;=LEEME!$B$20,EXP(-LEEME!$B$19*SQRT((Coordenadas!$C$128-Coordenadas!$C$199)^2+(Coordenadas!$D$128-Coordenadas!$D$199)^2)),0)</f>
        <v>0.493723462683668</v>
      </c>
    </row>
    <row r="827" customFormat="false" ht="15" hidden="false" customHeight="false" outlineLevel="0" collapsed="false">
      <c r="A827" s="0" t="s">
        <v>175</v>
      </c>
      <c r="B827" s="0" t="s">
        <v>306</v>
      </c>
      <c r="C827" s="17" t="n">
        <f aca="false">IF(SQRT((Coordenadas!$C$128-Coordenadas!$C$201)^2+(Coordenadas!$D$128-Coordenadas!$D$201)^2)&lt;=LEEME!$B$20,EXP(-LEEME!$B$19*SQRT((Coordenadas!$C$128-Coordenadas!$C$201)^2+(Coordenadas!$D$128-Coordenadas!$D$201)^2)),0)</f>
        <v>0.423248209834399</v>
      </c>
    </row>
    <row r="828" customFormat="false" ht="15" hidden="false" customHeight="false" outlineLevel="0" collapsed="false">
      <c r="A828" s="0" t="s">
        <v>175</v>
      </c>
      <c r="B828" s="0" t="s">
        <v>307</v>
      </c>
      <c r="C828" s="17" t="n">
        <f aca="false">IF(SQRT((Coordenadas!$C$128-Coordenadas!$C$202)^2+(Coordenadas!$D$128-Coordenadas!$D$202)^2)&lt;=LEEME!$B$20,EXP(-LEEME!$B$19*SQRT((Coordenadas!$C$128-Coordenadas!$C$202)^2+(Coordenadas!$D$128-Coordenadas!$D$202)^2)),0)</f>
        <v>0.432141419745483</v>
      </c>
    </row>
    <row r="829" customFormat="false" ht="15" hidden="false" customHeight="false" outlineLevel="0" collapsed="false">
      <c r="A829" s="0" t="s">
        <v>175</v>
      </c>
      <c r="B829" s="0" t="s">
        <v>308</v>
      </c>
      <c r="C829" s="17" t="n">
        <f aca="false">IF(SQRT((Coordenadas!$C$128-Coordenadas!$C$203)^2+(Coordenadas!$D$128-Coordenadas!$D$203)^2)&lt;=LEEME!$B$20,EXP(-LEEME!$B$19*SQRT((Coordenadas!$C$128-Coordenadas!$C$203)^2+(Coordenadas!$D$128-Coordenadas!$D$203)^2)),0)</f>
        <v>0.542317980298453</v>
      </c>
    </row>
    <row r="830" customFormat="false" ht="15" hidden="false" customHeight="false" outlineLevel="0" collapsed="false">
      <c r="A830" s="0" t="s">
        <v>176</v>
      </c>
      <c r="B830" s="0" t="s">
        <v>297</v>
      </c>
      <c r="C830" s="17" t="n">
        <f aca="false">IF(SQRT((Coordenadas!$C$129-Coordenadas!$C$192)^2+(Coordenadas!$D$129-Coordenadas!$D$192)^2)&lt;=LEEME!$B$20,EXP(-LEEME!$B$19*SQRT((Coordenadas!$C$129-Coordenadas!$C$192)^2+(Coordenadas!$D$129-Coordenadas!$D$192)^2)),0)</f>
        <v>0.484491645974538</v>
      </c>
    </row>
    <row r="831" customFormat="false" ht="15" hidden="false" customHeight="false" outlineLevel="0" collapsed="false">
      <c r="A831" s="0" t="s">
        <v>176</v>
      </c>
      <c r="B831" s="0" t="s">
        <v>299</v>
      </c>
      <c r="C831" s="17" t="n">
        <f aca="false">IF(SQRT((Coordenadas!$C$129-Coordenadas!$C$194)^2+(Coordenadas!$D$129-Coordenadas!$D$194)^2)&lt;=LEEME!$B$20,EXP(-LEEME!$B$19*SQRT((Coordenadas!$C$129-Coordenadas!$C$194)^2+(Coordenadas!$D$129-Coordenadas!$D$194)^2)),0)</f>
        <v>0.390285307263576</v>
      </c>
    </row>
    <row r="832" customFormat="false" ht="15" hidden="false" customHeight="false" outlineLevel="0" collapsed="false">
      <c r="A832" s="0" t="s">
        <v>176</v>
      </c>
      <c r="B832" s="0" t="s">
        <v>302</v>
      </c>
      <c r="C832" s="17" t="n">
        <f aca="false">IF(SQRT((Coordenadas!$C$129-Coordenadas!$C$197)^2+(Coordenadas!$D$129-Coordenadas!$D$197)^2)&lt;=LEEME!$B$20,EXP(-LEEME!$B$19*SQRT((Coordenadas!$C$129-Coordenadas!$C$197)^2+(Coordenadas!$D$129-Coordenadas!$D$197)^2)),0)</f>
        <v>0.563944103500138</v>
      </c>
    </row>
    <row r="833" customFormat="false" ht="15" hidden="false" customHeight="false" outlineLevel="0" collapsed="false">
      <c r="A833" s="0" t="s">
        <v>176</v>
      </c>
      <c r="B833" s="0" t="s">
        <v>304</v>
      </c>
      <c r="C833" s="17" t="n">
        <f aca="false">IF(SQRT((Coordenadas!$C$129-Coordenadas!$C$199)^2+(Coordenadas!$D$129-Coordenadas!$D$199)^2)&lt;=LEEME!$B$20,EXP(-LEEME!$B$19*SQRT((Coordenadas!$C$129-Coordenadas!$C$199)^2+(Coordenadas!$D$129-Coordenadas!$D$199)^2)),0)</f>
        <v>0.714379745791925</v>
      </c>
    </row>
    <row r="834" customFormat="false" ht="15" hidden="false" customHeight="false" outlineLevel="0" collapsed="false">
      <c r="A834" s="0" t="s">
        <v>176</v>
      </c>
      <c r="B834" s="0" t="s">
        <v>306</v>
      </c>
      <c r="C834" s="17" t="n">
        <f aca="false">IF(SQRT((Coordenadas!$C$129-Coordenadas!$C$201)^2+(Coordenadas!$D$129-Coordenadas!$D$201)^2)&lt;=LEEME!$B$20,EXP(-LEEME!$B$19*SQRT((Coordenadas!$C$129-Coordenadas!$C$201)^2+(Coordenadas!$D$129-Coordenadas!$D$201)^2)),0)</f>
        <v>0.553577024415857</v>
      </c>
    </row>
    <row r="835" customFormat="false" ht="15" hidden="false" customHeight="false" outlineLevel="0" collapsed="false">
      <c r="A835" s="0" t="s">
        <v>176</v>
      </c>
      <c r="B835" s="0" t="s">
        <v>307</v>
      </c>
      <c r="C835" s="17" t="n">
        <f aca="false">IF(SQRT((Coordenadas!$C$129-Coordenadas!$C$202)^2+(Coordenadas!$D$129-Coordenadas!$D$202)^2)&lt;=LEEME!$B$20,EXP(-LEEME!$B$19*SQRT((Coordenadas!$C$129-Coordenadas!$C$202)^2+(Coordenadas!$D$129-Coordenadas!$D$202)^2)),0)</f>
        <v>0.548206546954908</v>
      </c>
    </row>
    <row r="836" customFormat="false" ht="15" hidden="false" customHeight="false" outlineLevel="0" collapsed="false">
      <c r="A836" s="0" t="s">
        <v>176</v>
      </c>
      <c r="B836" s="0" t="s">
        <v>308</v>
      </c>
      <c r="C836" s="17" t="n">
        <f aca="false">IF(SQRT((Coordenadas!$C$129-Coordenadas!$C$203)^2+(Coordenadas!$D$129-Coordenadas!$D$203)^2)&lt;=LEEME!$B$20,EXP(-LEEME!$B$19*SQRT((Coordenadas!$C$129-Coordenadas!$C$203)^2+(Coordenadas!$D$129-Coordenadas!$D$203)^2)),0)</f>
        <v>0.720647658925725</v>
      </c>
    </row>
    <row r="837" customFormat="false" ht="15" hidden="false" customHeight="false" outlineLevel="0" collapsed="false">
      <c r="A837" s="0" t="s">
        <v>177</v>
      </c>
      <c r="B837" s="0" t="s">
        <v>297</v>
      </c>
      <c r="C837" s="17" t="n">
        <f aca="false">IF(SQRT((Coordenadas!$C$130-Coordenadas!$C$192)^2+(Coordenadas!$D$130-Coordenadas!$D$192)^2)&lt;=LEEME!$B$20,EXP(-LEEME!$B$19*SQRT((Coordenadas!$C$130-Coordenadas!$C$192)^2+(Coordenadas!$D$130-Coordenadas!$D$192)^2)),0)</f>
        <v>0.537424503284924</v>
      </c>
    </row>
    <row r="838" customFormat="false" ht="15" hidden="false" customHeight="false" outlineLevel="0" collapsed="false">
      <c r="A838" s="0" t="s">
        <v>177</v>
      </c>
      <c r="B838" s="0" t="s">
        <v>299</v>
      </c>
      <c r="C838" s="17" t="n">
        <f aca="false">IF(SQRT((Coordenadas!$C$130-Coordenadas!$C$194)^2+(Coordenadas!$D$130-Coordenadas!$D$194)^2)&lt;=LEEME!$B$20,EXP(-LEEME!$B$19*SQRT((Coordenadas!$C$130-Coordenadas!$C$194)^2+(Coordenadas!$D$130-Coordenadas!$D$194)^2)),0)</f>
        <v>0.414353285839547</v>
      </c>
    </row>
    <row r="839" customFormat="false" ht="15" hidden="false" customHeight="false" outlineLevel="0" collapsed="false">
      <c r="A839" s="0" t="s">
        <v>177</v>
      </c>
      <c r="B839" s="0" t="s">
        <v>302</v>
      </c>
      <c r="C839" s="17" t="n">
        <f aca="false">IF(SQRT((Coordenadas!$C$130-Coordenadas!$C$197)^2+(Coordenadas!$D$130-Coordenadas!$D$197)^2)&lt;=LEEME!$B$20,EXP(-LEEME!$B$19*SQRT((Coordenadas!$C$130-Coordenadas!$C$197)^2+(Coordenadas!$D$130-Coordenadas!$D$197)^2)),0)</f>
        <v>0.597790850757051</v>
      </c>
    </row>
    <row r="840" customFormat="false" ht="15" hidden="false" customHeight="false" outlineLevel="0" collapsed="false">
      <c r="A840" s="0" t="s">
        <v>177</v>
      </c>
      <c r="B840" s="0" t="s">
        <v>304</v>
      </c>
      <c r="C840" s="17" t="n">
        <f aca="false">IF(SQRT((Coordenadas!$C$130-Coordenadas!$C$199)^2+(Coordenadas!$D$130-Coordenadas!$D$199)^2)&lt;=LEEME!$B$20,EXP(-LEEME!$B$19*SQRT((Coordenadas!$C$130-Coordenadas!$C$199)^2+(Coordenadas!$D$130-Coordenadas!$D$199)^2)),0)</f>
        <v>0.791287432793945</v>
      </c>
    </row>
    <row r="841" customFormat="false" ht="15" hidden="false" customHeight="false" outlineLevel="0" collapsed="false">
      <c r="A841" s="0" t="s">
        <v>177</v>
      </c>
      <c r="B841" s="0" t="s">
        <v>306</v>
      </c>
      <c r="C841" s="17" t="n">
        <f aca="false">IF(SQRT((Coordenadas!$C$130-Coordenadas!$C$201)^2+(Coordenadas!$D$130-Coordenadas!$D$201)^2)&lt;=LEEME!$B$20,EXP(-LEEME!$B$19*SQRT((Coordenadas!$C$130-Coordenadas!$C$201)^2+(Coordenadas!$D$130-Coordenadas!$D$201)^2)),0)</f>
        <v>0.559596918353993</v>
      </c>
    </row>
    <row r="842" customFormat="false" ht="15" hidden="false" customHeight="false" outlineLevel="0" collapsed="false">
      <c r="A842" s="0" t="s">
        <v>177</v>
      </c>
      <c r="B842" s="0" t="s">
        <v>307</v>
      </c>
      <c r="C842" s="17" t="n">
        <f aca="false">IF(SQRT((Coordenadas!$C$130-Coordenadas!$C$202)^2+(Coordenadas!$D$130-Coordenadas!$D$202)^2)&lt;=LEEME!$B$20,EXP(-LEEME!$B$19*SQRT((Coordenadas!$C$130-Coordenadas!$C$202)^2+(Coordenadas!$D$130-Coordenadas!$D$202)^2)),0)</f>
        <v>0.54606314441943</v>
      </c>
    </row>
    <row r="843" customFormat="false" ht="15" hidden="false" customHeight="false" outlineLevel="0" collapsed="false">
      <c r="A843" s="0" t="s">
        <v>177</v>
      </c>
      <c r="B843" s="0" t="s">
        <v>308</v>
      </c>
      <c r="C843" s="17" t="n">
        <f aca="false">IF(SQRT((Coordenadas!$C$130-Coordenadas!$C$203)^2+(Coordenadas!$D$130-Coordenadas!$D$203)^2)&lt;=LEEME!$B$20,EXP(-LEEME!$B$19*SQRT((Coordenadas!$C$130-Coordenadas!$C$203)^2+(Coordenadas!$D$130-Coordenadas!$D$203)^2)),0)</f>
        <v>0.718488553212676</v>
      </c>
    </row>
    <row r="844" customFormat="false" ht="15" hidden="false" customHeight="false" outlineLevel="0" collapsed="false">
      <c r="A844" s="0" t="s">
        <v>178</v>
      </c>
      <c r="B844" s="0" t="s">
        <v>297</v>
      </c>
      <c r="C844" s="17" t="n">
        <f aca="false">IF(SQRT((Coordenadas!$C$131-Coordenadas!$C$192)^2+(Coordenadas!$D$131-Coordenadas!$D$192)^2)&lt;=LEEME!$B$20,EXP(-LEEME!$B$19*SQRT((Coordenadas!$C$131-Coordenadas!$C$192)^2+(Coordenadas!$D$131-Coordenadas!$D$192)^2)),0)</f>
        <v>0.639103728867938</v>
      </c>
    </row>
    <row r="845" customFormat="false" ht="15" hidden="false" customHeight="false" outlineLevel="0" collapsed="false">
      <c r="A845" s="0" t="s">
        <v>178</v>
      </c>
      <c r="B845" s="0" t="s">
        <v>299</v>
      </c>
      <c r="C845" s="17" t="n">
        <f aca="false">IF(SQRT((Coordenadas!$C$131-Coordenadas!$C$194)^2+(Coordenadas!$D$131-Coordenadas!$D$194)^2)&lt;=LEEME!$B$20,EXP(-LEEME!$B$19*SQRT((Coordenadas!$C$131-Coordenadas!$C$194)^2+(Coordenadas!$D$131-Coordenadas!$D$194)^2)),0)</f>
        <v>0.45821509955433</v>
      </c>
    </row>
    <row r="846" customFormat="false" ht="15" hidden="false" customHeight="false" outlineLevel="0" collapsed="false">
      <c r="A846" s="0" t="s">
        <v>178</v>
      </c>
      <c r="B846" s="0" t="s">
        <v>302</v>
      </c>
      <c r="C846" s="17" t="n">
        <f aca="false">IF(SQRT((Coordenadas!$C$131-Coordenadas!$C$197)^2+(Coordenadas!$D$131-Coordenadas!$D$197)^2)&lt;=LEEME!$B$20,EXP(-LEEME!$B$19*SQRT((Coordenadas!$C$131-Coordenadas!$C$197)^2+(Coordenadas!$D$131-Coordenadas!$D$197)^2)),0)</f>
        <v>0.647804797186041</v>
      </c>
    </row>
    <row r="847" customFormat="false" ht="15" hidden="false" customHeight="false" outlineLevel="0" collapsed="false">
      <c r="A847" s="0" t="s">
        <v>178</v>
      </c>
      <c r="B847" s="0" t="s">
        <v>304</v>
      </c>
      <c r="C847" s="17" t="n">
        <f aca="false">IF(SQRT((Coordenadas!$C$131-Coordenadas!$C$199)^2+(Coordenadas!$D$131-Coordenadas!$D$199)^2)&lt;=LEEME!$B$20,EXP(-LEEME!$B$19*SQRT((Coordenadas!$C$131-Coordenadas!$C$199)^2+(Coordenadas!$D$131-Coordenadas!$D$199)^2)),0)</f>
        <v>0.918512284401457</v>
      </c>
    </row>
    <row r="848" customFormat="false" ht="15" hidden="false" customHeight="false" outlineLevel="0" collapsed="false">
      <c r="A848" s="0" t="s">
        <v>178</v>
      </c>
      <c r="B848" s="0" t="s">
        <v>306</v>
      </c>
      <c r="C848" s="17" t="n">
        <f aca="false">IF(SQRT((Coordenadas!$C$131-Coordenadas!$C$201)^2+(Coordenadas!$D$131-Coordenadas!$D$201)^2)&lt;=LEEME!$B$20,EXP(-LEEME!$B$19*SQRT((Coordenadas!$C$131-Coordenadas!$C$201)^2+(Coordenadas!$D$131-Coordenadas!$D$201)^2)),0)</f>
        <v>0.560623651317197</v>
      </c>
    </row>
    <row r="849" customFormat="false" ht="15" hidden="false" customHeight="false" outlineLevel="0" collapsed="false">
      <c r="A849" s="0" t="s">
        <v>178</v>
      </c>
      <c r="B849" s="0" t="s">
        <v>307</v>
      </c>
      <c r="C849" s="17" t="n">
        <f aca="false">IF(SQRT((Coordenadas!$C$131-Coordenadas!$C$202)^2+(Coordenadas!$D$131-Coordenadas!$D$202)^2)&lt;=LEEME!$B$20,EXP(-LEEME!$B$19*SQRT((Coordenadas!$C$131-Coordenadas!$C$202)^2+(Coordenadas!$D$131-Coordenadas!$D$202)^2)),0)</f>
        <v>0.53526142851899</v>
      </c>
    </row>
    <row r="850" customFormat="false" ht="15" hidden="false" customHeight="false" outlineLevel="0" collapsed="false">
      <c r="A850" s="0" t="s">
        <v>178</v>
      </c>
      <c r="B850" s="0" t="s">
        <v>308</v>
      </c>
      <c r="C850" s="17" t="n">
        <f aca="false">IF(SQRT((Coordenadas!$C$131-Coordenadas!$C$203)^2+(Coordenadas!$D$131-Coordenadas!$D$203)^2)&lt;=LEEME!$B$20,EXP(-LEEME!$B$19*SQRT((Coordenadas!$C$131-Coordenadas!$C$203)^2+(Coordenadas!$D$131-Coordenadas!$D$203)^2)),0)</f>
        <v>0.682762344618362</v>
      </c>
    </row>
    <row r="851" customFormat="false" ht="15" hidden="false" customHeight="false" outlineLevel="0" collapsed="false">
      <c r="A851" s="0" t="s">
        <v>179</v>
      </c>
      <c r="B851" s="0" t="s">
        <v>273</v>
      </c>
      <c r="C851" s="17" t="n">
        <f aca="false">IF(SQRT((Coordenadas!$C$132-Coordenadas!$C$168)^2+(Coordenadas!$D$132-Coordenadas!$D$168)^2)&lt;=LEEME!$B$20,EXP(-LEEME!$B$19*SQRT((Coordenadas!$C$132-Coordenadas!$C$168)^2+(Coordenadas!$D$132-Coordenadas!$D$168)^2)),0)</f>
        <v>0.392648857678464</v>
      </c>
    </row>
    <row r="852" customFormat="false" ht="15" hidden="false" customHeight="false" outlineLevel="0" collapsed="false">
      <c r="A852" s="0" t="s">
        <v>179</v>
      </c>
      <c r="B852" s="0" t="s">
        <v>274</v>
      </c>
      <c r="C852" s="17" t="n">
        <f aca="false">IF(SQRT((Coordenadas!$C$132-Coordenadas!$C$169)^2+(Coordenadas!$D$132-Coordenadas!$D$169)^2)&lt;=LEEME!$B$20,EXP(-LEEME!$B$19*SQRT((Coordenadas!$C$132-Coordenadas!$C$169)^2+(Coordenadas!$D$132-Coordenadas!$D$169)^2)),0)</f>
        <v>0.471816207240825</v>
      </c>
    </row>
    <row r="853" customFormat="false" ht="15" hidden="false" customHeight="false" outlineLevel="0" collapsed="false">
      <c r="A853" s="0" t="s">
        <v>179</v>
      </c>
      <c r="B853" s="0" t="s">
        <v>275</v>
      </c>
      <c r="C853" s="17" t="n">
        <f aca="false">IF(SQRT((Coordenadas!$C$132-Coordenadas!$C$170)^2+(Coordenadas!$D$132-Coordenadas!$D$170)^2)&lt;=LEEME!$B$20,EXP(-LEEME!$B$19*SQRT((Coordenadas!$C$132-Coordenadas!$C$170)^2+(Coordenadas!$D$132-Coordenadas!$D$170)^2)),0)</f>
        <v>0.413163549696661</v>
      </c>
    </row>
    <row r="854" customFormat="false" ht="15" hidden="false" customHeight="false" outlineLevel="0" collapsed="false">
      <c r="A854" s="0" t="s">
        <v>179</v>
      </c>
      <c r="B854" s="0" t="s">
        <v>276</v>
      </c>
      <c r="C854" s="17" t="n">
        <f aca="false">IF(SQRT((Coordenadas!$C$132-Coordenadas!$C$171)^2+(Coordenadas!$D$132-Coordenadas!$D$171)^2)&lt;=LEEME!$B$20,EXP(-LEEME!$B$19*SQRT((Coordenadas!$C$132-Coordenadas!$C$171)^2+(Coordenadas!$D$132-Coordenadas!$D$171)^2)),0)</f>
        <v>0.524794767014201</v>
      </c>
    </row>
    <row r="855" customFormat="false" ht="15" hidden="false" customHeight="false" outlineLevel="0" collapsed="false">
      <c r="A855" s="0" t="s">
        <v>179</v>
      </c>
      <c r="B855" s="0" t="s">
        <v>280</v>
      </c>
      <c r="C855" s="17" t="n">
        <f aca="false">IF(SQRT((Coordenadas!$C$132-Coordenadas!$C$175)^2+(Coordenadas!$D$132-Coordenadas!$D$175)^2)&lt;=LEEME!$B$20,EXP(-LEEME!$B$19*SQRT((Coordenadas!$C$132-Coordenadas!$C$175)^2+(Coordenadas!$D$132-Coordenadas!$D$175)^2)),0)</f>
        <v>0.402933820301458</v>
      </c>
    </row>
    <row r="856" customFormat="false" ht="15" hidden="false" customHeight="false" outlineLevel="0" collapsed="false">
      <c r="A856" s="0" t="s">
        <v>179</v>
      </c>
      <c r="B856" s="0" t="s">
        <v>282</v>
      </c>
      <c r="C856" s="17" t="n">
        <f aca="false">IF(SQRT((Coordenadas!$C$132-Coordenadas!$C$177)^2+(Coordenadas!$D$132-Coordenadas!$D$177)^2)&lt;=LEEME!$B$20,EXP(-LEEME!$B$19*SQRT((Coordenadas!$C$132-Coordenadas!$C$177)^2+(Coordenadas!$D$132-Coordenadas!$D$177)^2)),0)</f>
        <v>0.42701307057325</v>
      </c>
    </row>
    <row r="857" customFormat="false" ht="15" hidden="false" customHeight="false" outlineLevel="0" collapsed="false">
      <c r="A857" s="0" t="s">
        <v>179</v>
      </c>
      <c r="B857" s="0" t="s">
        <v>285</v>
      </c>
      <c r="C857" s="17" t="n">
        <f aca="false">IF(SQRT((Coordenadas!$C$132-Coordenadas!$C$180)^2+(Coordenadas!$D$132-Coordenadas!$D$180)^2)&lt;=LEEME!$B$20,EXP(-LEEME!$B$19*SQRT((Coordenadas!$C$132-Coordenadas!$C$180)^2+(Coordenadas!$D$132-Coordenadas!$D$180)^2)),0)</f>
        <v>0.679195531766619</v>
      </c>
    </row>
    <row r="858" customFormat="false" ht="15" hidden="false" customHeight="false" outlineLevel="0" collapsed="false">
      <c r="A858" s="0" t="s">
        <v>179</v>
      </c>
      <c r="B858" s="0" t="s">
        <v>286</v>
      </c>
      <c r="C858" s="17" t="n">
        <f aca="false">IF(SQRT((Coordenadas!$C$132-Coordenadas!$C$181)^2+(Coordenadas!$D$132-Coordenadas!$D$181)^2)&lt;=LEEME!$B$20,EXP(-LEEME!$B$19*SQRT((Coordenadas!$C$132-Coordenadas!$C$181)^2+(Coordenadas!$D$132-Coordenadas!$D$181)^2)),0)</f>
        <v>0.427509237293687</v>
      </c>
    </row>
    <row r="859" customFormat="false" ht="15" hidden="false" customHeight="false" outlineLevel="0" collapsed="false">
      <c r="A859" s="0" t="s">
        <v>179</v>
      </c>
      <c r="B859" s="0" t="s">
        <v>290</v>
      </c>
      <c r="C859" s="17" t="n">
        <f aca="false">IF(SQRT((Coordenadas!$C$132-Coordenadas!$C$185)^2+(Coordenadas!$D$132-Coordenadas!$D$185)^2)&lt;=LEEME!$B$20,EXP(-LEEME!$B$19*SQRT((Coordenadas!$C$132-Coordenadas!$C$185)^2+(Coordenadas!$D$132-Coordenadas!$D$185)^2)),0)</f>
        <v>0.455141578831006</v>
      </c>
    </row>
    <row r="860" customFormat="false" ht="15" hidden="false" customHeight="false" outlineLevel="0" collapsed="false">
      <c r="A860" s="0" t="s">
        <v>179</v>
      </c>
      <c r="B860" s="0" t="s">
        <v>293</v>
      </c>
      <c r="C860" s="17" t="n">
        <f aca="false">IF(SQRT((Coordenadas!$C$132-Coordenadas!$C$188)^2+(Coordenadas!$D$132-Coordenadas!$D$188)^2)&lt;=LEEME!$B$20,EXP(-LEEME!$B$19*SQRT((Coordenadas!$C$132-Coordenadas!$C$188)^2+(Coordenadas!$D$132-Coordenadas!$D$188)^2)),0)</f>
        <v>0.387306717083609</v>
      </c>
    </row>
    <row r="861" customFormat="false" ht="15" hidden="false" customHeight="false" outlineLevel="0" collapsed="false">
      <c r="A861" s="0" t="s">
        <v>180</v>
      </c>
      <c r="B861" s="0" t="s">
        <v>273</v>
      </c>
      <c r="C861" s="17" t="n">
        <f aca="false">IF(SQRT((Coordenadas!$C$133-Coordenadas!$C$168)^2+(Coordenadas!$D$133-Coordenadas!$D$168)^2)&lt;=LEEME!$B$20,EXP(-LEEME!$B$19*SQRT((Coordenadas!$C$133-Coordenadas!$C$168)^2+(Coordenadas!$D$133-Coordenadas!$D$168)^2)),0)</f>
        <v>0.431370331252814</v>
      </c>
    </row>
    <row r="862" customFormat="false" ht="15" hidden="false" customHeight="false" outlineLevel="0" collapsed="false">
      <c r="A862" s="0" t="s">
        <v>180</v>
      </c>
      <c r="B862" s="0" t="s">
        <v>274</v>
      </c>
      <c r="C862" s="17" t="n">
        <f aca="false">IF(SQRT((Coordenadas!$C$133-Coordenadas!$C$169)^2+(Coordenadas!$D$133-Coordenadas!$D$169)^2)&lt;=LEEME!$B$20,EXP(-LEEME!$B$19*SQRT((Coordenadas!$C$133-Coordenadas!$C$169)^2+(Coordenadas!$D$133-Coordenadas!$D$169)^2)),0)</f>
        <v>0.465706846777362</v>
      </c>
    </row>
    <row r="863" customFormat="false" ht="15" hidden="false" customHeight="false" outlineLevel="0" collapsed="false">
      <c r="A863" s="0" t="s">
        <v>180</v>
      </c>
      <c r="B863" s="0" t="s">
        <v>276</v>
      </c>
      <c r="C863" s="17" t="n">
        <f aca="false">IF(SQRT((Coordenadas!$C$133-Coordenadas!$C$171)^2+(Coordenadas!$D$133-Coordenadas!$D$171)^2)&lt;=LEEME!$B$20,EXP(-LEEME!$B$19*SQRT((Coordenadas!$C$133-Coordenadas!$C$171)^2+(Coordenadas!$D$133-Coordenadas!$D$171)^2)),0)</f>
        <v>0.508093720651877</v>
      </c>
    </row>
    <row r="864" customFormat="false" ht="15" hidden="false" customHeight="false" outlineLevel="0" collapsed="false">
      <c r="A864" s="0" t="s">
        <v>180</v>
      </c>
      <c r="B864" s="0" t="s">
        <v>282</v>
      </c>
      <c r="C864" s="17" t="n">
        <f aca="false">IF(SQRT((Coordenadas!$C$133-Coordenadas!$C$177)^2+(Coordenadas!$D$133-Coordenadas!$D$177)^2)&lt;=LEEME!$B$20,EXP(-LEEME!$B$19*SQRT((Coordenadas!$C$133-Coordenadas!$C$177)^2+(Coordenadas!$D$133-Coordenadas!$D$177)^2)),0)</f>
        <v>0.495930152545834</v>
      </c>
    </row>
    <row r="865" customFormat="false" ht="15" hidden="false" customHeight="false" outlineLevel="0" collapsed="false">
      <c r="A865" s="0" t="s">
        <v>180</v>
      </c>
      <c r="B865" s="0" t="s">
        <v>285</v>
      </c>
      <c r="C865" s="17" t="n">
        <f aca="false">IF(SQRT((Coordenadas!$C$133-Coordenadas!$C$180)^2+(Coordenadas!$D$133-Coordenadas!$D$180)^2)&lt;=LEEME!$B$20,EXP(-LEEME!$B$19*SQRT((Coordenadas!$C$133-Coordenadas!$C$180)^2+(Coordenadas!$D$133-Coordenadas!$D$180)^2)),0)</f>
        <v>0.51536879038093</v>
      </c>
    </row>
    <row r="866" customFormat="false" ht="15" hidden="false" customHeight="false" outlineLevel="0" collapsed="false">
      <c r="A866" s="0" t="s">
        <v>180</v>
      </c>
      <c r="B866" s="0" t="s">
        <v>286</v>
      </c>
      <c r="C866" s="17" t="n">
        <f aca="false">IF(SQRT((Coordenadas!$C$133-Coordenadas!$C$181)^2+(Coordenadas!$D$133-Coordenadas!$D$181)^2)&lt;=LEEME!$B$20,EXP(-LEEME!$B$19*SQRT((Coordenadas!$C$133-Coordenadas!$C$181)^2+(Coordenadas!$D$133-Coordenadas!$D$181)^2)),0)</f>
        <v>0.467197766486483</v>
      </c>
    </row>
    <row r="867" customFormat="false" ht="15" hidden="false" customHeight="false" outlineLevel="0" collapsed="false">
      <c r="A867" s="0" t="s">
        <v>181</v>
      </c>
      <c r="B867" s="0" t="s">
        <v>272</v>
      </c>
      <c r="C867" s="17" t="n">
        <f aca="false">IF(SQRT((Coordenadas!$C$134-Coordenadas!$C$167)^2+(Coordenadas!$D$134-Coordenadas!$D$167)^2)&lt;=LEEME!$B$20,EXP(-LEEME!$B$19*SQRT((Coordenadas!$C$134-Coordenadas!$C$167)^2+(Coordenadas!$D$134-Coordenadas!$D$167)^2)),0)</f>
        <v>0.379876104659489</v>
      </c>
    </row>
    <row r="868" customFormat="false" ht="15" hidden="false" customHeight="false" outlineLevel="0" collapsed="false">
      <c r="A868" s="0" t="s">
        <v>181</v>
      </c>
      <c r="B868" s="0" t="s">
        <v>273</v>
      </c>
      <c r="C868" s="17" t="n">
        <f aca="false">IF(SQRT((Coordenadas!$C$134-Coordenadas!$C$168)^2+(Coordenadas!$D$134-Coordenadas!$D$168)^2)&lt;=LEEME!$B$20,EXP(-LEEME!$B$19*SQRT((Coordenadas!$C$134-Coordenadas!$C$168)^2+(Coordenadas!$D$134-Coordenadas!$D$168)^2)),0)</f>
        <v>0.38375237230665</v>
      </c>
    </row>
    <row r="869" customFormat="false" ht="15" hidden="false" customHeight="false" outlineLevel="0" collapsed="false">
      <c r="A869" s="0" t="s">
        <v>181</v>
      </c>
      <c r="B869" s="0" t="s">
        <v>274</v>
      </c>
      <c r="C869" s="17" t="n">
        <f aca="false">IF(SQRT((Coordenadas!$C$134-Coordenadas!$C$169)^2+(Coordenadas!$D$134-Coordenadas!$D$169)^2)&lt;=LEEME!$B$20,EXP(-LEEME!$B$19*SQRT((Coordenadas!$C$134-Coordenadas!$C$169)^2+(Coordenadas!$D$134-Coordenadas!$D$169)^2)),0)</f>
        <v>0.387021109883356</v>
      </c>
    </row>
    <row r="870" customFormat="false" ht="15" hidden="false" customHeight="false" outlineLevel="0" collapsed="false">
      <c r="A870" s="0" t="s">
        <v>181</v>
      </c>
      <c r="B870" s="0" t="s">
        <v>276</v>
      </c>
      <c r="C870" s="17" t="n">
        <f aca="false">IF(SQRT((Coordenadas!$C$134-Coordenadas!$C$171)^2+(Coordenadas!$D$134-Coordenadas!$D$171)^2)&lt;=LEEME!$B$20,EXP(-LEEME!$B$19*SQRT((Coordenadas!$C$134-Coordenadas!$C$171)^2+(Coordenadas!$D$134-Coordenadas!$D$171)^2)),0)</f>
        <v>0.416219922189373</v>
      </c>
    </row>
    <row r="871" customFormat="false" ht="15" hidden="false" customHeight="false" outlineLevel="0" collapsed="false">
      <c r="A871" s="0" t="s">
        <v>181</v>
      </c>
      <c r="B871" s="0" t="s">
        <v>279</v>
      </c>
      <c r="C871" s="17" t="n">
        <f aca="false">IF(SQRT((Coordenadas!$C$134-Coordenadas!$C$174)^2+(Coordenadas!$D$134-Coordenadas!$D$174)^2)&lt;=LEEME!$B$20,EXP(-LEEME!$B$19*SQRT((Coordenadas!$C$134-Coordenadas!$C$174)^2+(Coordenadas!$D$134-Coordenadas!$D$174)^2)),0)</f>
        <v>0.390700572599929</v>
      </c>
    </row>
    <row r="872" customFormat="false" ht="15" hidden="false" customHeight="false" outlineLevel="0" collapsed="false">
      <c r="A872" s="0" t="s">
        <v>181</v>
      </c>
      <c r="B872" s="0" t="s">
        <v>282</v>
      </c>
      <c r="C872" s="17" t="n">
        <f aca="false">IF(SQRT((Coordenadas!$C$134-Coordenadas!$C$177)^2+(Coordenadas!$D$134-Coordenadas!$D$177)^2)&lt;=LEEME!$B$20,EXP(-LEEME!$B$19*SQRT((Coordenadas!$C$134-Coordenadas!$C$177)^2+(Coordenadas!$D$134-Coordenadas!$D$177)^2)),0)</f>
        <v>0.570128150411452</v>
      </c>
    </row>
    <row r="873" customFormat="false" ht="15" hidden="false" customHeight="false" outlineLevel="0" collapsed="false">
      <c r="A873" s="0" t="s">
        <v>181</v>
      </c>
      <c r="B873" s="0" t="s">
        <v>285</v>
      </c>
      <c r="C873" s="17" t="n">
        <f aca="false">IF(SQRT((Coordenadas!$C$134-Coordenadas!$C$180)^2+(Coordenadas!$D$134-Coordenadas!$D$180)^2)&lt;=LEEME!$B$20,EXP(-LEEME!$B$19*SQRT((Coordenadas!$C$134-Coordenadas!$C$180)^2+(Coordenadas!$D$134-Coordenadas!$D$180)^2)),0)</f>
        <v>0.429303346323495</v>
      </c>
    </row>
    <row r="874" customFormat="false" ht="15" hidden="false" customHeight="false" outlineLevel="0" collapsed="false">
      <c r="A874" s="0" t="s">
        <v>181</v>
      </c>
      <c r="B874" s="0" t="s">
        <v>286</v>
      </c>
      <c r="C874" s="17" t="n">
        <f aca="false">IF(SQRT((Coordenadas!$C$134-Coordenadas!$C$181)^2+(Coordenadas!$D$134-Coordenadas!$D$181)^2)&lt;=LEEME!$B$20,EXP(-LEEME!$B$19*SQRT((Coordenadas!$C$134-Coordenadas!$C$181)^2+(Coordenadas!$D$134-Coordenadas!$D$181)^2)),0)</f>
        <v>0.513107163549981</v>
      </c>
    </row>
    <row r="875" customFormat="false" ht="15" hidden="false" customHeight="false" outlineLevel="0" collapsed="false">
      <c r="A875" s="0" t="s">
        <v>182</v>
      </c>
      <c r="B875" s="0" t="s">
        <v>279</v>
      </c>
      <c r="C875" s="17" t="n">
        <f aca="false">IF(SQRT((Coordenadas!$C$135-Coordenadas!$C$174)^2+(Coordenadas!$D$135-Coordenadas!$D$174)^2)&lt;=LEEME!$B$20,EXP(-LEEME!$B$19*SQRT((Coordenadas!$C$135-Coordenadas!$C$174)^2+(Coordenadas!$D$135-Coordenadas!$D$174)^2)),0)</f>
        <v>0.57942992542768</v>
      </c>
    </row>
    <row r="876" customFormat="false" ht="15" hidden="false" customHeight="false" outlineLevel="0" collapsed="false">
      <c r="A876" s="0" t="s">
        <v>182</v>
      </c>
      <c r="B876" s="0" t="s">
        <v>282</v>
      </c>
      <c r="C876" s="17" t="n">
        <f aca="false">IF(SQRT((Coordenadas!$C$135-Coordenadas!$C$177)^2+(Coordenadas!$D$135-Coordenadas!$D$177)^2)&lt;=LEEME!$B$20,EXP(-LEEME!$B$19*SQRT((Coordenadas!$C$135-Coordenadas!$C$177)^2+(Coordenadas!$D$135-Coordenadas!$D$177)^2)),0)</f>
        <v>0.744405442589679</v>
      </c>
    </row>
    <row r="877" customFormat="false" ht="15" hidden="false" customHeight="false" outlineLevel="0" collapsed="false">
      <c r="A877" s="0" t="s">
        <v>182</v>
      </c>
      <c r="B877" s="0" t="s">
        <v>286</v>
      </c>
      <c r="C877" s="17" t="n">
        <f aca="false">IF(SQRT((Coordenadas!$C$135-Coordenadas!$C$181)^2+(Coordenadas!$D$135-Coordenadas!$D$181)^2)&lt;=LEEME!$B$20,EXP(-LEEME!$B$19*SQRT((Coordenadas!$C$135-Coordenadas!$C$181)^2+(Coordenadas!$D$135-Coordenadas!$D$181)^2)),0)</f>
        <v>0.633699894510748</v>
      </c>
    </row>
    <row r="878" customFormat="false" ht="15" hidden="false" customHeight="false" outlineLevel="0" collapsed="false">
      <c r="A878" s="0" t="s">
        <v>182</v>
      </c>
      <c r="B878" s="0" t="s">
        <v>287</v>
      </c>
      <c r="C878" s="17" t="n">
        <f aca="false">IF(SQRT((Coordenadas!$C$135-Coordenadas!$C$182)^2+(Coordenadas!$D$135-Coordenadas!$D$182)^2)&lt;=LEEME!$B$20,EXP(-LEEME!$B$19*SQRT((Coordenadas!$C$135-Coordenadas!$C$182)^2+(Coordenadas!$D$135-Coordenadas!$D$182)^2)),0)</f>
        <v>0.484466575678009</v>
      </c>
    </row>
    <row r="879" customFormat="false" ht="15" hidden="false" customHeight="false" outlineLevel="0" collapsed="false">
      <c r="A879" s="0" t="s">
        <v>182</v>
      </c>
      <c r="B879" s="0" t="s">
        <v>288</v>
      </c>
      <c r="C879" s="17" t="n">
        <f aca="false">IF(SQRT((Coordenadas!$C$135-Coordenadas!$C$183)^2+(Coordenadas!$D$135-Coordenadas!$D$183)^2)&lt;=LEEME!$B$20,EXP(-LEEME!$B$19*SQRT((Coordenadas!$C$135-Coordenadas!$C$183)^2+(Coordenadas!$D$135-Coordenadas!$D$183)^2)),0)</f>
        <v>0.457628814478786</v>
      </c>
    </row>
    <row r="880" customFormat="false" ht="15" hidden="false" customHeight="false" outlineLevel="0" collapsed="false">
      <c r="A880" s="0" t="s">
        <v>182</v>
      </c>
      <c r="B880" s="0" t="s">
        <v>294</v>
      </c>
      <c r="C880" s="17" t="n">
        <f aca="false">IF(SQRT((Coordenadas!$C$135-Coordenadas!$C$189)^2+(Coordenadas!$D$135-Coordenadas!$D$189)^2)&lt;=LEEME!$B$20,EXP(-LEEME!$B$19*SQRT((Coordenadas!$C$135-Coordenadas!$C$189)^2+(Coordenadas!$D$135-Coordenadas!$D$189)^2)),0)</f>
        <v>0.372229979572723</v>
      </c>
    </row>
    <row r="881" customFormat="false" ht="15" hidden="false" customHeight="false" outlineLevel="0" collapsed="false">
      <c r="A881" s="0" t="s">
        <v>183</v>
      </c>
      <c r="B881" s="0" t="s">
        <v>276</v>
      </c>
      <c r="C881" s="17" t="n">
        <f aca="false">IF(SQRT((Coordenadas!$C$136-Coordenadas!$C$171)^2+(Coordenadas!$D$136-Coordenadas!$D$171)^2)&lt;=LEEME!$B$20,EXP(-LEEME!$B$19*SQRT((Coordenadas!$C$136-Coordenadas!$C$171)^2+(Coordenadas!$D$136-Coordenadas!$D$171)^2)),0)</f>
        <v>0.39414580645049</v>
      </c>
    </row>
    <row r="882" customFormat="false" ht="15" hidden="false" customHeight="false" outlineLevel="0" collapsed="false">
      <c r="A882" s="0" t="s">
        <v>183</v>
      </c>
      <c r="B882" s="0" t="s">
        <v>282</v>
      </c>
      <c r="C882" s="17" t="n">
        <f aca="false">IF(SQRT((Coordenadas!$C$136-Coordenadas!$C$177)^2+(Coordenadas!$D$136-Coordenadas!$D$177)^2)&lt;=LEEME!$B$20,EXP(-LEEME!$B$19*SQRT((Coordenadas!$C$136-Coordenadas!$C$177)^2+(Coordenadas!$D$136-Coordenadas!$D$177)^2)),0)</f>
        <v>0.597848951798026</v>
      </c>
    </row>
    <row r="883" customFormat="false" ht="15" hidden="false" customHeight="false" outlineLevel="0" collapsed="false">
      <c r="A883" s="0" t="s">
        <v>183</v>
      </c>
      <c r="B883" s="0" t="s">
        <v>285</v>
      </c>
      <c r="C883" s="17" t="n">
        <f aca="false">IF(SQRT((Coordenadas!$C$136-Coordenadas!$C$180)^2+(Coordenadas!$D$136-Coordenadas!$D$180)^2)&lt;=LEEME!$B$20,EXP(-LEEME!$B$19*SQRT((Coordenadas!$C$136-Coordenadas!$C$180)^2+(Coordenadas!$D$136-Coordenadas!$D$180)^2)),0)</f>
        <v>0.631953796844013</v>
      </c>
    </row>
    <row r="884" customFormat="false" ht="15" hidden="false" customHeight="false" outlineLevel="0" collapsed="false">
      <c r="A884" s="0" t="s">
        <v>183</v>
      </c>
      <c r="B884" s="0" t="s">
        <v>286</v>
      </c>
      <c r="C884" s="17" t="n">
        <f aca="false">IF(SQRT((Coordenadas!$C$136-Coordenadas!$C$181)^2+(Coordenadas!$D$136-Coordenadas!$D$181)^2)&lt;=LEEME!$B$20,EXP(-LEEME!$B$19*SQRT((Coordenadas!$C$136-Coordenadas!$C$181)^2+(Coordenadas!$D$136-Coordenadas!$D$181)^2)),0)</f>
        <v>0.599467924271629</v>
      </c>
    </row>
    <row r="885" customFormat="false" ht="15" hidden="false" customHeight="false" outlineLevel="0" collapsed="false">
      <c r="A885" s="0" t="s">
        <v>183</v>
      </c>
      <c r="B885" s="0" t="s">
        <v>290</v>
      </c>
      <c r="C885" s="17" t="n">
        <f aca="false">IF(SQRT((Coordenadas!$C$136-Coordenadas!$C$185)^2+(Coordenadas!$D$136-Coordenadas!$D$185)^2)&lt;=LEEME!$B$20,EXP(-LEEME!$B$19*SQRT((Coordenadas!$C$136-Coordenadas!$C$185)^2+(Coordenadas!$D$136-Coordenadas!$D$185)^2)),0)</f>
        <v>0.421905253825368</v>
      </c>
    </row>
    <row r="886" customFormat="false" ht="15" hidden="false" customHeight="false" outlineLevel="0" collapsed="false">
      <c r="A886" s="0" t="s">
        <v>183</v>
      </c>
      <c r="B886" s="0" t="s">
        <v>293</v>
      </c>
      <c r="C886" s="17" t="n">
        <f aca="false">IF(SQRT((Coordenadas!$C$136-Coordenadas!$C$188)^2+(Coordenadas!$D$136-Coordenadas!$D$188)^2)&lt;=LEEME!$B$20,EXP(-LEEME!$B$19*SQRT((Coordenadas!$C$136-Coordenadas!$C$188)^2+(Coordenadas!$D$136-Coordenadas!$D$188)^2)),0)</f>
        <v>0.458039034240097</v>
      </c>
    </row>
    <row r="887" customFormat="false" ht="15" hidden="false" customHeight="false" outlineLevel="0" collapsed="false">
      <c r="A887" s="0" t="s">
        <v>184</v>
      </c>
      <c r="B887" s="0" t="s">
        <v>282</v>
      </c>
      <c r="C887" s="17" t="n">
        <f aca="false">IF(SQRT((Coordenadas!$C$137-Coordenadas!$C$177)^2+(Coordenadas!$D$137-Coordenadas!$D$177)^2)&lt;=LEEME!$B$20,EXP(-LEEME!$B$19*SQRT((Coordenadas!$C$137-Coordenadas!$C$177)^2+(Coordenadas!$D$137-Coordenadas!$D$177)^2)),0)</f>
        <v>0.590866383111533</v>
      </c>
    </row>
    <row r="888" customFormat="false" ht="15" hidden="false" customHeight="false" outlineLevel="0" collapsed="false">
      <c r="A888" s="0" t="s">
        <v>184</v>
      </c>
      <c r="B888" s="0" t="s">
        <v>285</v>
      </c>
      <c r="C888" s="17" t="n">
        <f aca="false">IF(SQRT((Coordenadas!$C$137-Coordenadas!$C$180)^2+(Coordenadas!$D$137-Coordenadas!$D$180)^2)&lt;=LEEME!$B$20,EXP(-LEEME!$B$19*SQRT((Coordenadas!$C$137-Coordenadas!$C$180)^2+(Coordenadas!$D$137-Coordenadas!$D$180)^2)),0)</f>
        <v>0.688415227984552</v>
      </c>
    </row>
    <row r="889" customFormat="false" ht="15" hidden="false" customHeight="false" outlineLevel="0" collapsed="false">
      <c r="A889" s="0" t="s">
        <v>184</v>
      </c>
      <c r="B889" s="0" t="s">
        <v>286</v>
      </c>
      <c r="C889" s="17" t="n">
        <f aca="false">IF(SQRT((Coordenadas!$C$137-Coordenadas!$C$181)^2+(Coordenadas!$D$137-Coordenadas!$D$181)^2)&lt;=LEEME!$B$20,EXP(-LEEME!$B$19*SQRT((Coordenadas!$C$137-Coordenadas!$C$181)^2+(Coordenadas!$D$137-Coordenadas!$D$181)^2)),0)</f>
        <v>0.626185958589225</v>
      </c>
    </row>
    <row r="890" customFormat="false" ht="15" hidden="false" customHeight="false" outlineLevel="0" collapsed="false">
      <c r="A890" s="0" t="s">
        <v>184</v>
      </c>
      <c r="B890" s="0" t="s">
        <v>290</v>
      </c>
      <c r="C890" s="17" t="n">
        <f aca="false">IF(SQRT((Coordenadas!$C$137-Coordenadas!$C$185)^2+(Coordenadas!$D$137-Coordenadas!$D$185)^2)&lt;=LEEME!$B$20,EXP(-LEEME!$B$19*SQRT((Coordenadas!$C$137-Coordenadas!$C$185)^2+(Coordenadas!$D$137-Coordenadas!$D$185)^2)),0)</f>
        <v>0.478326433920206</v>
      </c>
    </row>
    <row r="891" customFormat="false" ht="15" hidden="false" customHeight="false" outlineLevel="0" collapsed="false">
      <c r="A891" s="0" t="s">
        <v>184</v>
      </c>
      <c r="B891" s="0" t="s">
        <v>293</v>
      </c>
      <c r="C891" s="17" t="n">
        <f aca="false">IF(SQRT((Coordenadas!$C$137-Coordenadas!$C$188)^2+(Coordenadas!$D$137-Coordenadas!$D$188)^2)&lt;=LEEME!$B$20,EXP(-LEEME!$B$19*SQRT((Coordenadas!$C$137-Coordenadas!$C$188)^2+(Coordenadas!$D$137-Coordenadas!$D$188)^2)),0)</f>
        <v>0.54688837595084</v>
      </c>
    </row>
    <row r="892" customFormat="false" ht="15" hidden="false" customHeight="false" outlineLevel="0" collapsed="false">
      <c r="A892" s="0" t="s">
        <v>184</v>
      </c>
      <c r="B892" s="0" t="s">
        <v>295</v>
      </c>
      <c r="C892" s="17" t="n">
        <f aca="false">IF(SQRT((Coordenadas!$C$137-Coordenadas!$C$190)^2+(Coordenadas!$D$137-Coordenadas!$D$190)^2)&lt;=LEEME!$B$20,EXP(-LEEME!$B$19*SQRT((Coordenadas!$C$137-Coordenadas!$C$190)^2+(Coordenadas!$D$137-Coordenadas!$D$190)^2)),0)</f>
        <v>0.409706427405948</v>
      </c>
    </row>
    <row r="893" customFormat="false" ht="15" hidden="false" customHeight="false" outlineLevel="0" collapsed="false">
      <c r="A893" s="0" t="s">
        <v>185</v>
      </c>
      <c r="B893" s="0" t="s">
        <v>282</v>
      </c>
      <c r="C893" s="17" t="n">
        <f aca="false">IF(SQRT((Coordenadas!$C$138-Coordenadas!$C$177)^2+(Coordenadas!$D$138-Coordenadas!$D$177)^2)&lt;=LEEME!$B$20,EXP(-LEEME!$B$19*SQRT((Coordenadas!$C$138-Coordenadas!$C$177)^2+(Coordenadas!$D$138-Coordenadas!$D$177)^2)),0)</f>
        <v>0.772503924485659</v>
      </c>
    </row>
    <row r="894" customFormat="false" ht="15" hidden="false" customHeight="false" outlineLevel="0" collapsed="false">
      <c r="A894" s="0" t="s">
        <v>185</v>
      </c>
      <c r="B894" s="0" t="s">
        <v>285</v>
      </c>
      <c r="C894" s="17" t="n">
        <f aca="false">IF(SQRT((Coordenadas!$C$138-Coordenadas!$C$180)^2+(Coordenadas!$D$138-Coordenadas!$D$180)^2)&lt;=LEEME!$B$20,EXP(-LEEME!$B$19*SQRT((Coordenadas!$C$138-Coordenadas!$C$180)^2+(Coordenadas!$D$138-Coordenadas!$D$180)^2)),0)</f>
        <v>0.526459917327553</v>
      </c>
    </row>
    <row r="895" customFormat="false" ht="15" hidden="false" customHeight="false" outlineLevel="0" collapsed="false">
      <c r="A895" s="0" t="s">
        <v>185</v>
      </c>
      <c r="B895" s="0" t="s">
        <v>286</v>
      </c>
      <c r="C895" s="17" t="n">
        <f aca="false">IF(SQRT((Coordenadas!$C$138-Coordenadas!$C$181)^2+(Coordenadas!$D$138-Coordenadas!$D$181)^2)&lt;=LEEME!$B$20,EXP(-LEEME!$B$19*SQRT((Coordenadas!$C$138-Coordenadas!$C$181)^2+(Coordenadas!$D$138-Coordenadas!$D$181)^2)),0)</f>
        <v>0.808382069556092</v>
      </c>
    </row>
    <row r="896" customFormat="false" ht="15" hidden="false" customHeight="false" outlineLevel="0" collapsed="false">
      <c r="A896" s="0" t="s">
        <v>185</v>
      </c>
      <c r="B896" s="0" t="s">
        <v>287</v>
      </c>
      <c r="C896" s="17" t="n">
        <f aca="false">IF(SQRT((Coordenadas!$C$138-Coordenadas!$C$182)^2+(Coordenadas!$D$138-Coordenadas!$D$182)^2)&lt;=LEEME!$B$20,EXP(-LEEME!$B$19*SQRT((Coordenadas!$C$138-Coordenadas!$C$182)^2+(Coordenadas!$D$138-Coordenadas!$D$182)^2)),0)</f>
        <v>0.383802463724638</v>
      </c>
    </row>
    <row r="897" customFormat="false" ht="15" hidden="false" customHeight="false" outlineLevel="0" collapsed="false">
      <c r="A897" s="0" t="s">
        <v>185</v>
      </c>
      <c r="B897" s="0" t="s">
        <v>290</v>
      </c>
      <c r="C897" s="17" t="n">
        <f aca="false">IF(SQRT((Coordenadas!$C$138-Coordenadas!$C$185)^2+(Coordenadas!$D$138-Coordenadas!$D$185)^2)&lt;=LEEME!$B$20,EXP(-LEEME!$B$19*SQRT((Coordenadas!$C$138-Coordenadas!$C$185)^2+(Coordenadas!$D$138-Coordenadas!$D$185)^2)),0)</f>
        <v>0.376169977129119</v>
      </c>
    </row>
    <row r="898" customFormat="false" ht="15" hidden="false" customHeight="false" outlineLevel="0" collapsed="false">
      <c r="A898" s="0" t="s">
        <v>185</v>
      </c>
      <c r="B898" s="0" t="s">
        <v>293</v>
      </c>
      <c r="C898" s="17" t="n">
        <f aca="false">IF(SQRT((Coordenadas!$C$138-Coordenadas!$C$188)^2+(Coordenadas!$D$138-Coordenadas!$D$188)^2)&lt;=LEEME!$B$20,EXP(-LEEME!$B$19*SQRT((Coordenadas!$C$138-Coordenadas!$C$188)^2+(Coordenadas!$D$138-Coordenadas!$D$188)^2)),0)</f>
        <v>0.505187811852689</v>
      </c>
    </row>
    <row r="899" customFormat="false" ht="15" hidden="false" customHeight="false" outlineLevel="0" collapsed="false">
      <c r="A899" s="0" t="s">
        <v>185</v>
      </c>
      <c r="B899" s="0" t="s">
        <v>294</v>
      </c>
      <c r="C899" s="17" t="n">
        <f aca="false">IF(SQRT((Coordenadas!$C$138-Coordenadas!$C$189)^2+(Coordenadas!$D$138-Coordenadas!$D$189)^2)&lt;=LEEME!$B$20,EXP(-LEEME!$B$19*SQRT((Coordenadas!$C$138-Coordenadas!$C$189)^2+(Coordenadas!$D$138-Coordenadas!$D$189)^2)),0)</f>
        <v>0.388494576039895</v>
      </c>
    </row>
    <row r="900" customFormat="false" ht="15" hidden="false" customHeight="false" outlineLevel="0" collapsed="false">
      <c r="A900" s="0" t="s">
        <v>185</v>
      </c>
      <c r="B900" s="0" t="s">
        <v>295</v>
      </c>
      <c r="C900" s="17" t="n">
        <f aca="false">IF(SQRT((Coordenadas!$C$138-Coordenadas!$C$190)^2+(Coordenadas!$D$138-Coordenadas!$D$190)^2)&lt;=LEEME!$B$20,EXP(-LEEME!$B$19*SQRT((Coordenadas!$C$138-Coordenadas!$C$190)^2+(Coordenadas!$D$138-Coordenadas!$D$190)^2)),0)</f>
        <v>0.439120076142584</v>
      </c>
    </row>
    <row r="901" customFormat="false" ht="15" hidden="false" customHeight="false" outlineLevel="0" collapsed="false">
      <c r="A901" s="0" t="s">
        <v>186</v>
      </c>
      <c r="B901" s="0" t="s">
        <v>279</v>
      </c>
      <c r="C901" s="17" t="n">
        <f aca="false">IF(SQRT((Coordenadas!$C$139-Coordenadas!$C$174)^2+(Coordenadas!$D$139-Coordenadas!$D$174)^2)&lt;=LEEME!$B$20,EXP(-LEEME!$B$19*SQRT((Coordenadas!$C$139-Coordenadas!$C$174)^2+(Coordenadas!$D$139-Coordenadas!$D$174)^2)),0)</f>
        <v>0.442049564957583</v>
      </c>
    </row>
    <row r="902" customFormat="false" ht="15" hidden="false" customHeight="false" outlineLevel="0" collapsed="false">
      <c r="A902" s="0" t="s">
        <v>186</v>
      </c>
      <c r="B902" s="0" t="s">
        <v>282</v>
      </c>
      <c r="C902" s="17" t="n">
        <f aca="false">IF(SQRT((Coordenadas!$C$139-Coordenadas!$C$177)^2+(Coordenadas!$D$139-Coordenadas!$D$177)^2)&lt;=LEEME!$B$20,EXP(-LEEME!$B$19*SQRT((Coordenadas!$C$139-Coordenadas!$C$177)^2+(Coordenadas!$D$139-Coordenadas!$D$177)^2)),0)</f>
        <v>0.953925306511602</v>
      </c>
    </row>
    <row r="903" customFormat="false" ht="15" hidden="false" customHeight="false" outlineLevel="0" collapsed="false">
      <c r="A903" s="0" t="s">
        <v>186</v>
      </c>
      <c r="B903" s="0" t="s">
        <v>285</v>
      </c>
      <c r="C903" s="17" t="n">
        <f aca="false">IF(SQRT((Coordenadas!$C$139-Coordenadas!$C$180)^2+(Coordenadas!$D$139-Coordenadas!$D$180)^2)&lt;=LEEME!$B$20,EXP(-LEEME!$B$19*SQRT((Coordenadas!$C$139-Coordenadas!$C$180)^2+(Coordenadas!$D$139-Coordenadas!$D$180)^2)),0)</f>
        <v>0.424389897113843</v>
      </c>
    </row>
    <row r="904" customFormat="false" ht="15" hidden="false" customHeight="false" outlineLevel="0" collapsed="false">
      <c r="A904" s="0" t="s">
        <v>186</v>
      </c>
      <c r="B904" s="0" t="s">
        <v>286</v>
      </c>
      <c r="C904" s="17" t="n">
        <f aca="false">IF(SQRT((Coordenadas!$C$139-Coordenadas!$C$181)^2+(Coordenadas!$D$139-Coordenadas!$D$181)^2)&lt;=LEEME!$B$20,EXP(-LEEME!$B$19*SQRT((Coordenadas!$C$139-Coordenadas!$C$181)^2+(Coordenadas!$D$139-Coordenadas!$D$181)^2)),0)</f>
        <v>0.883650930994514</v>
      </c>
    </row>
    <row r="905" customFormat="false" ht="15" hidden="false" customHeight="false" outlineLevel="0" collapsed="false">
      <c r="A905" s="0" t="s">
        <v>186</v>
      </c>
      <c r="B905" s="0" t="s">
        <v>287</v>
      </c>
      <c r="C905" s="17" t="n">
        <f aca="false">IF(SQRT((Coordenadas!$C$139-Coordenadas!$C$182)^2+(Coordenadas!$D$139-Coordenadas!$D$182)^2)&lt;=LEEME!$B$20,EXP(-LEEME!$B$19*SQRT((Coordenadas!$C$139-Coordenadas!$C$182)^2+(Coordenadas!$D$139-Coordenadas!$D$182)^2)),0)</f>
        <v>0.472587110564466</v>
      </c>
    </row>
    <row r="906" customFormat="false" ht="15" hidden="false" customHeight="false" outlineLevel="0" collapsed="false">
      <c r="A906" s="0" t="s">
        <v>186</v>
      </c>
      <c r="B906" s="0" t="s">
        <v>288</v>
      </c>
      <c r="C906" s="17" t="n">
        <f aca="false">IF(SQRT((Coordenadas!$C$139-Coordenadas!$C$183)^2+(Coordenadas!$D$139-Coordenadas!$D$183)^2)&lt;=LEEME!$B$20,EXP(-LEEME!$B$19*SQRT((Coordenadas!$C$139-Coordenadas!$C$183)^2+(Coordenadas!$D$139-Coordenadas!$D$183)^2)),0)</f>
        <v>0.448586146473899</v>
      </c>
    </row>
    <row r="907" customFormat="false" ht="15" hidden="false" customHeight="false" outlineLevel="0" collapsed="false">
      <c r="A907" s="0" t="s">
        <v>186</v>
      </c>
      <c r="B907" s="0" t="s">
        <v>293</v>
      </c>
      <c r="C907" s="17" t="n">
        <f aca="false">IF(SQRT((Coordenadas!$C$139-Coordenadas!$C$188)^2+(Coordenadas!$D$139-Coordenadas!$D$188)^2)&lt;=LEEME!$B$20,EXP(-LEEME!$B$19*SQRT((Coordenadas!$C$139-Coordenadas!$C$188)^2+(Coordenadas!$D$139-Coordenadas!$D$188)^2)),0)</f>
        <v>0.439841709498643</v>
      </c>
    </row>
    <row r="908" customFormat="false" ht="15" hidden="false" customHeight="false" outlineLevel="0" collapsed="false">
      <c r="A908" s="0" t="s">
        <v>186</v>
      </c>
      <c r="B908" s="0" t="s">
        <v>294</v>
      </c>
      <c r="C908" s="17" t="n">
        <f aca="false">IF(SQRT((Coordenadas!$C$139-Coordenadas!$C$189)^2+(Coordenadas!$D$139-Coordenadas!$D$189)^2)&lt;=LEEME!$B$20,EXP(-LEEME!$B$19*SQRT((Coordenadas!$C$139-Coordenadas!$C$189)^2+(Coordenadas!$D$139-Coordenadas!$D$189)^2)),0)</f>
        <v>0.444851201247692</v>
      </c>
    </row>
    <row r="909" customFormat="false" ht="15" hidden="false" customHeight="false" outlineLevel="0" collapsed="false">
      <c r="A909" s="0" t="s">
        <v>186</v>
      </c>
      <c r="B909" s="0" t="s">
        <v>295</v>
      </c>
      <c r="C909" s="17" t="n">
        <f aca="false">IF(SQRT((Coordenadas!$C$139-Coordenadas!$C$190)^2+(Coordenadas!$D$139-Coordenadas!$D$190)^2)&lt;=LEEME!$B$20,EXP(-LEEME!$B$19*SQRT((Coordenadas!$C$139-Coordenadas!$C$190)^2+(Coordenadas!$D$139-Coordenadas!$D$190)^2)),0)</f>
        <v>0.428486386029091</v>
      </c>
    </row>
    <row r="910" customFormat="false" ht="15" hidden="false" customHeight="false" outlineLevel="0" collapsed="false">
      <c r="A910" s="0" t="s">
        <v>187</v>
      </c>
      <c r="B910" s="0" t="s">
        <v>273</v>
      </c>
      <c r="C910" s="17" t="n">
        <f aca="false">IF(SQRT((Coordenadas!$C$140-Coordenadas!$C$168)^2+(Coordenadas!$D$140-Coordenadas!$D$168)^2)&lt;=LEEME!$B$20,EXP(-LEEME!$B$19*SQRT((Coordenadas!$C$140-Coordenadas!$C$168)^2+(Coordenadas!$D$140-Coordenadas!$D$168)^2)),0)</f>
        <v>0.37097713663875</v>
      </c>
    </row>
    <row r="911" customFormat="false" ht="15" hidden="false" customHeight="false" outlineLevel="0" collapsed="false">
      <c r="A911" s="0" t="s">
        <v>187</v>
      </c>
      <c r="B911" s="0" t="s">
        <v>274</v>
      </c>
      <c r="C911" s="17" t="n">
        <f aca="false">IF(SQRT((Coordenadas!$C$140-Coordenadas!$C$169)^2+(Coordenadas!$D$140-Coordenadas!$D$169)^2)&lt;=LEEME!$B$20,EXP(-LEEME!$B$19*SQRT((Coordenadas!$C$140-Coordenadas!$C$169)^2+(Coordenadas!$D$140-Coordenadas!$D$169)^2)),0)</f>
        <v>0.412807464472437</v>
      </c>
    </row>
    <row r="912" customFormat="false" ht="15" hidden="false" customHeight="false" outlineLevel="0" collapsed="false">
      <c r="A912" s="0" t="s">
        <v>187</v>
      </c>
      <c r="B912" s="0" t="s">
        <v>276</v>
      </c>
      <c r="C912" s="17" t="n">
        <f aca="false">IF(SQRT((Coordenadas!$C$140-Coordenadas!$C$171)^2+(Coordenadas!$D$140-Coordenadas!$D$171)^2)&lt;=LEEME!$B$20,EXP(-LEEME!$B$19*SQRT((Coordenadas!$C$140-Coordenadas!$C$171)^2+(Coordenadas!$D$140-Coordenadas!$D$171)^2)),0)</f>
        <v>0.454268928195936</v>
      </c>
    </row>
    <row r="913" customFormat="false" ht="15" hidden="false" customHeight="false" outlineLevel="0" collapsed="false">
      <c r="A913" s="0" t="s">
        <v>187</v>
      </c>
      <c r="B913" s="0" t="s">
        <v>282</v>
      </c>
      <c r="C913" s="17" t="n">
        <f aca="false">IF(SQRT((Coordenadas!$C$140-Coordenadas!$C$177)^2+(Coordenadas!$D$140-Coordenadas!$D$177)^2)&lt;=LEEME!$B$20,EXP(-LEEME!$B$19*SQRT((Coordenadas!$C$140-Coordenadas!$C$177)^2+(Coordenadas!$D$140-Coordenadas!$D$177)^2)),0)</f>
        <v>0.546255026315158</v>
      </c>
    </row>
    <row r="914" customFormat="false" ht="15" hidden="false" customHeight="false" outlineLevel="0" collapsed="false">
      <c r="A914" s="0" t="s">
        <v>187</v>
      </c>
      <c r="B914" s="0" t="s">
        <v>285</v>
      </c>
      <c r="C914" s="17" t="n">
        <f aca="false">IF(SQRT((Coordenadas!$C$140-Coordenadas!$C$180)^2+(Coordenadas!$D$140-Coordenadas!$D$180)^2)&lt;=LEEME!$B$20,EXP(-LEEME!$B$19*SQRT((Coordenadas!$C$140-Coordenadas!$C$180)^2+(Coordenadas!$D$140-Coordenadas!$D$180)^2)),0)</f>
        <v>0.586272269849017</v>
      </c>
    </row>
    <row r="915" customFormat="false" ht="15" hidden="false" customHeight="false" outlineLevel="0" collapsed="false">
      <c r="A915" s="0" t="s">
        <v>187</v>
      </c>
      <c r="B915" s="0" t="s">
        <v>286</v>
      </c>
      <c r="C915" s="17" t="n">
        <f aca="false">IF(SQRT((Coordenadas!$C$140-Coordenadas!$C$181)^2+(Coordenadas!$D$140-Coordenadas!$D$181)^2)&lt;=LEEME!$B$20,EXP(-LEEME!$B$19*SQRT((Coordenadas!$C$140-Coordenadas!$C$181)^2+(Coordenadas!$D$140-Coordenadas!$D$181)^2)),0)</f>
        <v>0.529175372227292</v>
      </c>
    </row>
    <row r="916" customFormat="false" ht="15" hidden="false" customHeight="false" outlineLevel="0" collapsed="false">
      <c r="A916" s="0" t="s">
        <v>187</v>
      </c>
      <c r="B916" s="0" t="s">
        <v>290</v>
      </c>
      <c r="C916" s="17" t="n">
        <f aca="false">IF(SQRT((Coordenadas!$C$140-Coordenadas!$C$185)^2+(Coordenadas!$D$140-Coordenadas!$D$185)^2)&lt;=LEEME!$B$20,EXP(-LEEME!$B$19*SQRT((Coordenadas!$C$140-Coordenadas!$C$185)^2+(Coordenadas!$D$140-Coordenadas!$D$185)^2)),0)</f>
        <v>0.385761456630233</v>
      </c>
    </row>
    <row r="917" customFormat="false" ht="15" hidden="false" customHeight="false" outlineLevel="0" collapsed="false">
      <c r="A917" s="0" t="s">
        <v>187</v>
      </c>
      <c r="B917" s="0" t="s">
        <v>293</v>
      </c>
      <c r="C917" s="17" t="n">
        <f aca="false">IF(SQRT((Coordenadas!$C$140-Coordenadas!$C$188)^2+(Coordenadas!$D$140-Coordenadas!$D$188)^2)&lt;=LEEME!$B$20,EXP(-LEEME!$B$19*SQRT((Coordenadas!$C$140-Coordenadas!$C$188)^2+(Coordenadas!$D$140-Coordenadas!$D$188)^2)),0)</f>
        <v>0.39170094134677</v>
      </c>
    </row>
    <row r="918" customFormat="false" ht="15" hidden="false" customHeight="false" outlineLevel="0" collapsed="false">
      <c r="A918" s="0" t="s">
        <v>188</v>
      </c>
      <c r="B918" s="0" t="s">
        <v>279</v>
      </c>
      <c r="C918" s="17" t="n">
        <f aca="false">IF(SQRT((Coordenadas!$C$141-Coordenadas!$C$174)^2+(Coordenadas!$D$141-Coordenadas!$D$174)^2)&lt;=LEEME!$B$20,EXP(-LEEME!$B$19*SQRT((Coordenadas!$C$141-Coordenadas!$C$174)^2+(Coordenadas!$D$141-Coordenadas!$D$174)^2)),0)</f>
        <v>0.419500087373013</v>
      </c>
    </row>
    <row r="919" customFormat="false" ht="15" hidden="false" customHeight="false" outlineLevel="0" collapsed="false">
      <c r="A919" s="0" t="s">
        <v>188</v>
      </c>
      <c r="B919" s="0" t="s">
        <v>282</v>
      </c>
      <c r="C919" s="17" t="n">
        <f aca="false">IF(SQRT((Coordenadas!$C$141-Coordenadas!$C$177)^2+(Coordenadas!$D$141-Coordenadas!$D$177)^2)&lt;=LEEME!$B$20,EXP(-LEEME!$B$19*SQRT((Coordenadas!$C$141-Coordenadas!$C$177)^2+(Coordenadas!$D$141-Coordenadas!$D$177)^2)),0)</f>
        <v>0.686717410741224</v>
      </c>
    </row>
    <row r="920" customFormat="false" ht="15" hidden="false" customHeight="false" outlineLevel="0" collapsed="false">
      <c r="A920" s="0" t="s">
        <v>188</v>
      </c>
      <c r="B920" s="0" t="s">
        <v>285</v>
      </c>
      <c r="C920" s="17" t="n">
        <f aca="false">IF(SQRT((Coordenadas!$C$141-Coordenadas!$C$180)^2+(Coordenadas!$D$141-Coordenadas!$D$180)^2)&lt;=LEEME!$B$20,EXP(-LEEME!$B$19*SQRT((Coordenadas!$C$141-Coordenadas!$C$180)^2+(Coordenadas!$D$141-Coordenadas!$D$180)^2)),0)</f>
        <v>0.450427217094939</v>
      </c>
    </row>
    <row r="921" customFormat="false" ht="15" hidden="false" customHeight="false" outlineLevel="0" collapsed="false">
      <c r="A921" s="0" t="s">
        <v>188</v>
      </c>
      <c r="B921" s="0" t="s">
        <v>286</v>
      </c>
      <c r="C921" s="17" t="n">
        <f aca="false">IF(SQRT((Coordenadas!$C$141-Coordenadas!$C$181)^2+(Coordenadas!$D$141-Coordenadas!$D$181)^2)&lt;=LEEME!$B$20,EXP(-LEEME!$B$19*SQRT((Coordenadas!$C$141-Coordenadas!$C$181)^2+(Coordenadas!$D$141-Coordenadas!$D$181)^2)),0)</f>
        <v>0.619154359958483</v>
      </c>
    </row>
    <row r="922" customFormat="false" ht="15" hidden="false" customHeight="false" outlineLevel="0" collapsed="false">
      <c r="A922" s="0" t="s">
        <v>189</v>
      </c>
      <c r="B922" s="0" t="s">
        <v>279</v>
      </c>
      <c r="C922" s="17" t="n">
        <f aca="false">IF(SQRT((Coordenadas!$C$142-Coordenadas!$C$174)^2+(Coordenadas!$D$142-Coordenadas!$D$174)^2)&lt;=LEEME!$B$20,EXP(-LEEME!$B$19*SQRT((Coordenadas!$C$142-Coordenadas!$C$174)^2+(Coordenadas!$D$142-Coordenadas!$D$174)^2)),0)</f>
        <v>0.41255102169393</v>
      </c>
    </row>
    <row r="923" customFormat="false" ht="15" hidden="false" customHeight="false" outlineLevel="0" collapsed="false">
      <c r="A923" s="0" t="s">
        <v>189</v>
      </c>
      <c r="B923" s="0" t="s">
        <v>282</v>
      </c>
      <c r="C923" s="17" t="n">
        <f aca="false">IF(SQRT((Coordenadas!$C$142-Coordenadas!$C$177)^2+(Coordenadas!$D$142-Coordenadas!$D$177)^2)&lt;=LEEME!$B$20,EXP(-LEEME!$B$19*SQRT((Coordenadas!$C$142-Coordenadas!$C$177)^2+(Coordenadas!$D$142-Coordenadas!$D$177)^2)),0)</f>
        <v>0.774574993536843</v>
      </c>
    </row>
    <row r="924" customFormat="false" ht="15" hidden="false" customHeight="false" outlineLevel="0" collapsed="false">
      <c r="A924" s="0" t="s">
        <v>189</v>
      </c>
      <c r="B924" s="0" t="s">
        <v>285</v>
      </c>
      <c r="C924" s="17" t="n">
        <f aca="false">IF(SQRT((Coordenadas!$C$142-Coordenadas!$C$180)^2+(Coordenadas!$D$142-Coordenadas!$D$180)^2)&lt;=LEEME!$B$20,EXP(-LEEME!$B$19*SQRT((Coordenadas!$C$142-Coordenadas!$C$180)^2+(Coordenadas!$D$142-Coordenadas!$D$180)^2)),0)</f>
        <v>0.475540400020591</v>
      </c>
    </row>
    <row r="925" customFormat="false" ht="15" hidden="false" customHeight="false" outlineLevel="0" collapsed="false">
      <c r="A925" s="0" t="s">
        <v>189</v>
      </c>
      <c r="B925" s="0" t="s">
        <v>286</v>
      </c>
      <c r="C925" s="17" t="n">
        <f aca="false">IF(SQRT((Coordenadas!$C$142-Coordenadas!$C$181)^2+(Coordenadas!$D$142-Coordenadas!$D$181)^2)&lt;=LEEME!$B$20,EXP(-LEEME!$B$19*SQRT((Coordenadas!$C$142-Coordenadas!$C$181)^2+(Coordenadas!$D$142-Coordenadas!$D$181)^2)),0)</f>
        <v>0.715872716363073</v>
      </c>
    </row>
    <row r="926" customFormat="false" ht="15" hidden="false" customHeight="false" outlineLevel="0" collapsed="false">
      <c r="A926" s="0" t="s">
        <v>189</v>
      </c>
      <c r="B926" s="0" t="s">
        <v>287</v>
      </c>
      <c r="C926" s="17" t="n">
        <f aca="false">IF(SQRT((Coordenadas!$C$142-Coordenadas!$C$182)^2+(Coordenadas!$D$142-Coordenadas!$D$182)^2)&lt;=LEEME!$B$20,EXP(-LEEME!$B$19*SQRT((Coordenadas!$C$142-Coordenadas!$C$182)^2+(Coordenadas!$D$142-Coordenadas!$D$182)^2)),0)</f>
        <v>0.384651035755967</v>
      </c>
    </row>
    <row r="927" customFormat="false" ht="15" hidden="false" customHeight="false" outlineLevel="0" collapsed="false">
      <c r="A927" s="0" t="s">
        <v>189</v>
      </c>
      <c r="B927" s="0" t="s">
        <v>293</v>
      </c>
      <c r="C927" s="17" t="n">
        <f aca="false">IF(SQRT((Coordenadas!$C$142-Coordenadas!$C$188)^2+(Coordenadas!$D$142-Coordenadas!$D$188)^2)&lt;=LEEME!$B$20,EXP(-LEEME!$B$19*SQRT((Coordenadas!$C$142-Coordenadas!$C$188)^2+(Coordenadas!$D$142-Coordenadas!$D$188)^2)),0)</f>
        <v>0.409752347892828</v>
      </c>
    </row>
    <row r="928" customFormat="false" ht="15" hidden="false" customHeight="false" outlineLevel="0" collapsed="false">
      <c r="A928" s="0" t="s">
        <v>190</v>
      </c>
      <c r="B928" s="0" t="s">
        <v>279</v>
      </c>
      <c r="C928" s="17" t="n">
        <f aca="false">IF(SQRT((Coordenadas!$C$143-Coordenadas!$C$174)^2+(Coordenadas!$D$143-Coordenadas!$D$174)^2)&lt;=LEEME!$B$20,EXP(-LEEME!$B$19*SQRT((Coordenadas!$C$143-Coordenadas!$C$174)^2+(Coordenadas!$D$143-Coordenadas!$D$174)^2)),0)</f>
        <v>0.507316645460943</v>
      </c>
    </row>
    <row r="929" customFormat="false" ht="15" hidden="false" customHeight="false" outlineLevel="0" collapsed="false">
      <c r="A929" s="0" t="s">
        <v>190</v>
      </c>
      <c r="B929" s="0" t="s">
        <v>282</v>
      </c>
      <c r="C929" s="17" t="n">
        <f aca="false">IF(SQRT((Coordenadas!$C$143-Coordenadas!$C$177)^2+(Coordenadas!$D$143-Coordenadas!$D$177)^2)&lt;=LEEME!$B$20,EXP(-LEEME!$B$19*SQRT((Coordenadas!$C$143-Coordenadas!$C$177)^2+(Coordenadas!$D$143-Coordenadas!$D$177)^2)),0)</f>
        <v>0.627983194904545</v>
      </c>
    </row>
    <row r="930" customFormat="false" ht="15" hidden="false" customHeight="false" outlineLevel="0" collapsed="false">
      <c r="A930" s="0" t="s">
        <v>190</v>
      </c>
      <c r="B930" s="0" t="s">
        <v>286</v>
      </c>
      <c r="C930" s="17" t="n">
        <f aca="false">IF(SQRT((Coordenadas!$C$143-Coordenadas!$C$181)^2+(Coordenadas!$D$143-Coordenadas!$D$181)^2)&lt;=LEEME!$B$20,EXP(-LEEME!$B$19*SQRT((Coordenadas!$C$143-Coordenadas!$C$181)^2+(Coordenadas!$D$143-Coordenadas!$D$181)^2)),0)</f>
        <v>0.542008015305853</v>
      </c>
    </row>
    <row r="931" customFormat="false" ht="15" hidden="false" customHeight="false" outlineLevel="0" collapsed="false">
      <c r="A931" s="0" t="s">
        <v>190</v>
      </c>
      <c r="B931" s="0" t="s">
        <v>287</v>
      </c>
      <c r="C931" s="17" t="n">
        <f aca="false">IF(SQRT((Coordenadas!$C$143-Coordenadas!$C$182)^2+(Coordenadas!$D$143-Coordenadas!$D$182)^2)&lt;=LEEME!$B$20,EXP(-LEEME!$B$19*SQRT((Coordenadas!$C$143-Coordenadas!$C$182)^2+(Coordenadas!$D$143-Coordenadas!$D$182)^2)),0)</f>
        <v>0.380707042796048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25"/>
  </cols>
  <sheetData>
    <row r="1" customFormat="false" ht="33" hidden="false" customHeight="true" outlineLevel="0" collapsed="false">
      <c r="A1" s="18" t="s">
        <v>309</v>
      </c>
      <c r="B1" s="18" t="s">
        <v>310</v>
      </c>
      <c r="C1" s="18" t="s">
        <v>311</v>
      </c>
      <c r="D1" s="18" t="s">
        <v>312</v>
      </c>
      <c r="E1" s="18" t="s">
        <v>313</v>
      </c>
    </row>
    <row r="2" customFormat="false" ht="24" hidden="false" customHeight="true" outlineLevel="0" collapsed="false">
      <c r="A2" s="19" t="s">
        <v>314</v>
      </c>
      <c r="B2" s="20" t="n">
        <v>1.5</v>
      </c>
      <c r="C2" s="21" t="n">
        <v>222000</v>
      </c>
      <c r="D2" s="20" t="n">
        <v>5.5</v>
      </c>
      <c r="E2" s="22" t="n">
        <v>1</v>
      </c>
    </row>
    <row r="3" customFormat="false" ht="24" hidden="false" customHeight="true" outlineLevel="0" collapsed="false">
      <c r="A3" s="19" t="s">
        <v>315</v>
      </c>
      <c r="B3" s="20" t="n">
        <v>2.4</v>
      </c>
      <c r="C3" s="21" t="n">
        <v>287000</v>
      </c>
      <c r="D3" s="20" t="n">
        <v>8.8</v>
      </c>
      <c r="E3" s="22" t="n">
        <v>1</v>
      </c>
    </row>
    <row r="4" customFormat="false" ht="24" hidden="false" customHeight="true" outlineLevel="0" collapsed="false">
      <c r="A4" s="19" t="s">
        <v>316</v>
      </c>
      <c r="B4" s="20" t="n">
        <v>4</v>
      </c>
      <c r="C4" s="21" t="n">
        <v>384000</v>
      </c>
      <c r="D4" s="20" t="n">
        <v>20.8</v>
      </c>
      <c r="E4" s="2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1"/>
    <col collapsed="false" customWidth="true" hidden="false" outlineLevel="0" max="3" min="3" style="0" width="29"/>
  </cols>
  <sheetData>
    <row r="1" customFormat="false" ht="15" hidden="false" customHeight="false" outlineLevel="0" collapsed="false">
      <c r="A1" s="0" t="s">
        <v>317</v>
      </c>
      <c r="B1" s="0" t="s">
        <v>318</v>
      </c>
      <c r="C1" s="0" t="s">
        <v>319</v>
      </c>
    </row>
    <row r="2" customFormat="false" ht="15" hidden="false" customHeight="false" outlineLevel="0" collapsed="false">
      <c r="A2" s="0" t="s">
        <v>320</v>
      </c>
      <c r="B2" s="13" t="n">
        <v>10</v>
      </c>
      <c r="C2" s="0" t="s">
        <v>321</v>
      </c>
    </row>
    <row r="3" customFormat="false" ht="15" hidden="false" customHeight="false" outlineLevel="0" collapsed="false">
      <c r="A3" s="0" t="s">
        <v>322</v>
      </c>
      <c r="B3" s="23" t="n">
        <v>180000000</v>
      </c>
      <c r="C3" s="0" t="s">
        <v>323</v>
      </c>
    </row>
    <row r="4" customFormat="false" ht="15" hidden="false" customHeight="false" outlineLevel="0" collapsed="false">
      <c r="A4" s="0" t="s">
        <v>324</v>
      </c>
      <c r="B4" s="23" t="n">
        <v>36000000</v>
      </c>
      <c r="C4" s="0" t="s">
        <v>325</v>
      </c>
    </row>
    <row r="5" customFormat="false" ht="15" hidden="false" customHeight="false" outlineLevel="0" collapsed="false">
      <c r="A5" s="0" t="s">
        <v>326</v>
      </c>
      <c r="B5" s="24" t="n">
        <v>0.05</v>
      </c>
      <c r="C5" s="0" t="s">
        <v>327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7" min="27" style="0" width="8"/>
    <col collapsed="false" customWidth="true" hidden="false" outlineLevel="0" max="28" min="28" style="0" width="7"/>
    <col collapsed="false" customWidth="true" hidden="false" outlineLevel="0" max="29" min="29" style="0" width="44"/>
    <col collapsed="false" customWidth="true" hidden="false" outlineLevel="0" max="36" min="30" style="0" width="16"/>
  </cols>
  <sheetData>
    <row r="1" customFormat="false" ht="15" hidden="false" customHeight="false" outlineLevel="0" collapsed="false">
      <c r="A1" s="25" t="s">
        <v>42</v>
      </c>
      <c r="B1" s="25" t="s">
        <v>44</v>
      </c>
      <c r="C1" s="25" t="s">
        <v>328</v>
      </c>
      <c r="D1" s="25"/>
      <c r="E1" s="25"/>
      <c r="F1" s="25"/>
      <c r="G1" s="25"/>
      <c r="H1" s="25" t="s">
        <v>329</v>
      </c>
      <c r="I1" s="25"/>
      <c r="J1" s="25"/>
      <c r="K1" s="25"/>
      <c r="L1" s="25"/>
      <c r="M1" s="25" t="s">
        <v>330</v>
      </c>
      <c r="N1" s="25"/>
      <c r="O1" s="25"/>
      <c r="P1" s="25"/>
      <c r="Q1" s="25"/>
      <c r="R1" s="25"/>
      <c r="S1" s="25"/>
      <c r="T1" s="25" t="s">
        <v>331</v>
      </c>
      <c r="U1" s="25" t="s">
        <v>332</v>
      </c>
      <c r="V1" s="25"/>
      <c r="W1" s="25"/>
      <c r="X1" s="25"/>
      <c r="Y1" s="25"/>
      <c r="AA1" s="7" t="s">
        <v>333</v>
      </c>
    </row>
    <row r="2" customFormat="false" ht="15" hidden="false" customHeight="false" outlineLevel="0" collapsed="false">
      <c r="A2" s="25"/>
      <c r="B2" s="25"/>
      <c r="C2" s="25" t="s">
        <v>232</v>
      </c>
      <c r="D2" s="25" t="s">
        <v>233</v>
      </c>
      <c r="E2" s="25" t="s">
        <v>234</v>
      </c>
      <c r="F2" s="25" t="s">
        <v>235</v>
      </c>
      <c r="G2" s="25" t="s">
        <v>236</v>
      </c>
      <c r="H2" s="25" t="s">
        <v>232</v>
      </c>
      <c r="I2" s="25" t="s">
        <v>233</v>
      </c>
      <c r="J2" s="25" t="s">
        <v>234</v>
      </c>
      <c r="K2" s="25" t="s">
        <v>235</v>
      </c>
      <c r="L2" s="25" t="s">
        <v>236</v>
      </c>
      <c r="M2" s="25" t="s">
        <v>193</v>
      </c>
      <c r="N2" s="25" t="s">
        <v>194</v>
      </c>
      <c r="O2" s="25" t="s">
        <v>195</v>
      </c>
      <c r="P2" s="25" t="s">
        <v>196</v>
      </c>
      <c r="Q2" s="25" t="s">
        <v>197</v>
      </c>
      <c r="R2" s="25" t="s">
        <v>198</v>
      </c>
      <c r="S2" s="25" t="s">
        <v>199</v>
      </c>
      <c r="T2" s="25"/>
      <c r="U2" s="25" t="s">
        <v>232</v>
      </c>
      <c r="V2" s="25" t="s">
        <v>233</v>
      </c>
      <c r="W2" s="25" t="s">
        <v>234</v>
      </c>
      <c r="X2" s="25" t="s">
        <v>235</v>
      </c>
      <c r="Y2" s="25" t="s">
        <v>236</v>
      </c>
    </row>
    <row r="3" customFormat="false" ht="15" hidden="false" customHeight="false" outlineLevel="0" collapsed="false">
      <c r="A3" s="0" t="s">
        <v>45</v>
      </c>
      <c r="B3" s="0" t="n">
        <f aca="false">SUMIFS(Sectores!$C:$C,Sectores!$A:$A,$A3)</f>
        <v>2849</v>
      </c>
      <c r="C3" s="0" t="n">
        <f aca="false">SUMIFS(Generacion!$C:$C,Generacion!$A:$A,$A3,Generacion!$B:$B,C$2)</f>
        <v>0.0435338767065874</v>
      </c>
      <c r="D3" s="0" t="n">
        <f aca="false">SUMIFS(Generacion!$C:$C,Generacion!$A:$A,$A3,Generacion!$B:$B,D$2)</f>
        <v>0.0378709333951614</v>
      </c>
      <c r="E3" s="0" t="n">
        <f aca="false">SUMIFS(Generacion!$C:$C,Generacion!$A:$A,$A3,Generacion!$B:$B,E$2)</f>
        <v>0.0134494903646368</v>
      </c>
      <c r="F3" s="0" t="n">
        <f aca="false">SUMIFS(Generacion!$C:$C,Generacion!$A:$A,$A3,Generacion!$B:$B,F$2)</f>
        <v>0.00353933956964125</v>
      </c>
      <c r="G3" s="0" t="n">
        <f aca="false">SUMIFS(Generacion!$C:$C,Generacion!$A:$A,$A3,Generacion!$B:$B,G$2)</f>
        <v>0.00247753769874887</v>
      </c>
      <c r="H3" s="0" t="n">
        <f aca="false">SUMPRODUCT((AtractivoAlternativas!$A$2:$A$931=$A3)*AtractivoAlternativas!$C$2:$C$931*COUNTIFS(Alternativas!$A$2:$A$51,AtractivoAlternativas!$B$2:$B$931,Alternativas!$B$2:$B$51,H$2))</f>
        <v>1.2146453223399</v>
      </c>
      <c r="I3" s="0" t="n">
        <f aca="false">SUMPRODUCT((AtractivoAlternativas!$A$2:$A$931=$A3)*AtractivoAlternativas!$C$2:$C$931*COUNTIFS(Alternativas!$A$2:$A$51,AtractivoAlternativas!$B$2:$B$931,Alternativas!$B$2:$B$51,I$2))</f>
        <v>3.33231387863819</v>
      </c>
      <c r="J3" s="0" t="n">
        <f aca="false">SUMPRODUCT((AtractivoAlternativas!$A$2:$A$931=$A3)*AtractivoAlternativas!$C$2:$C$931*COUNTIFS(Alternativas!$A$2:$A$51,AtractivoAlternativas!$B$2:$B$931,Alternativas!$B$2:$B$51,J$2))</f>
        <v>2.1497190825291</v>
      </c>
      <c r="K3" s="0" t="n">
        <f aca="false">SUMPRODUCT((AtractivoAlternativas!$A$2:$A$931=$A3)*AtractivoAlternativas!$C$2:$C$931*COUNTIFS(Alternativas!$A$2:$A$51,AtractivoAlternativas!$B$2:$B$931,Alternativas!$B$2:$B$51,K$2))</f>
        <v>0</v>
      </c>
      <c r="L3" s="0" t="n">
        <f aca="false">SUMPRODUCT((AtractivoAlternativas!$A$2:$A$931=$A3)*AtractivoAlternativas!$C$2:$C$931*COUNTIFS(Alternativas!$A$2:$A$51,AtractivoAlternativas!$B$2:$B$931,Alternativas!$B$2:$B$51,L$2))</f>
        <v>0</v>
      </c>
      <c r="M3" s="0" t="n">
        <f aca="false">SUMIFS(AtractivoSitios!$C:$C,AtractivoSitios!$A:$A,$A3,AtractivoSitios!$B:$B,M$2)</f>
        <v>0</v>
      </c>
      <c r="N3" s="0" t="n">
        <f aca="false">SUMIFS(AtractivoSitios!$C:$C,AtractivoSitios!$A:$A,$A3,AtractivoSitios!$B:$B,N$2)</f>
        <v>0</v>
      </c>
      <c r="O3" s="0" t="n">
        <f aca="false">SUMIFS(AtractivoSitios!$C:$C,AtractivoSitios!$A:$A,$A3,AtractivoSitios!$B:$B,O$2)</f>
        <v>0</v>
      </c>
      <c r="P3" s="0" t="n">
        <f aca="false">SUMIFS(AtractivoSitios!$C:$C,AtractivoSitios!$A:$A,$A3,AtractivoSitios!$B:$B,P$2)</f>
        <v>0</v>
      </c>
      <c r="Q3" s="0" t="n">
        <f aca="false">SUMIFS(AtractivoSitios!$C:$C,AtractivoSitios!$A:$A,$A3,AtractivoSitios!$B:$B,Q$2)</f>
        <v>0</v>
      </c>
      <c r="R3" s="0" t="n">
        <f aca="false">SUMIFS(AtractivoSitios!$C:$C,AtractivoSitios!$A:$A,$A3,AtractivoSitios!$B:$B,R$2)</f>
        <v>0</v>
      </c>
      <c r="S3" s="0" t="n">
        <f aca="false">SUMIFS(AtractivoSitios!$C:$C,AtractivoSitios!$A:$A,$A3,AtractivoSitios!$B:$B,S$2)</f>
        <v>0</v>
      </c>
      <c r="T3" s="0" t="n">
        <f aca="false">SUM(M3:S3)</f>
        <v>0</v>
      </c>
      <c r="U3" s="0" t="n">
        <f aca="false">C3/(AD$4+H3+$T3)</f>
        <v>0.000192128519089808</v>
      </c>
      <c r="V3" s="0" t="n">
        <f aca="false">D3/(AE$4+I3+$T3)</f>
        <v>5.54378529057363E-005</v>
      </c>
      <c r="W3" s="0" t="n">
        <f aca="false">E3/(AF$4+J3+$T3)</f>
        <v>0.000312177971790288</v>
      </c>
      <c r="X3" s="0" t="n">
        <f aca="false">F3/(AG$4+K3+$T3)</f>
        <v>1.74692733442245E-005</v>
      </c>
      <c r="Y3" s="0" t="n">
        <f aca="false">G3/(AH$4+L3+$T3)</f>
        <v>1.08336204240265E-005</v>
      </c>
      <c r="AC3" s="7" t="s">
        <v>230</v>
      </c>
      <c r="AD3" s="7" t="s">
        <v>232</v>
      </c>
      <c r="AE3" s="7" t="s">
        <v>233</v>
      </c>
      <c r="AF3" s="7" t="s">
        <v>234</v>
      </c>
      <c r="AG3" s="7" t="s">
        <v>235</v>
      </c>
      <c r="AH3" s="7" t="s">
        <v>236</v>
      </c>
    </row>
    <row r="4" customFormat="false" ht="15" hidden="false" customHeight="false" outlineLevel="0" collapsed="false">
      <c r="A4" s="0" t="s">
        <v>47</v>
      </c>
      <c r="B4" s="0" t="n">
        <f aca="false">SUMIFS(Sectores!$C:$C,Sectores!$A:$A,$A4)</f>
        <v>5671</v>
      </c>
      <c r="C4" s="0" t="n">
        <f aca="false">SUMIFS(Generacion!$C:$C,Generacion!$A:$A,$A4,Generacion!$B:$B,C$2)</f>
        <v>0.0435338767065874</v>
      </c>
      <c r="D4" s="0" t="n">
        <f aca="false">SUMIFS(Generacion!$C:$C,Generacion!$A:$A,$A4,Generacion!$B:$B,D$2)</f>
        <v>0.0378709333951614</v>
      </c>
      <c r="E4" s="0" t="n">
        <f aca="false">SUMIFS(Generacion!$C:$C,Generacion!$A:$A,$A4,Generacion!$B:$B,E$2)</f>
        <v>0.0134494903646368</v>
      </c>
      <c r="F4" s="0" t="n">
        <f aca="false">SUMIFS(Generacion!$C:$C,Generacion!$A:$A,$A4,Generacion!$B:$B,F$2)</f>
        <v>0.00353933956964125</v>
      </c>
      <c r="G4" s="0" t="n">
        <f aca="false">SUMIFS(Generacion!$C:$C,Generacion!$A:$A,$A4,Generacion!$B:$B,G$2)</f>
        <v>0.00247753769874887</v>
      </c>
      <c r="H4" s="0" t="n">
        <f aca="false">SUMPRODUCT((AtractivoAlternativas!$A$2:$A$931=$A4)*AtractivoAlternativas!$C$2:$C$931*COUNTIFS(Alternativas!$A$2:$A$51,AtractivoAlternativas!$B$2:$B$931,Alternativas!$B$2:$B$51,H$2))</f>
        <v>1.22189193831657</v>
      </c>
      <c r="I4" s="0" t="n">
        <f aca="false">SUMPRODUCT((AtractivoAlternativas!$A$2:$A$931=$A4)*AtractivoAlternativas!$C$2:$C$931*COUNTIFS(Alternativas!$A$2:$A$51,AtractivoAlternativas!$B$2:$B$931,Alternativas!$B$2:$B$51,I$2))</f>
        <v>3.38754705253314</v>
      </c>
      <c r="J4" s="0" t="n">
        <f aca="false">SUMPRODUCT((AtractivoAlternativas!$A$2:$A$931=$A4)*AtractivoAlternativas!$C$2:$C$931*COUNTIFS(Alternativas!$A$2:$A$51,AtractivoAlternativas!$B$2:$B$931,Alternativas!$B$2:$B$51,J$2))</f>
        <v>2.29000331390241</v>
      </c>
      <c r="K4" s="0" t="n">
        <f aca="false">SUMPRODUCT((AtractivoAlternativas!$A$2:$A$931=$A4)*AtractivoAlternativas!$C$2:$C$931*COUNTIFS(Alternativas!$A$2:$A$51,AtractivoAlternativas!$B$2:$B$931,Alternativas!$B$2:$B$51,K$2))</f>
        <v>0</v>
      </c>
      <c r="L4" s="0" t="n">
        <f aca="false">SUMPRODUCT((AtractivoAlternativas!$A$2:$A$931=$A4)*AtractivoAlternativas!$C$2:$C$931*COUNTIFS(Alternativas!$A$2:$A$51,AtractivoAlternativas!$B$2:$B$931,Alternativas!$B$2:$B$51,L$2))</f>
        <v>0</v>
      </c>
      <c r="M4" s="0" t="n">
        <f aca="false">SUMIFS(AtractivoSitios!$C:$C,AtractivoSitios!$A:$A,$A4,AtractivoSitios!$B:$B,M$2)</f>
        <v>0</v>
      </c>
      <c r="N4" s="0" t="n">
        <f aca="false">SUMIFS(AtractivoSitios!$C:$C,AtractivoSitios!$A:$A,$A4,AtractivoSitios!$B:$B,N$2)</f>
        <v>0</v>
      </c>
      <c r="O4" s="0" t="n">
        <f aca="false">SUMIFS(AtractivoSitios!$C:$C,AtractivoSitios!$A:$A,$A4,AtractivoSitios!$B:$B,O$2)</f>
        <v>0</v>
      </c>
      <c r="P4" s="0" t="n">
        <f aca="false">SUMIFS(AtractivoSitios!$C:$C,AtractivoSitios!$A:$A,$A4,AtractivoSitios!$B:$B,P$2)</f>
        <v>0</v>
      </c>
      <c r="Q4" s="0" t="n">
        <f aca="false">SUMIFS(AtractivoSitios!$C:$C,AtractivoSitios!$A:$A,$A4,AtractivoSitios!$B:$B,Q$2)</f>
        <v>0</v>
      </c>
      <c r="R4" s="0" t="n">
        <f aca="false">SUMIFS(AtractivoSitios!$C:$C,AtractivoSitios!$A:$A,$A4,AtractivoSitios!$B:$B,R$2)</f>
        <v>0</v>
      </c>
      <c r="S4" s="0" t="n">
        <f aca="false">SUMIFS(AtractivoSitios!$C:$C,AtractivoSitios!$A:$A,$A4,AtractivoSitios!$B:$B,S$2)</f>
        <v>0</v>
      </c>
      <c r="T4" s="0" t="n">
        <f aca="false">SUM(M4:S4)</f>
        <v>0</v>
      </c>
      <c r="U4" s="0" t="n">
        <f aca="false">C4/(AD$4+H4+$T4)</f>
        <v>0.000192122374715203</v>
      </c>
      <c r="V4" s="0" t="n">
        <f aca="false">D4/(AE$4+I4+$T4)</f>
        <v>5.54333709074975E-005</v>
      </c>
      <c r="W4" s="0" t="n">
        <f aca="false">E4/(AF$4+J4+$T4)</f>
        <v>0.000311164770568755</v>
      </c>
      <c r="X4" s="0" t="n">
        <f aca="false">F4/(AG$4+K4+$T4)</f>
        <v>1.74692733442245E-005</v>
      </c>
      <c r="Y4" s="0" t="n">
        <f aca="false">G4/(AH$4+L4+$T4)</f>
        <v>1.08336204240265E-005</v>
      </c>
      <c r="AC4" s="7" t="s">
        <v>334</v>
      </c>
      <c r="AD4" s="26" t="n">
        <v>225.372625077835</v>
      </c>
      <c r="AE4" s="26" t="n">
        <v>679.791786536203</v>
      </c>
      <c r="AF4" s="26" t="n">
        <v>40.9330464550462</v>
      </c>
      <c r="AG4" s="26" t="n">
        <v>202.603708803456</v>
      </c>
      <c r="AH4" s="26" t="n">
        <v>228.689727143685</v>
      </c>
    </row>
    <row r="5" customFormat="false" ht="15" hidden="false" customHeight="false" outlineLevel="0" collapsed="false">
      <c r="A5" s="0" t="s">
        <v>48</v>
      </c>
      <c r="B5" s="0" t="n">
        <f aca="false">SUMIFS(Sectores!$C:$C,Sectores!$A:$A,$A5)</f>
        <v>2170</v>
      </c>
      <c r="C5" s="0" t="n">
        <f aca="false">SUMIFS(Generacion!$C:$C,Generacion!$A:$A,$A5,Generacion!$B:$B,C$2)</f>
        <v>0.0435338767065874</v>
      </c>
      <c r="D5" s="0" t="n">
        <f aca="false">SUMIFS(Generacion!$C:$C,Generacion!$A:$A,$A5,Generacion!$B:$B,D$2)</f>
        <v>0.0378709333951614</v>
      </c>
      <c r="E5" s="0" t="n">
        <f aca="false">SUMIFS(Generacion!$C:$C,Generacion!$A:$A,$A5,Generacion!$B:$B,E$2)</f>
        <v>0.0134494903646368</v>
      </c>
      <c r="F5" s="0" t="n">
        <f aca="false">SUMIFS(Generacion!$C:$C,Generacion!$A:$A,$A5,Generacion!$B:$B,F$2)</f>
        <v>0.00353933956964125</v>
      </c>
      <c r="G5" s="0" t="n">
        <f aca="false">SUMIFS(Generacion!$C:$C,Generacion!$A:$A,$A5,Generacion!$B:$B,G$2)</f>
        <v>0.00247753769874887</v>
      </c>
      <c r="H5" s="0" t="n">
        <f aca="false">SUMPRODUCT((AtractivoAlternativas!$A$2:$A$931=$A5)*AtractivoAlternativas!$C$2:$C$931*COUNTIFS(Alternativas!$A$2:$A$51,AtractivoAlternativas!$B$2:$B$931,Alternativas!$B$2:$B$51,H$2))</f>
        <v>1.52802100365969</v>
      </c>
      <c r="I5" s="0" t="n">
        <f aca="false">SUMPRODUCT((AtractivoAlternativas!$A$2:$A$931=$A5)*AtractivoAlternativas!$C$2:$C$931*COUNTIFS(Alternativas!$A$2:$A$51,AtractivoAlternativas!$B$2:$B$931,Alternativas!$B$2:$B$51,I$2))</f>
        <v>3.47754826319233</v>
      </c>
      <c r="J5" s="0" t="n">
        <f aca="false">SUMPRODUCT((AtractivoAlternativas!$A$2:$A$931=$A5)*AtractivoAlternativas!$C$2:$C$931*COUNTIFS(Alternativas!$A$2:$A$51,AtractivoAlternativas!$B$2:$B$931,Alternativas!$B$2:$B$51,J$2))</f>
        <v>0.960420023431301</v>
      </c>
      <c r="K5" s="0" t="n">
        <f aca="false">SUMPRODUCT((AtractivoAlternativas!$A$2:$A$931=$A5)*AtractivoAlternativas!$C$2:$C$931*COUNTIFS(Alternativas!$A$2:$A$51,AtractivoAlternativas!$B$2:$B$931,Alternativas!$B$2:$B$51,K$2))</f>
        <v>0</v>
      </c>
      <c r="L5" s="0" t="n">
        <f aca="false">SUMPRODUCT((AtractivoAlternativas!$A$2:$A$931=$A5)*AtractivoAlternativas!$C$2:$C$931*COUNTIFS(Alternativas!$A$2:$A$51,AtractivoAlternativas!$B$2:$B$931,Alternativas!$B$2:$B$51,L$2))</f>
        <v>0</v>
      </c>
      <c r="M5" s="0" t="n">
        <f aca="false">SUMIFS(AtractivoSitios!$C:$C,AtractivoSitios!$A:$A,$A5,AtractivoSitios!$B:$B,M$2)</f>
        <v>0.481537994759232</v>
      </c>
      <c r="N5" s="0" t="n">
        <f aca="false">SUMIFS(AtractivoSitios!$C:$C,AtractivoSitios!$A:$A,$A5,AtractivoSitios!$B:$B,N$2)</f>
        <v>0</v>
      </c>
      <c r="O5" s="0" t="n">
        <f aca="false">SUMIFS(AtractivoSitios!$C:$C,AtractivoSitios!$A:$A,$A5,AtractivoSitios!$B:$B,O$2)</f>
        <v>0</v>
      </c>
      <c r="P5" s="0" t="n">
        <f aca="false">SUMIFS(AtractivoSitios!$C:$C,AtractivoSitios!$A:$A,$A5,AtractivoSitios!$B:$B,P$2)</f>
        <v>0</v>
      </c>
      <c r="Q5" s="0" t="n">
        <f aca="false">SUMIFS(AtractivoSitios!$C:$C,AtractivoSitios!$A:$A,$A5,AtractivoSitios!$B:$B,Q$2)</f>
        <v>0</v>
      </c>
      <c r="R5" s="0" t="n">
        <f aca="false">SUMIFS(AtractivoSitios!$C:$C,AtractivoSitios!$A:$A,$A5,AtractivoSitios!$B:$B,R$2)</f>
        <v>0</v>
      </c>
      <c r="S5" s="0" t="n">
        <f aca="false">SUMIFS(AtractivoSitios!$C:$C,AtractivoSitios!$A:$A,$A5,AtractivoSitios!$B:$B,S$2)</f>
        <v>0</v>
      </c>
      <c r="T5" s="0" t="n">
        <f aca="false">SUM(M5:S5)</f>
        <v>0.481537994759232</v>
      </c>
      <c r="U5" s="0" t="n">
        <f aca="false">C5/(AD$4+H5+$T5)</f>
        <v>0.000191456849987808</v>
      </c>
      <c r="V5" s="0" t="n">
        <f aca="false">D5/(AE$4+I5+$T5)</f>
        <v>5.53870348134276E-005</v>
      </c>
      <c r="W5" s="0" t="n">
        <f aca="false">E5/(AF$4+J5+$T5)</f>
        <v>0.000317392069495384</v>
      </c>
      <c r="X5" s="0" t="n">
        <f aca="false">F5/(AG$4+K5+$T5)</f>
        <v>1.74278517294657E-005</v>
      </c>
      <c r="Y5" s="0" t="n">
        <f aca="false">G5/(AH$4+L5+$T5)</f>
        <v>1.08108566632565E-005</v>
      </c>
    </row>
    <row r="6" customFormat="false" ht="15" hidden="false" customHeight="false" outlineLevel="0" collapsed="false">
      <c r="A6" s="0" t="s">
        <v>49</v>
      </c>
      <c r="B6" s="0" t="n">
        <f aca="false">SUMIFS(Sectores!$C:$C,Sectores!$A:$A,$A6)</f>
        <v>1868</v>
      </c>
      <c r="C6" s="0" t="n">
        <f aca="false">SUMIFS(Generacion!$C:$C,Generacion!$A:$A,$A6,Generacion!$B:$B,C$2)</f>
        <v>0.0435338767065874</v>
      </c>
      <c r="D6" s="0" t="n">
        <f aca="false">SUMIFS(Generacion!$C:$C,Generacion!$A:$A,$A6,Generacion!$B:$B,D$2)</f>
        <v>0.0378709333951614</v>
      </c>
      <c r="E6" s="0" t="n">
        <f aca="false">SUMIFS(Generacion!$C:$C,Generacion!$A:$A,$A6,Generacion!$B:$B,E$2)</f>
        <v>0.0134494903646368</v>
      </c>
      <c r="F6" s="0" t="n">
        <f aca="false">SUMIFS(Generacion!$C:$C,Generacion!$A:$A,$A6,Generacion!$B:$B,F$2)</f>
        <v>0.00353933956964125</v>
      </c>
      <c r="G6" s="0" t="n">
        <f aca="false">SUMIFS(Generacion!$C:$C,Generacion!$A:$A,$A6,Generacion!$B:$B,G$2)</f>
        <v>0.00247753769874887</v>
      </c>
      <c r="H6" s="0" t="n">
        <f aca="false">SUMPRODUCT((AtractivoAlternativas!$A$2:$A$931=$A6)*AtractivoAlternativas!$C$2:$C$931*COUNTIFS(Alternativas!$A$2:$A$51,AtractivoAlternativas!$B$2:$B$931,Alternativas!$B$2:$B$51,H$2))</f>
        <v>1.84499619360399</v>
      </c>
      <c r="I6" s="0" t="n">
        <f aca="false">SUMPRODUCT((AtractivoAlternativas!$A$2:$A$931=$A6)*AtractivoAlternativas!$C$2:$C$931*COUNTIFS(Alternativas!$A$2:$A$51,AtractivoAlternativas!$B$2:$B$931,Alternativas!$B$2:$B$51,I$2))</f>
        <v>3.34227722515217</v>
      </c>
      <c r="J6" s="0" t="n">
        <f aca="false">SUMPRODUCT((AtractivoAlternativas!$A$2:$A$931=$A6)*AtractivoAlternativas!$C$2:$C$931*COUNTIFS(Alternativas!$A$2:$A$51,AtractivoAlternativas!$B$2:$B$931,Alternativas!$B$2:$B$51,J$2))</f>
        <v>1.53121863104186</v>
      </c>
      <c r="K6" s="0" t="n">
        <f aca="false">SUMPRODUCT((AtractivoAlternativas!$A$2:$A$931=$A6)*AtractivoAlternativas!$C$2:$C$931*COUNTIFS(Alternativas!$A$2:$A$51,AtractivoAlternativas!$B$2:$B$931,Alternativas!$B$2:$B$51,K$2))</f>
        <v>0</v>
      </c>
      <c r="L6" s="0" t="n">
        <f aca="false">SUMPRODUCT((AtractivoAlternativas!$A$2:$A$931=$A6)*AtractivoAlternativas!$C$2:$C$931*COUNTIFS(Alternativas!$A$2:$A$51,AtractivoAlternativas!$B$2:$B$931,Alternativas!$B$2:$B$51,L$2))</f>
        <v>0</v>
      </c>
      <c r="M6" s="0" t="n">
        <f aca="false">SUMIFS(AtractivoSitios!$C:$C,AtractivoSitios!$A:$A,$A6,AtractivoSitios!$B:$B,M$2)</f>
        <v>0.382793200785298</v>
      </c>
      <c r="N6" s="0" t="n">
        <f aca="false">SUMIFS(AtractivoSitios!$C:$C,AtractivoSitios!$A:$A,$A6,AtractivoSitios!$B:$B,N$2)</f>
        <v>0</v>
      </c>
      <c r="O6" s="0" t="n">
        <f aca="false">SUMIFS(AtractivoSitios!$C:$C,AtractivoSitios!$A:$A,$A6,AtractivoSitios!$B:$B,O$2)</f>
        <v>0</v>
      </c>
      <c r="P6" s="0" t="n">
        <f aca="false">SUMIFS(AtractivoSitios!$C:$C,AtractivoSitios!$A:$A,$A6,AtractivoSitios!$B:$B,P$2)</f>
        <v>0</v>
      </c>
      <c r="Q6" s="0" t="n">
        <f aca="false">SUMIFS(AtractivoSitios!$C:$C,AtractivoSitios!$A:$A,$A6,AtractivoSitios!$B:$B,Q$2)</f>
        <v>0</v>
      </c>
      <c r="R6" s="0" t="n">
        <f aca="false">SUMIFS(AtractivoSitios!$C:$C,AtractivoSitios!$A:$A,$A6,AtractivoSitios!$B:$B,R$2)</f>
        <v>0</v>
      </c>
      <c r="S6" s="0" t="n">
        <f aca="false">SUMIFS(AtractivoSitios!$C:$C,AtractivoSitios!$A:$A,$A6,AtractivoSitios!$B:$B,S$2)</f>
        <v>0</v>
      </c>
      <c r="T6" s="0" t="n">
        <f aca="false">SUM(M6:S6)</f>
        <v>0.382793200785298</v>
      </c>
      <c r="U6" s="0" t="n">
        <f aca="false">C6/(AD$4+H6+$T6)</f>
        <v>0.000191273275171914</v>
      </c>
      <c r="V6" s="0" t="n">
        <f aca="false">D6/(AE$4+I6+$T6)</f>
        <v>5.54059976859635E-005</v>
      </c>
      <c r="W6" s="0" t="n">
        <f aca="false">E6/(AF$4+J6+$T6)</f>
        <v>0.000313895303490582</v>
      </c>
      <c r="X6" s="0" t="n">
        <f aca="false">F6/(AG$4+K6+$T6)</f>
        <v>1.74363296805188E-005</v>
      </c>
      <c r="Y6" s="0" t="n">
        <f aca="false">G6/(AH$4+L6+$T6)</f>
        <v>1.08155168285714E-005</v>
      </c>
      <c r="AA6" s="25" t="s">
        <v>213</v>
      </c>
      <c r="AB6" s="25" t="s">
        <v>191</v>
      </c>
      <c r="AC6" s="25" t="s">
        <v>335</v>
      </c>
      <c r="AD6" s="25" t="s">
        <v>336</v>
      </c>
      <c r="AE6" s="25" t="s">
        <v>337</v>
      </c>
      <c r="AF6" s="25" t="s">
        <v>338</v>
      </c>
      <c r="AG6" s="25" t="s">
        <v>339</v>
      </c>
      <c r="AH6" s="25" t="s">
        <v>340</v>
      </c>
      <c r="AI6" s="25" t="s">
        <v>341</v>
      </c>
      <c r="AJ6" s="25" t="s">
        <v>342</v>
      </c>
      <c r="AK6" s="25" t="s">
        <v>343</v>
      </c>
      <c r="AL6" s="25" t="s">
        <v>344</v>
      </c>
    </row>
    <row r="7" customFormat="false" ht="15" hidden="false" customHeight="false" outlineLevel="0" collapsed="false">
      <c r="A7" s="0" t="s">
        <v>50</v>
      </c>
      <c r="B7" s="0" t="n">
        <f aca="false">SUMIFS(Sectores!$C:$C,Sectores!$A:$A,$A7)</f>
        <v>1511</v>
      </c>
      <c r="C7" s="0" t="n">
        <f aca="false">SUMIFS(Generacion!$C:$C,Generacion!$A:$A,$A7,Generacion!$B:$B,C$2)</f>
        <v>0.0435338767065874</v>
      </c>
      <c r="D7" s="0" t="n">
        <f aca="false">SUMIFS(Generacion!$C:$C,Generacion!$A:$A,$A7,Generacion!$B:$B,D$2)</f>
        <v>0.0378709333951614</v>
      </c>
      <c r="E7" s="0" t="n">
        <f aca="false">SUMIFS(Generacion!$C:$C,Generacion!$A:$A,$A7,Generacion!$B:$B,E$2)</f>
        <v>0.0134494903646368</v>
      </c>
      <c r="F7" s="0" t="n">
        <f aca="false">SUMIFS(Generacion!$C:$C,Generacion!$A:$A,$A7,Generacion!$B:$B,F$2)</f>
        <v>0.00353933956964125</v>
      </c>
      <c r="G7" s="0" t="n">
        <f aca="false">SUMIFS(Generacion!$C:$C,Generacion!$A:$A,$A7,Generacion!$B:$B,G$2)</f>
        <v>0.00247753769874887</v>
      </c>
      <c r="H7" s="0" t="n">
        <f aca="false">SUMPRODUCT((AtractivoAlternativas!$A$2:$A$931=$A7)*AtractivoAlternativas!$C$2:$C$931*COUNTIFS(Alternativas!$A$2:$A$51,AtractivoAlternativas!$B$2:$B$931,Alternativas!$B$2:$B$51,H$2))</f>
        <v>1.87677975732134</v>
      </c>
      <c r="I7" s="0" t="n">
        <f aca="false">SUMPRODUCT((AtractivoAlternativas!$A$2:$A$931=$A7)*AtractivoAlternativas!$C$2:$C$931*COUNTIFS(Alternativas!$A$2:$A$51,AtractivoAlternativas!$B$2:$B$931,Alternativas!$B$2:$B$51,I$2))</f>
        <v>3.45498203474312</v>
      </c>
      <c r="J7" s="0" t="n">
        <f aca="false">SUMPRODUCT((AtractivoAlternativas!$A$2:$A$931=$A7)*AtractivoAlternativas!$C$2:$C$931*COUNTIFS(Alternativas!$A$2:$A$51,AtractivoAlternativas!$B$2:$B$931,Alternativas!$B$2:$B$51,J$2))</f>
        <v>1.584877568149</v>
      </c>
      <c r="K7" s="0" t="n">
        <f aca="false">SUMPRODUCT((AtractivoAlternativas!$A$2:$A$931=$A7)*AtractivoAlternativas!$C$2:$C$931*COUNTIFS(Alternativas!$A$2:$A$51,AtractivoAlternativas!$B$2:$B$931,Alternativas!$B$2:$B$51,K$2))</f>
        <v>0</v>
      </c>
      <c r="L7" s="0" t="n">
        <f aca="false">SUMPRODUCT((AtractivoAlternativas!$A$2:$A$931=$A7)*AtractivoAlternativas!$C$2:$C$931*COUNTIFS(Alternativas!$A$2:$A$51,AtractivoAlternativas!$B$2:$B$931,Alternativas!$B$2:$B$51,L$2))</f>
        <v>0</v>
      </c>
      <c r="M7" s="0" t="n">
        <f aca="false">SUMIFS(AtractivoSitios!$C:$C,AtractivoSitios!$A:$A,$A7,AtractivoSitios!$B:$B,M$2)</f>
        <v>0</v>
      </c>
      <c r="N7" s="0" t="n">
        <f aca="false">SUMIFS(AtractivoSitios!$C:$C,AtractivoSitios!$A:$A,$A7,AtractivoSitios!$B:$B,N$2)</f>
        <v>0</v>
      </c>
      <c r="O7" s="0" t="n">
        <f aca="false">SUMIFS(AtractivoSitios!$C:$C,AtractivoSitios!$A:$A,$A7,AtractivoSitios!$B:$B,O$2)</f>
        <v>0</v>
      </c>
      <c r="P7" s="0" t="n">
        <f aca="false">SUMIFS(AtractivoSitios!$C:$C,AtractivoSitios!$A:$A,$A7,AtractivoSitios!$B:$B,P$2)</f>
        <v>0</v>
      </c>
      <c r="Q7" s="0" t="n">
        <f aca="false">SUMIFS(AtractivoSitios!$C:$C,AtractivoSitios!$A:$A,$A7,AtractivoSitios!$B:$B,Q$2)</f>
        <v>0</v>
      </c>
      <c r="R7" s="0" t="n">
        <f aca="false">SUMIFS(AtractivoSitios!$C:$C,AtractivoSitios!$A:$A,$A7,AtractivoSitios!$B:$B,R$2)</f>
        <v>0</v>
      </c>
      <c r="S7" s="0" t="n">
        <f aca="false">SUMIFS(AtractivoSitios!$C:$C,AtractivoSitios!$A:$A,$A7,AtractivoSitios!$B:$B,S$2)</f>
        <v>0</v>
      </c>
      <c r="T7" s="0" t="n">
        <f aca="false">SUM(M7:S7)</f>
        <v>0</v>
      </c>
      <c r="U7" s="0" t="n">
        <f aca="false">C7/(AD$4+H7+$T7)</f>
        <v>0.000191568716046435</v>
      </c>
      <c r="V7" s="0" t="n">
        <f aca="false">D7/(AE$4+I7+$T7)</f>
        <v>5.54278997533656E-005</v>
      </c>
      <c r="W7" s="0" t="n">
        <f aca="false">E7/(AF$4+J7+$T7)</f>
        <v>0.000316325189284866</v>
      </c>
      <c r="X7" s="0" t="n">
        <f aca="false">F7/(AG$4+K7+$T7)</f>
        <v>1.74692733442245E-005</v>
      </c>
      <c r="Y7" s="0" t="n">
        <f aca="false">G7/(AH$4+L7+$T7)</f>
        <v>1.08336204240265E-005</v>
      </c>
      <c r="AA7" s="0" t="s">
        <v>216</v>
      </c>
      <c r="AB7" s="0" t="s">
        <v>193</v>
      </c>
      <c r="AC7" s="0" t="s">
        <v>217</v>
      </c>
      <c r="AD7" s="0" t="n">
        <f aca="false">SUMPRODUCT($B$3:$B$144,U$3:U$144,M$3:M$144)</f>
        <v>12.0106024854398</v>
      </c>
      <c r="AE7" s="0" t="n">
        <f aca="false">SUMPRODUCT($B$3:$B$144,V$3:V$144,M$3:M$144)</f>
        <v>3.4757058206325</v>
      </c>
      <c r="AF7" s="0" t="n">
        <f aca="false">SUMPRODUCT($B$3:$B$144,W$3:W$144,M$3:M$144)</f>
        <v>19.8300786823079</v>
      </c>
      <c r="AG7" s="0" t="n">
        <f aca="false">SUMPRODUCT($B$3:$B$144,X$3:X$144,M$3:M$144)</f>
        <v>1.0920447651349</v>
      </c>
      <c r="AH7" s="0" t="n">
        <f aca="false">SUMPRODUCT($B$3:$B$144,Y$3:Y$144,M$3:M$144)</f>
        <v>0.677605490252481</v>
      </c>
      <c r="AI7" s="0" t="n">
        <f aca="false">SUM(AD7:AH7)</f>
        <v>37.0860372437676</v>
      </c>
      <c r="AJ7" s="0" t="n">
        <v>51.6877</v>
      </c>
      <c r="AK7" s="0" t="n">
        <v>1</v>
      </c>
      <c r="AL7" s="1" t="n">
        <f aca="false">AI7-AJ7</f>
        <v>-14.6016627562324</v>
      </c>
    </row>
    <row r="8" customFormat="false" ht="15" hidden="false" customHeight="false" outlineLevel="0" collapsed="false">
      <c r="A8" s="0" t="s">
        <v>51</v>
      </c>
      <c r="B8" s="0" t="n">
        <f aca="false">SUMIFS(Sectores!$C:$C,Sectores!$A:$A,$A8)</f>
        <v>3068</v>
      </c>
      <c r="C8" s="0" t="n">
        <f aca="false">SUMIFS(Generacion!$C:$C,Generacion!$A:$A,$A8,Generacion!$B:$B,C$2)</f>
        <v>0.0435338767065874</v>
      </c>
      <c r="D8" s="0" t="n">
        <f aca="false">SUMIFS(Generacion!$C:$C,Generacion!$A:$A,$A8,Generacion!$B:$B,D$2)</f>
        <v>0.0378709333951614</v>
      </c>
      <c r="E8" s="0" t="n">
        <f aca="false">SUMIFS(Generacion!$C:$C,Generacion!$A:$A,$A8,Generacion!$B:$B,E$2)</f>
        <v>0.0134494903646368</v>
      </c>
      <c r="F8" s="0" t="n">
        <f aca="false">SUMIFS(Generacion!$C:$C,Generacion!$A:$A,$A8,Generacion!$B:$B,F$2)</f>
        <v>0.00353933956964125</v>
      </c>
      <c r="G8" s="0" t="n">
        <f aca="false">SUMIFS(Generacion!$C:$C,Generacion!$A:$A,$A8,Generacion!$B:$B,G$2)</f>
        <v>0.00247753769874887</v>
      </c>
      <c r="H8" s="0" t="n">
        <f aca="false">SUMPRODUCT((AtractivoAlternativas!$A$2:$A$931=$A8)*AtractivoAlternativas!$C$2:$C$931*COUNTIFS(Alternativas!$A$2:$A$51,AtractivoAlternativas!$B$2:$B$931,Alternativas!$B$2:$B$51,H$2))</f>
        <v>1.34570048890506</v>
      </c>
      <c r="I8" s="0" t="n">
        <f aca="false">SUMPRODUCT((AtractivoAlternativas!$A$2:$A$931=$A8)*AtractivoAlternativas!$C$2:$C$931*COUNTIFS(Alternativas!$A$2:$A$51,AtractivoAlternativas!$B$2:$B$931,Alternativas!$B$2:$B$51,I$2))</f>
        <v>3.72034906876432</v>
      </c>
      <c r="J8" s="0" t="n">
        <f aca="false">SUMPRODUCT((AtractivoAlternativas!$A$2:$A$931=$A8)*AtractivoAlternativas!$C$2:$C$931*COUNTIFS(Alternativas!$A$2:$A$51,AtractivoAlternativas!$B$2:$B$931,Alternativas!$B$2:$B$51,J$2))</f>
        <v>2.35546956050275</v>
      </c>
      <c r="K8" s="0" t="n">
        <f aca="false">SUMPRODUCT((AtractivoAlternativas!$A$2:$A$931=$A8)*AtractivoAlternativas!$C$2:$C$931*COUNTIFS(Alternativas!$A$2:$A$51,AtractivoAlternativas!$B$2:$B$931,Alternativas!$B$2:$B$51,K$2))</f>
        <v>0</v>
      </c>
      <c r="L8" s="0" t="n">
        <f aca="false">SUMPRODUCT((AtractivoAlternativas!$A$2:$A$931=$A8)*AtractivoAlternativas!$C$2:$C$931*COUNTIFS(Alternativas!$A$2:$A$51,AtractivoAlternativas!$B$2:$B$931,Alternativas!$B$2:$B$51,L$2))</f>
        <v>0</v>
      </c>
      <c r="M8" s="0" t="n">
        <f aca="false">SUMIFS(AtractivoSitios!$C:$C,AtractivoSitios!$A:$A,$A8,AtractivoSitios!$B:$B,M$2)</f>
        <v>0</v>
      </c>
      <c r="N8" s="0" t="n">
        <f aca="false">SUMIFS(AtractivoSitios!$C:$C,AtractivoSitios!$A:$A,$A8,AtractivoSitios!$B:$B,N$2)</f>
        <v>0</v>
      </c>
      <c r="O8" s="0" t="n">
        <f aca="false">SUMIFS(AtractivoSitios!$C:$C,AtractivoSitios!$A:$A,$A8,AtractivoSitios!$B:$B,O$2)</f>
        <v>0</v>
      </c>
      <c r="P8" s="0" t="n">
        <f aca="false">SUMIFS(AtractivoSitios!$C:$C,AtractivoSitios!$A:$A,$A8,AtractivoSitios!$B:$B,P$2)</f>
        <v>0</v>
      </c>
      <c r="Q8" s="0" t="n">
        <f aca="false">SUMIFS(AtractivoSitios!$C:$C,AtractivoSitios!$A:$A,$A8,AtractivoSitios!$B:$B,Q$2)</f>
        <v>0</v>
      </c>
      <c r="R8" s="0" t="n">
        <f aca="false">SUMIFS(AtractivoSitios!$C:$C,AtractivoSitios!$A:$A,$A8,AtractivoSitios!$B:$B,R$2)</f>
        <v>0</v>
      </c>
      <c r="S8" s="0" t="n">
        <f aca="false">SUMIFS(AtractivoSitios!$C:$C,AtractivoSitios!$A:$A,$A8,AtractivoSitios!$B:$B,S$2)</f>
        <v>0</v>
      </c>
      <c r="T8" s="0" t="n">
        <f aca="false">SUM(M8:S8)</f>
        <v>0</v>
      </c>
      <c r="U8" s="0" t="n">
        <f aca="false">C8/(AD$4+H8+$T8)</f>
        <v>0.000192017458658286</v>
      </c>
      <c r="V8" s="0" t="n">
        <f aca="false">D8/(AE$4+I8+$T8)</f>
        <v>5.54063804026571E-005</v>
      </c>
      <c r="W8" s="0" t="n">
        <f aca="false">E8/(AF$4+J8+$T8)</f>
        <v>0.00031069418872677</v>
      </c>
      <c r="X8" s="0" t="n">
        <f aca="false">F8/(AG$4+K8+$T8)</f>
        <v>1.74692733442245E-005</v>
      </c>
      <c r="Y8" s="0" t="n">
        <f aca="false">G8/(AH$4+L8+$T8)</f>
        <v>1.08336204240265E-005</v>
      </c>
      <c r="AA8" s="0" t="s">
        <v>218</v>
      </c>
      <c r="AB8" s="0" t="s">
        <v>194</v>
      </c>
      <c r="AC8" s="0" t="s">
        <v>219</v>
      </c>
      <c r="AD8" s="0" t="n">
        <f aca="false">SUMPRODUCT($B$3:$B$144,U$3:U$144,N$3:N$144)</f>
        <v>10.0899644222938</v>
      </c>
      <c r="AE8" s="0" t="n">
        <f aca="false">SUMPRODUCT($B$3:$B$144,V$3:V$144,N$3:N$144)</f>
        <v>2.91292225555109</v>
      </c>
      <c r="AF8" s="0" t="n">
        <f aca="false">SUMPRODUCT($B$3:$B$144,W$3:W$144,N$3:N$144)</f>
        <v>16.882195607836</v>
      </c>
      <c r="AG8" s="0" t="n">
        <f aca="false">SUMPRODUCT($B$3:$B$144,X$3:X$144,N$3:N$144)</f>
        <v>0.91270200280151</v>
      </c>
      <c r="AH8" s="0" t="n">
        <f aca="false">SUMPRODUCT($B$3:$B$144,Y$3:Y$144,N$3:N$144)</f>
        <v>0.566276108208304</v>
      </c>
      <c r="AI8" s="0" t="n">
        <f aca="false">SUM(AD8:AH8)</f>
        <v>31.3640603966907</v>
      </c>
      <c r="AJ8" s="0" t="n">
        <v>48.8408</v>
      </c>
      <c r="AK8" s="0" t="n">
        <v>1</v>
      </c>
      <c r="AL8" s="1" t="n">
        <f aca="false">AI8-AJ8</f>
        <v>-17.4767396033093</v>
      </c>
    </row>
    <row r="9" customFormat="false" ht="15" hidden="false" customHeight="false" outlineLevel="0" collapsed="false">
      <c r="A9" s="0" t="s">
        <v>52</v>
      </c>
      <c r="B9" s="0" t="n">
        <f aca="false">SUMIFS(Sectores!$C:$C,Sectores!$A:$A,$A9)</f>
        <v>3975</v>
      </c>
      <c r="C9" s="0" t="n">
        <f aca="false">SUMIFS(Generacion!$C:$C,Generacion!$A:$A,$A9,Generacion!$B:$B,C$2)</f>
        <v>0.0435338767065874</v>
      </c>
      <c r="D9" s="0" t="n">
        <f aca="false">SUMIFS(Generacion!$C:$C,Generacion!$A:$A,$A9,Generacion!$B:$B,D$2)</f>
        <v>0.0378709333951614</v>
      </c>
      <c r="E9" s="0" t="n">
        <f aca="false">SUMIFS(Generacion!$C:$C,Generacion!$A:$A,$A9,Generacion!$B:$B,E$2)</f>
        <v>0.0134494903646368</v>
      </c>
      <c r="F9" s="0" t="n">
        <f aca="false">SUMIFS(Generacion!$C:$C,Generacion!$A:$A,$A9,Generacion!$B:$B,F$2)</f>
        <v>0.00353933956964125</v>
      </c>
      <c r="G9" s="0" t="n">
        <f aca="false">SUMIFS(Generacion!$C:$C,Generacion!$A:$A,$A9,Generacion!$B:$B,G$2)</f>
        <v>0.00247753769874887</v>
      </c>
      <c r="H9" s="0" t="n">
        <f aca="false">SUMPRODUCT((AtractivoAlternativas!$A$2:$A$931=$A9)*AtractivoAlternativas!$C$2:$C$931*COUNTIFS(Alternativas!$A$2:$A$51,AtractivoAlternativas!$B$2:$B$931,Alternativas!$B$2:$B$51,H$2))</f>
        <v>0</v>
      </c>
      <c r="I9" s="0" t="n">
        <f aca="false">SUMPRODUCT((AtractivoAlternativas!$A$2:$A$931=$A9)*AtractivoAlternativas!$C$2:$C$931*COUNTIFS(Alternativas!$A$2:$A$51,AtractivoAlternativas!$B$2:$B$931,Alternativas!$B$2:$B$51,I$2))</f>
        <v>0.770127527489109</v>
      </c>
      <c r="J9" s="0" t="n">
        <f aca="false">SUMPRODUCT((AtractivoAlternativas!$A$2:$A$931=$A9)*AtractivoAlternativas!$C$2:$C$931*COUNTIFS(Alternativas!$A$2:$A$51,AtractivoAlternativas!$B$2:$B$931,Alternativas!$B$2:$B$51,J$2))</f>
        <v>0</v>
      </c>
      <c r="K9" s="0" t="n">
        <f aca="false">SUMPRODUCT((AtractivoAlternativas!$A$2:$A$931=$A9)*AtractivoAlternativas!$C$2:$C$931*COUNTIFS(Alternativas!$A$2:$A$51,AtractivoAlternativas!$B$2:$B$931,Alternativas!$B$2:$B$51,K$2))</f>
        <v>0</v>
      </c>
      <c r="L9" s="0" t="n">
        <f aca="false">SUMPRODUCT((AtractivoAlternativas!$A$2:$A$931=$A9)*AtractivoAlternativas!$C$2:$C$931*COUNTIFS(Alternativas!$A$2:$A$51,AtractivoAlternativas!$B$2:$B$931,Alternativas!$B$2:$B$51,L$2))</f>
        <v>0</v>
      </c>
      <c r="M9" s="0" t="n">
        <f aca="false">SUMIFS(AtractivoSitios!$C:$C,AtractivoSitios!$A:$A,$A9,AtractivoSitios!$B:$B,M$2)</f>
        <v>0</v>
      </c>
      <c r="N9" s="0" t="n">
        <f aca="false">SUMIFS(AtractivoSitios!$C:$C,AtractivoSitios!$A:$A,$A9,AtractivoSitios!$B:$B,N$2)</f>
        <v>0.378980479380872</v>
      </c>
      <c r="O9" s="0" t="n">
        <f aca="false">SUMIFS(AtractivoSitios!$C:$C,AtractivoSitios!$A:$A,$A9,AtractivoSitios!$B:$B,O$2)</f>
        <v>0</v>
      </c>
      <c r="P9" s="0" t="n">
        <f aca="false">SUMIFS(AtractivoSitios!$C:$C,AtractivoSitios!$A:$A,$A9,AtractivoSitios!$B:$B,P$2)</f>
        <v>0</v>
      </c>
      <c r="Q9" s="0" t="n">
        <f aca="false">SUMIFS(AtractivoSitios!$C:$C,AtractivoSitios!$A:$A,$A9,AtractivoSitios!$B:$B,Q$2)</f>
        <v>0</v>
      </c>
      <c r="R9" s="0" t="n">
        <f aca="false">SUMIFS(AtractivoSitios!$C:$C,AtractivoSitios!$A:$A,$A9,AtractivoSitios!$B:$B,R$2)</f>
        <v>0</v>
      </c>
      <c r="S9" s="0" t="n">
        <f aca="false">SUMIFS(AtractivoSitios!$C:$C,AtractivoSitios!$A:$A,$A9,AtractivoSitios!$B:$B,S$2)</f>
        <v>0</v>
      </c>
      <c r="T9" s="0" t="n">
        <f aca="false">SUM(M9:S9)</f>
        <v>0.378980479380872</v>
      </c>
      <c r="U9" s="0" t="n">
        <f aca="false">C9/(AD$4+H9+$T9)</f>
        <v>0.000192839721335023</v>
      </c>
      <c r="V9" s="0" t="n">
        <f aca="false">D9/(AE$4+I9+$T9)</f>
        <v>5.56155955658584E-005</v>
      </c>
      <c r="W9" s="0" t="n">
        <f aca="false">E9/(AF$4+J9+$T9)</f>
        <v>0.000325558714075797</v>
      </c>
      <c r="X9" s="0" t="n">
        <f aca="false">F9/(AG$4+K9+$T9)</f>
        <v>1.74366571954789E-005</v>
      </c>
      <c r="Y9" s="0" t="n">
        <f aca="false">G9/(AH$4+L9+$T9)</f>
        <v>1.08156968468416E-005</v>
      </c>
      <c r="AA9" s="0" t="s">
        <v>220</v>
      </c>
      <c r="AB9" s="0" t="s">
        <v>195</v>
      </c>
      <c r="AC9" s="0" t="s">
        <v>221</v>
      </c>
      <c r="AD9" s="0" t="n">
        <f aca="false">SUMPRODUCT($B$3:$B$144,U$3:U$144,O$3:O$144)</f>
        <v>7.0863181243243</v>
      </c>
      <c r="AE9" s="0" t="n">
        <f aca="false">SUMPRODUCT($B$3:$B$144,V$3:V$144,O$3:O$144)</f>
        <v>2.04717722520186</v>
      </c>
      <c r="AF9" s="0" t="n">
        <f aca="false">SUMPRODUCT($B$3:$B$144,W$3:W$144,O$3:O$144)</f>
        <v>11.8260505394807</v>
      </c>
      <c r="AG9" s="0" t="n">
        <f aca="false">SUMPRODUCT($B$3:$B$144,X$3:X$144,O$3:O$144)</f>
        <v>0.642942052866536</v>
      </c>
      <c r="AH9" s="0" t="n">
        <f aca="false">SUMPRODUCT($B$3:$B$144,Y$3:Y$144,O$3:O$144)</f>
        <v>0.398875738894966</v>
      </c>
      <c r="AI9" s="0" t="n">
        <f aca="false">SUM(AD9:AH9)</f>
        <v>22.0013636807683</v>
      </c>
      <c r="AJ9" s="0" t="n">
        <v>19.9851</v>
      </c>
      <c r="AK9" s="0" t="n">
        <v>1</v>
      </c>
      <c r="AL9" s="1" t="n">
        <f aca="false">AI9-AJ9</f>
        <v>2.01626368076833</v>
      </c>
    </row>
    <row r="10" customFormat="false" ht="15" hidden="false" customHeight="false" outlineLevel="0" collapsed="false">
      <c r="A10" s="0" t="s">
        <v>54</v>
      </c>
      <c r="B10" s="0" t="n">
        <f aca="false">SUMIFS(Sectores!$C:$C,Sectores!$A:$A,$A10)</f>
        <v>3739</v>
      </c>
      <c r="C10" s="0" t="n">
        <f aca="false">SUMIFS(Generacion!$C:$C,Generacion!$A:$A,$A10,Generacion!$B:$B,C$2)</f>
        <v>0.0435338767065874</v>
      </c>
      <c r="D10" s="0" t="n">
        <f aca="false">SUMIFS(Generacion!$C:$C,Generacion!$A:$A,$A10,Generacion!$B:$B,D$2)</f>
        <v>0.0378709333951614</v>
      </c>
      <c r="E10" s="0" t="n">
        <f aca="false">SUMIFS(Generacion!$C:$C,Generacion!$A:$A,$A10,Generacion!$B:$B,E$2)</f>
        <v>0.0134494903646368</v>
      </c>
      <c r="F10" s="0" t="n">
        <f aca="false">SUMIFS(Generacion!$C:$C,Generacion!$A:$A,$A10,Generacion!$B:$B,F$2)</f>
        <v>0.00353933956964125</v>
      </c>
      <c r="G10" s="0" t="n">
        <f aca="false">SUMIFS(Generacion!$C:$C,Generacion!$A:$A,$A10,Generacion!$B:$B,G$2)</f>
        <v>0.00247753769874887</v>
      </c>
      <c r="H10" s="0" t="n">
        <f aca="false">SUMPRODUCT((AtractivoAlternativas!$A$2:$A$931=$A10)*AtractivoAlternativas!$C$2:$C$931*COUNTIFS(Alternativas!$A$2:$A$51,AtractivoAlternativas!$B$2:$B$931,Alternativas!$B$2:$B$51,H$2))</f>
        <v>0</v>
      </c>
      <c r="I10" s="0" t="n">
        <f aca="false">SUMPRODUCT((AtractivoAlternativas!$A$2:$A$931=$A10)*AtractivoAlternativas!$C$2:$C$931*COUNTIFS(Alternativas!$A$2:$A$51,AtractivoAlternativas!$B$2:$B$931,Alternativas!$B$2:$B$51,I$2))</f>
        <v>0</v>
      </c>
      <c r="J10" s="0" t="n">
        <f aca="false">SUMPRODUCT((AtractivoAlternativas!$A$2:$A$931=$A10)*AtractivoAlternativas!$C$2:$C$931*COUNTIFS(Alternativas!$A$2:$A$51,AtractivoAlternativas!$B$2:$B$931,Alternativas!$B$2:$B$51,J$2))</f>
        <v>0</v>
      </c>
      <c r="K10" s="0" t="n">
        <f aca="false">SUMPRODUCT((AtractivoAlternativas!$A$2:$A$931=$A10)*AtractivoAlternativas!$C$2:$C$931*COUNTIFS(Alternativas!$A$2:$A$51,AtractivoAlternativas!$B$2:$B$931,Alternativas!$B$2:$B$51,K$2))</f>
        <v>0</v>
      </c>
      <c r="L10" s="0" t="n">
        <f aca="false">SUMPRODUCT((AtractivoAlternativas!$A$2:$A$931=$A10)*AtractivoAlternativas!$C$2:$C$931*COUNTIFS(Alternativas!$A$2:$A$51,AtractivoAlternativas!$B$2:$B$931,Alternativas!$B$2:$B$51,L$2))</f>
        <v>0</v>
      </c>
      <c r="M10" s="0" t="n">
        <f aca="false">SUMIFS(AtractivoSitios!$C:$C,AtractivoSitios!$A:$A,$A10,AtractivoSitios!$B:$B,M$2)</f>
        <v>0</v>
      </c>
      <c r="N10" s="0" t="n">
        <f aca="false">SUMIFS(AtractivoSitios!$C:$C,AtractivoSitios!$A:$A,$A10,AtractivoSitios!$B:$B,N$2)</f>
        <v>0.421471839146838</v>
      </c>
      <c r="O10" s="0" t="n">
        <f aca="false">SUMIFS(AtractivoSitios!$C:$C,AtractivoSitios!$A:$A,$A10,AtractivoSitios!$B:$B,O$2)</f>
        <v>0</v>
      </c>
      <c r="P10" s="0" t="n">
        <f aca="false">SUMIFS(AtractivoSitios!$C:$C,AtractivoSitios!$A:$A,$A10,AtractivoSitios!$B:$B,P$2)</f>
        <v>0</v>
      </c>
      <c r="Q10" s="0" t="n">
        <f aca="false">SUMIFS(AtractivoSitios!$C:$C,AtractivoSitios!$A:$A,$A10,AtractivoSitios!$B:$B,Q$2)</f>
        <v>0</v>
      </c>
      <c r="R10" s="0" t="n">
        <f aca="false">SUMIFS(AtractivoSitios!$C:$C,AtractivoSitios!$A:$A,$A10,AtractivoSitios!$B:$B,R$2)</f>
        <v>0</v>
      </c>
      <c r="S10" s="0" t="n">
        <f aca="false">SUMIFS(AtractivoSitios!$C:$C,AtractivoSitios!$A:$A,$A10,AtractivoSitios!$B:$B,S$2)</f>
        <v>0</v>
      </c>
      <c r="T10" s="0" t="n">
        <f aca="false">SUM(M10:S10)</f>
        <v>0.421471839146838</v>
      </c>
      <c r="U10" s="0" t="n">
        <f aca="false">C10/(AD$4+H10+$T10)</f>
        <v>0.000192803431537865</v>
      </c>
      <c r="V10" s="0" t="n">
        <f aca="false">D10/(AE$4+I10+$T10)</f>
        <v>5.5675088553278E-005</v>
      </c>
      <c r="W10" s="0" t="n">
        <f aca="false">E10/(AF$4+J10+$T10)</f>
        <v>0.000325224205707296</v>
      </c>
      <c r="X10" s="0" t="n">
        <f aca="false">F10/(AG$4+K10+$T10)</f>
        <v>1.74330078586249E-005</v>
      </c>
      <c r="Y10" s="0" t="n">
        <f aca="false">G10/(AH$4+L10+$T10)</f>
        <v>1.08136909489725E-005</v>
      </c>
      <c r="AA10" s="0" t="s">
        <v>222</v>
      </c>
      <c r="AB10" s="0" t="s">
        <v>196</v>
      </c>
      <c r="AC10" s="0" t="s">
        <v>223</v>
      </c>
      <c r="AD10" s="0" t="n">
        <f aca="false">SUMPRODUCT($B$3:$B$144,U$3:U$144,P$3:P$144)</f>
        <v>8.47510153597754</v>
      </c>
      <c r="AE10" s="0" t="n">
        <f aca="false">SUMPRODUCT($B$3:$B$144,V$3:V$144,P$3:P$144)</f>
        <v>2.44900027619504</v>
      </c>
      <c r="AF10" s="0" t="n">
        <f aca="false">SUMPRODUCT($B$3:$B$144,W$3:W$144,P$3:P$144)</f>
        <v>14.0844070931546</v>
      </c>
      <c r="AG10" s="0" t="n">
        <f aca="false">SUMPRODUCT($B$3:$B$144,X$3:X$144,P$3:P$144)</f>
        <v>0.770381726246901</v>
      </c>
      <c r="AH10" s="0" t="n">
        <f aca="false">SUMPRODUCT($B$3:$B$144,Y$3:Y$144,P$3:P$144)</f>
        <v>0.477970267802986</v>
      </c>
      <c r="AI10" s="0" t="n">
        <f aca="false">SUM(AD10:AH10)</f>
        <v>26.2568608993771</v>
      </c>
      <c r="AJ10" s="0" t="n">
        <v>13.3571</v>
      </c>
      <c r="AK10" s="0" t="n">
        <v>1</v>
      </c>
      <c r="AL10" s="1" t="n">
        <f aca="false">AI10-AJ10</f>
        <v>12.8997608993771</v>
      </c>
    </row>
    <row r="11" customFormat="false" ht="15" hidden="false" customHeight="false" outlineLevel="0" collapsed="false">
      <c r="A11" s="0" t="s">
        <v>55</v>
      </c>
      <c r="B11" s="0" t="n">
        <f aca="false">SUMIFS(Sectores!$C:$C,Sectores!$A:$A,$A11)</f>
        <v>1825</v>
      </c>
      <c r="C11" s="0" t="n">
        <f aca="false">SUMIFS(Generacion!$C:$C,Generacion!$A:$A,$A11,Generacion!$B:$B,C$2)</f>
        <v>0.0435338767065874</v>
      </c>
      <c r="D11" s="0" t="n">
        <f aca="false">SUMIFS(Generacion!$C:$C,Generacion!$A:$A,$A11,Generacion!$B:$B,D$2)</f>
        <v>0.0378709333951614</v>
      </c>
      <c r="E11" s="0" t="n">
        <f aca="false">SUMIFS(Generacion!$C:$C,Generacion!$A:$A,$A11,Generacion!$B:$B,E$2)</f>
        <v>0.0134494903646368</v>
      </c>
      <c r="F11" s="0" t="n">
        <f aca="false">SUMIFS(Generacion!$C:$C,Generacion!$A:$A,$A11,Generacion!$B:$B,F$2)</f>
        <v>0.00353933956964125</v>
      </c>
      <c r="G11" s="0" t="n">
        <f aca="false">SUMIFS(Generacion!$C:$C,Generacion!$A:$A,$A11,Generacion!$B:$B,G$2)</f>
        <v>0.00247753769874887</v>
      </c>
      <c r="H11" s="0" t="n">
        <f aca="false">SUMPRODUCT((AtractivoAlternativas!$A$2:$A$931=$A11)*AtractivoAlternativas!$C$2:$C$931*COUNTIFS(Alternativas!$A$2:$A$51,AtractivoAlternativas!$B$2:$B$931,Alternativas!$B$2:$B$51,H$2))</f>
        <v>0</v>
      </c>
      <c r="I11" s="0" t="n">
        <f aca="false">SUMPRODUCT((AtractivoAlternativas!$A$2:$A$931=$A11)*AtractivoAlternativas!$C$2:$C$931*COUNTIFS(Alternativas!$A$2:$A$51,AtractivoAlternativas!$B$2:$B$931,Alternativas!$B$2:$B$51,I$2))</f>
        <v>0.795906995689754</v>
      </c>
      <c r="J11" s="0" t="n">
        <f aca="false">SUMPRODUCT((AtractivoAlternativas!$A$2:$A$931=$A11)*AtractivoAlternativas!$C$2:$C$931*COUNTIFS(Alternativas!$A$2:$A$51,AtractivoAlternativas!$B$2:$B$931,Alternativas!$B$2:$B$51,J$2))</f>
        <v>0</v>
      </c>
      <c r="K11" s="0" t="n">
        <f aca="false">SUMPRODUCT((AtractivoAlternativas!$A$2:$A$931=$A11)*AtractivoAlternativas!$C$2:$C$931*COUNTIFS(Alternativas!$A$2:$A$51,AtractivoAlternativas!$B$2:$B$931,Alternativas!$B$2:$B$51,K$2))</f>
        <v>0</v>
      </c>
      <c r="L11" s="0" t="n">
        <f aca="false">SUMPRODUCT((AtractivoAlternativas!$A$2:$A$931=$A11)*AtractivoAlternativas!$C$2:$C$931*COUNTIFS(Alternativas!$A$2:$A$51,AtractivoAlternativas!$B$2:$B$931,Alternativas!$B$2:$B$51,L$2))</f>
        <v>0</v>
      </c>
      <c r="M11" s="0" t="n">
        <f aca="false">SUMIFS(AtractivoSitios!$C:$C,AtractivoSitios!$A:$A,$A11,AtractivoSitios!$B:$B,M$2)</f>
        <v>0</v>
      </c>
      <c r="N11" s="0" t="n">
        <f aca="false">SUMIFS(AtractivoSitios!$C:$C,AtractivoSitios!$A:$A,$A11,AtractivoSitios!$B:$B,N$2)</f>
        <v>0.510129894811195</v>
      </c>
      <c r="O11" s="0" t="n">
        <f aca="false">SUMIFS(AtractivoSitios!$C:$C,AtractivoSitios!$A:$A,$A11,AtractivoSitios!$B:$B,O$2)</f>
        <v>0</v>
      </c>
      <c r="P11" s="0" t="n">
        <f aca="false">SUMIFS(AtractivoSitios!$C:$C,AtractivoSitios!$A:$A,$A11,AtractivoSitios!$B:$B,P$2)</f>
        <v>0</v>
      </c>
      <c r="Q11" s="0" t="n">
        <f aca="false">SUMIFS(AtractivoSitios!$C:$C,AtractivoSitios!$A:$A,$A11,AtractivoSitios!$B:$B,Q$2)</f>
        <v>0.552038200607454</v>
      </c>
      <c r="R11" s="0" t="n">
        <f aca="false">SUMIFS(AtractivoSitios!$C:$C,AtractivoSitios!$A:$A,$A11,AtractivoSitios!$B:$B,R$2)</f>
        <v>0</v>
      </c>
      <c r="S11" s="0" t="n">
        <f aca="false">SUMIFS(AtractivoSitios!$C:$C,AtractivoSitios!$A:$A,$A11,AtractivoSitios!$B:$B,S$2)</f>
        <v>0</v>
      </c>
      <c r="T11" s="0" t="n">
        <f aca="false">SUM(M11:S11)</f>
        <v>1.06216809541865</v>
      </c>
      <c r="U11" s="0" t="n">
        <f aca="false">C11/(AD$4+H11+$T11)</f>
        <v>0.00019225789507215</v>
      </c>
      <c r="V11" s="0" t="n">
        <f aca="false">D11/(AE$4+I11+$T11)</f>
        <v>5.55577511667817E-005</v>
      </c>
      <c r="W11" s="0" t="n">
        <f aca="false">E11/(AF$4+J11+$T11)</f>
        <v>0.000320262451534204</v>
      </c>
      <c r="X11" s="0" t="n">
        <f aca="false">F11/(AG$4+K11+$T11)</f>
        <v>1.73781667480734E-005</v>
      </c>
      <c r="Y11" s="0" t="n">
        <f aca="false">G11/(AH$4+L11+$T11)</f>
        <v>1.07835354140191E-005</v>
      </c>
      <c r="AA11" s="0" t="s">
        <v>224</v>
      </c>
      <c r="AB11" s="0" t="s">
        <v>197</v>
      </c>
      <c r="AC11" s="0" t="s">
        <v>225</v>
      </c>
      <c r="AD11" s="0" t="n">
        <f aca="false">SUMPRODUCT($B$3:$B$144,U$3:U$144,Q$3:Q$144)</f>
        <v>13.712147838084</v>
      </c>
      <c r="AE11" s="0" t="n">
        <f aca="false">SUMPRODUCT($B$3:$B$144,V$3:V$144,Q$3:Q$144)</f>
        <v>3.96198720332872</v>
      </c>
      <c r="AF11" s="0" t="n">
        <f aca="false">SUMPRODUCT($B$3:$B$144,W$3:W$144,Q$3:Q$144)</f>
        <v>22.6996417910482</v>
      </c>
      <c r="AG11" s="0" t="n">
        <f aca="false">SUMPRODUCT($B$3:$B$144,X$3:X$144,Q$3:Q$144)</f>
        <v>1.24265330088578</v>
      </c>
      <c r="AH11" s="0" t="n">
        <f aca="false">SUMPRODUCT($B$3:$B$144,Y$3:Y$144,Q$3:Q$144)</f>
        <v>0.770981080665637</v>
      </c>
      <c r="AI11" s="0" t="n">
        <f aca="false">SUM(AD11:AH11)</f>
        <v>42.3874112140124</v>
      </c>
      <c r="AJ11" s="0" t="n">
        <v>29.0401</v>
      </c>
      <c r="AK11" s="0" t="n">
        <v>1</v>
      </c>
      <c r="AL11" s="1" t="n">
        <f aca="false">AI11-AJ11</f>
        <v>13.3473112140124</v>
      </c>
    </row>
    <row r="12" customFormat="false" ht="15" hidden="false" customHeight="false" outlineLevel="0" collapsed="false">
      <c r="A12" s="0" t="s">
        <v>56</v>
      </c>
      <c r="B12" s="0" t="n">
        <f aca="false">SUMIFS(Sectores!$C:$C,Sectores!$A:$A,$A12)</f>
        <v>4171</v>
      </c>
      <c r="C12" s="0" t="n">
        <f aca="false">SUMIFS(Generacion!$C:$C,Generacion!$A:$A,$A12,Generacion!$B:$B,C$2)</f>
        <v>0.0435338767065874</v>
      </c>
      <c r="D12" s="0" t="n">
        <f aca="false">SUMIFS(Generacion!$C:$C,Generacion!$A:$A,$A12,Generacion!$B:$B,D$2)</f>
        <v>0.0378709333951614</v>
      </c>
      <c r="E12" s="0" t="n">
        <f aca="false">SUMIFS(Generacion!$C:$C,Generacion!$A:$A,$A12,Generacion!$B:$B,E$2)</f>
        <v>0.0134494903646368</v>
      </c>
      <c r="F12" s="0" t="n">
        <f aca="false">SUMIFS(Generacion!$C:$C,Generacion!$A:$A,$A12,Generacion!$B:$B,F$2)</f>
        <v>0.00353933956964125</v>
      </c>
      <c r="G12" s="0" t="n">
        <f aca="false">SUMIFS(Generacion!$C:$C,Generacion!$A:$A,$A12,Generacion!$B:$B,G$2)</f>
        <v>0.00247753769874887</v>
      </c>
      <c r="H12" s="0" t="n">
        <f aca="false">SUMPRODUCT((AtractivoAlternativas!$A$2:$A$931=$A12)*AtractivoAlternativas!$C$2:$C$931*COUNTIFS(Alternativas!$A$2:$A$51,AtractivoAlternativas!$B$2:$B$931,Alternativas!$B$2:$B$51,H$2))</f>
        <v>0</v>
      </c>
      <c r="I12" s="0" t="n">
        <f aca="false">SUMPRODUCT((AtractivoAlternativas!$A$2:$A$931=$A12)*AtractivoAlternativas!$C$2:$C$931*COUNTIFS(Alternativas!$A$2:$A$51,AtractivoAlternativas!$B$2:$B$931,Alternativas!$B$2:$B$51,I$2))</f>
        <v>0.618123796597599</v>
      </c>
      <c r="J12" s="0" t="n">
        <f aca="false">SUMPRODUCT((AtractivoAlternativas!$A$2:$A$931=$A12)*AtractivoAlternativas!$C$2:$C$931*COUNTIFS(Alternativas!$A$2:$A$51,AtractivoAlternativas!$B$2:$B$931,Alternativas!$B$2:$B$51,J$2))</f>
        <v>0</v>
      </c>
      <c r="K12" s="0" t="n">
        <f aca="false">SUMPRODUCT((AtractivoAlternativas!$A$2:$A$931=$A12)*AtractivoAlternativas!$C$2:$C$931*COUNTIFS(Alternativas!$A$2:$A$51,AtractivoAlternativas!$B$2:$B$931,Alternativas!$B$2:$B$51,K$2))</f>
        <v>0</v>
      </c>
      <c r="L12" s="0" t="n">
        <f aca="false">SUMPRODUCT((AtractivoAlternativas!$A$2:$A$931=$A12)*AtractivoAlternativas!$C$2:$C$931*COUNTIFS(Alternativas!$A$2:$A$51,AtractivoAlternativas!$B$2:$B$931,Alternativas!$B$2:$B$51,L$2))</f>
        <v>0</v>
      </c>
      <c r="M12" s="0" t="n">
        <f aca="false">SUMIFS(AtractivoSitios!$C:$C,AtractivoSitios!$A:$A,$A12,AtractivoSitios!$B:$B,M$2)</f>
        <v>0</v>
      </c>
      <c r="N12" s="0" t="n">
        <f aca="false">SUMIFS(AtractivoSitios!$C:$C,AtractivoSitios!$A:$A,$A12,AtractivoSitios!$B:$B,N$2)</f>
        <v>0.531023265043573</v>
      </c>
      <c r="O12" s="0" t="n">
        <f aca="false">SUMIFS(AtractivoSitios!$C:$C,AtractivoSitios!$A:$A,$A12,AtractivoSitios!$B:$B,O$2)</f>
        <v>0</v>
      </c>
      <c r="P12" s="0" t="n">
        <f aca="false">SUMIFS(AtractivoSitios!$C:$C,AtractivoSitios!$A:$A,$A12,AtractivoSitios!$B:$B,P$2)</f>
        <v>0</v>
      </c>
      <c r="Q12" s="0" t="n">
        <f aca="false">SUMIFS(AtractivoSitios!$C:$C,AtractivoSitios!$A:$A,$A12,AtractivoSitios!$B:$B,Q$2)</f>
        <v>0</v>
      </c>
      <c r="R12" s="0" t="n">
        <f aca="false">SUMIFS(AtractivoSitios!$C:$C,AtractivoSitios!$A:$A,$A12,AtractivoSitios!$B:$B,R$2)</f>
        <v>0</v>
      </c>
      <c r="S12" s="0" t="n">
        <f aca="false">SUMIFS(AtractivoSitios!$C:$C,AtractivoSitios!$A:$A,$A12,AtractivoSitios!$B:$B,S$2)</f>
        <v>0</v>
      </c>
      <c r="T12" s="0" t="n">
        <f aca="false">SUM(M12:S12)</f>
        <v>0.531023265043573</v>
      </c>
      <c r="U12" s="0" t="n">
        <f aca="false">C12/(AD$4+H12+$T12)</f>
        <v>0.000192709931981759</v>
      </c>
      <c r="V12" s="0" t="n">
        <f aca="false">D12/(AE$4+I12+$T12)</f>
        <v>5.56155923760746E-005</v>
      </c>
      <c r="W12" s="0" t="n">
        <f aca="false">E12/(AF$4+J12+$T12)</f>
        <v>0.000324364937051038</v>
      </c>
      <c r="X12" s="0" t="n">
        <f aca="false">F12/(AG$4+K12+$T12)</f>
        <v>1.74236061632618E-005</v>
      </c>
      <c r="Y12" s="0" t="n">
        <f aca="false">G12/(AH$4+L12+$T12)</f>
        <v>1.08085227638908E-005</v>
      </c>
      <c r="AA12" s="0" t="s">
        <v>226</v>
      </c>
      <c r="AB12" s="0" t="s">
        <v>198</v>
      </c>
      <c r="AC12" s="0" t="s">
        <v>227</v>
      </c>
      <c r="AD12" s="0" t="n">
        <f aca="false">SUMPRODUCT($B$3:$B$144,U$3:U$144,R$3:R$144)</f>
        <v>11.2449090378886</v>
      </c>
      <c r="AE12" s="0" t="n">
        <f aca="false">SUMPRODUCT($B$3:$B$144,V$3:V$144,R$3:R$144)</f>
        <v>3.26390234052189</v>
      </c>
      <c r="AF12" s="0" t="n">
        <f aca="false">SUMPRODUCT($B$3:$B$144,W$3:W$144,R$3:R$144)</f>
        <v>18.3836663729211</v>
      </c>
      <c r="AG12" s="0" t="n">
        <f aca="false">SUMPRODUCT($B$3:$B$144,X$3:X$144,R$3:R$144)</f>
        <v>1.02367339632678</v>
      </c>
      <c r="AH12" s="0" t="n">
        <f aca="false">SUMPRODUCT($B$3:$B$144,Y$3:Y$144,R$3:R$144)</f>
        <v>0.635315417726018</v>
      </c>
      <c r="AI12" s="0" t="n">
        <f aca="false">SUM(AD12:AH12)</f>
        <v>34.5514665653844</v>
      </c>
      <c r="AJ12" s="0" t="n">
        <v>30.7364</v>
      </c>
      <c r="AK12" s="0" t="n">
        <v>1</v>
      </c>
      <c r="AL12" s="1" t="n">
        <f aca="false">AI12-AJ12</f>
        <v>3.81506656538445</v>
      </c>
    </row>
    <row r="13" customFormat="false" ht="15" hidden="false" customHeight="false" outlineLevel="0" collapsed="false">
      <c r="A13" s="0" t="s">
        <v>57</v>
      </c>
      <c r="B13" s="0" t="n">
        <f aca="false">SUMIFS(Sectores!$C:$C,Sectores!$A:$A,$A13)</f>
        <v>2572</v>
      </c>
      <c r="C13" s="0" t="n">
        <f aca="false">SUMIFS(Generacion!$C:$C,Generacion!$A:$A,$A13,Generacion!$B:$B,C$2)</f>
        <v>0.0435338767065874</v>
      </c>
      <c r="D13" s="0" t="n">
        <f aca="false">SUMIFS(Generacion!$C:$C,Generacion!$A:$A,$A13,Generacion!$B:$B,D$2)</f>
        <v>0.0378709333951614</v>
      </c>
      <c r="E13" s="0" t="n">
        <f aca="false">SUMIFS(Generacion!$C:$C,Generacion!$A:$A,$A13,Generacion!$B:$B,E$2)</f>
        <v>0.0134494903646368</v>
      </c>
      <c r="F13" s="0" t="n">
        <f aca="false">SUMIFS(Generacion!$C:$C,Generacion!$A:$A,$A13,Generacion!$B:$B,F$2)</f>
        <v>0.00353933956964125</v>
      </c>
      <c r="G13" s="0" t="n">
        <f aca="false">SUMIFS(Generacion!$C:$C,Generacion!$A:$A,$A13,Generacion!$B:$B,G$2)</f>
        <v>0.00247753769874887</v>
      </c>
      <c r="H13" s="0" t="n">
        <f aca="false">SUMPRODUCT((AtractivoAlternativas!$A$2:$A$931=$A13)*AtractivoAlternativas!$C$2:$C$931*COUNTIFS(Alternativas!$A$2:$A$51,AtractivoAlternativas!$B$2:$B$931,Alternativas!$B$2:$B$51,H$2))</f>
        <v>0</v>
      </c>
      <c r="I13" s="0" t="n">
        <f aca="false">SUMPRODUCT((AtractivoAlternativas!$A$2:$A$931=$A13)*AtractivoAlternativas!$C$2:$C$931*COUNTIFS(Alternativas!$A$2:$A$51,AtractivoAlternativas!$B$2:$B$931,Alternativas!$B$2:$B$51,I$2))</f>
        <v>0.885669059432072</v>
      </c>
      <c r="J13" s="0" t="n">
        <f aca="false">SUMPRODUCT((AtractivoAlternativas!$A$2:$A$931=$A13)*AtractivoAlternativas!$C$2:$C$931*COUNTIFS(Alternativas!$A$2:$A$51,AtractivoAlternativas!$B$2:$B$931,Alternativas!$B$2:$B$51,J$2))</f>
        <v>0</v>
      </c>
      <c r="K13" s="0" t="n">
        <f aca="false">SUMPRODUCT((AtractivoAlternativas!$A$2:$A$931=$A13)*AtractivoAlternativas!$C$2:$C$931*COUNTIFS(Alternativas!$A$2:$A$51,AtractivoAlternativas!$B$2:$B$931,Alternativas!$B$2:$B$51,K$2))</f>
        <v>0</v>
      </c>
      <c r="L13" s="0" t="n">
        <f aca="false">SUMPRODUCT((AtractivoAlternativas!$A$2:$A$931=$A13)*AtractivoAlternativas!$C$2:$C$931*COUNTIFS(Alternativas!$A$2:$A$51,AtractivoAlternativas!$B$2:$B$931,Alternativas!$B$2:$B$51,L$2))</f>
        <v>0</v>
      </c>
      <c r="M13" s="0" t="n">
        <f aca="false">SUMIFS(AtractivoSitios!$C:$C,AtractivoSitios!$A:$A,$A13,AtractivoSitios!$B:$B,M$2)</f>
        <v>0</v>
      </c>
      <c r="N13" s="0" t="n">
        <f aca="false">SUMIFS(AtractivoSitios!$C:$C,AtractivoSitios!$A:$A,$A13,AtractivoSitios!$B:$B,N$2)</f>
        <v>0.769245440155743</v>
      </c>
      <c r="O13" s="0" t="n">
        <f aca="false">SUMIFS(AtractivoSitios!$C:$C,AtractivoSitios!$A:$A,$A13,AtractivoSitios!$B:$B,O$2)</f>
        <v>0</v>
      </c>
      <c r="P13" s="0" t="n">
        <f aca="false">SUMIFS(AtractivoSitios!$C:$C,AtractivoSitios!$A:$A,$A13,AtractivoSitios!$B:$B,P$2)</f>
        <v>0</v>
      </c>
      <c r="Q13" s="0" t="n">
        <f aca="false">SUMIFS(AtractivoSitios!$C:$C,AtractivoSitios!$A:$A,$A13,AtractivoSitios!$B:$B,Q$2)</f>
        <v>0</v>
      </c>
      <c r="R13" s="0" t="n">
        <f aca="false">SUMIFS(AtractivoSitios!$C:$C,AtractivoSitios!$A:$A,$A13,AtractivoSitios!$B:$B,R$2)</f>
        <v>0</v>
      </c>
      <c r="S13" s="0" t="n">
        <f aca="false">SUMIFS(AtractivoSitios!$C:$C,AtractivoSitios!$A:$A,$A13,AtractivoSitios!$B:$B,S$2)</f>
        <v>0</v>
      </c>
      <c r="T13" s="0" t="n">
        <f aca="false">SUM(M13:S13)</f>
        <v>0.769245440155743</v>
      </c>
      <c r="U13" s="0" t="n">
        <f aca="false">C13/(AD$4+H13+$T13)</f>
        <v>0.000192506927650641</v>
      </c>
      <c r="V13" s="0" t="n">
        <f aca="false">D13/(AE$4+I13+$T13)</f>
        <v>5.5574314671416E-005</v>
      </c>
      <c r="W13" s="0" t="n">
        <f aca="false">E13/(AF$4+J13+$T13)</f>
        <v>0.000322512019205932</v>
      </c>
      <c r="X13" s="0" t="n">
        <f aca="false">F13/(AG$4+K13+$T13)</f>
        <v>1.74031969137923E-005</v>
      </c>
      <c r="Y13" s="0" t="n">
        <f aca="false">G13/(AH$4+L13+$T13)</f>
        <v>1.07973014559003E-005</v>
      </c>
      <c r="AA13" s="0" t="s">
        <v>228</v>
      </c>
      <c r="AB13" s="0" t="s">
        <v>199</v>
      </c>
      <c r="AC13" s="0" t="s">
        <v>229</v>
      </c>
      <c r="AD13" s="0" t="n">
        <f aca="false">SUMPRODUCT($B$3:$B$144,U$3:U$144,S$3:S$144)</f>
        <v>10.6523203925788</v>
      </c>
      <c r="AE13" s="0" t="n">
        <f aca="false">SUMPRODUCT($B$3:$B$144,V$3:V$144,S$3:S$144)</f>
        <v>3.08872836680235</v>
      </c>
      <c r="AF13" s="0" t="n">
        <f aca="false">SUMPRODUCT($B$3:$B$144,W$3:W$144,S$3:S$144)</f>
        <v>17.3660475160976</v>
      </c>
      <c r="AG13" s="0" t="n">
        <f aca="false">SUMPRODUCT($B$3:$B$144,X$3:X$144,S$3:S$144)</f>
        <v>0.969773285799319</v>
      </c>
      <c r="AH13" s="0" t="n">
        <f aca="false">SUMPRODUCT($B$3:$B$144,Y$3:Y$144,S$3:S$144)</f>
        <v>0.601807420344202</v>
      </c>
      <c r="AI13" s="0" t="n">
        <f aca="false">SUM(AD13:AH13)</f>
        <v>32.6786769816223</v>
      </c>
      <c r="AJ13" s="0" t="n">
        <v>5.1816</v>
      </c>
      <c r="AK13" s="0" t="n">
        <v>0</v>
      </c>
      <c r="AL13" s="1" t="n">
        <f aca="false">AI13-AJ13</f>
        <v>27.4970769816223</v>
      </c>
    </row>
    <row r="14" customFormat="false" ht="15" hidden="false" customHeight="false" outlineLevel="0" collapsed="false">
      <c r="A14" s="0" t="s">
        <v>58</v>
      </c>
      <c r="B14" s="0" t="n">
        <f aca="false">SUMIFS(Sectores!$C:$C,Sectores!$A:$A,$A14)</f>
        <v>5622</v>
      </c>
      <c r="C14" s="0" t="n">
        <f aca="false">SUMIFS(Generacion!$C:$C,Generacion!$A:$A,$A14,Generacion!$B:$B,C$2)</f>
        <v>0.0435338767065874</v>
      </c>
      <c r="D14" s="0" t="n">
        <f aca="false">SUMIFS(Generacion!$C:$C,Generacion!$A:$A,$A14,Generacion!$B:$B,D$2)</f>
        <v>0.0378709333951614</v>
      </c>
      <c r="E14" s="0" t="n">
        <f aca="false">SUMIFS(Generacion!$C:$C,Generacion!$A:$A,$A14,Generacion!$B:$B,E$2)</f>
        <v>0.0134494903646368</v>
      </c>
      <c r="F14" s="0" t="n">
        <f aca="false">SUMIFS(Generacion!$C:$C,Generacion!$A:$A,$A14,Generacion!$B:$B,F$2)</f>
        <v>0.00353933956964125</v>
      </c>
      <c r="G14" s="0" t="n">
        <f aca="false">SUMIFS(Generacion!$C:$C,Generacion!$A:$A,$A14,Generacion!$B:$B,G$2)</f>
        <v>0.00247753769874887</v>
      </c>
      <c r="H14" s="0" t="n">
        <f aca="false">SUMPRODUCT((AtractivoAlternativas!$A$2:$A$931=$A14)*AtractivoAlternativas!$C$2:$C$931*COUNTIFS(Alternativas!$A$2:$A$51,AtractivoAlternativas!$B$2:$B$931,Alternativas!$B$2:$B$51,H$2))</f>
        <v>0</v>
      </c>
      <c r="I14" s="0" t="n">
        <f aca="false">SUMPRODUCT((AtractivoAlternativas!$A$2:$A$931=$A14)*AtractivoAlternativas!$C$2:$C$931*COUNTIFS(Alternativas!$A$2:$A$51,AtractivoAlternativas!$B$2:$B$931,Alternativas!$B$2:$B$51,I$2))</f>
        <v>0</v>
      </c>
      <c r="J14" s="0" t="n">
        <f aca="false">SUMPRODUCT((AtractivoAlternativas!$A$2:$A$931=$A14)*AtractivoAlternativas!$C$2:$C$931*COUNTIFS(Alternativas!$A$2:$A$51,AtractivoAlternativas!$B$2:$B$931,Alternativas!$B$2:$B$51,J$2))</f>
        <v>0</v>
      </c>
      <c r="K14" s="0" t="n">
        <f aca="false">SUMPRODUCT((AtractivoAlternativas!$A$2:$A$931=$A14)*AtractivoAlternativas!$C$2:$C$931*COUNTIFS(Alternativas!$A$2:$A$51,AtractivoAlternativas!$B$2:$B$931,Alternativas!$B$2:$B$51,K$2))</f>
        <v>0</v>
      </c>
      <c r="L14" s="0" t="n">
        <f aca="false">SUMPRODUCT((AtractivoAlternativas!$A$2:$A$931=$A14)*AtractivoAlternativas!$C$2:$C$931*COUNTIFS(Alternativas!$A$2:$A$51,AtractivoAlternativas!$B$2:$B$931,Alternativas!$B$2:$B$51,L$2))</f>
        <v>0</v>
      </c>
      <c r="M14" s="0" t="n">
        <f aca="false">SUMIFS(AtractivoSitios!$C:$C,AtractivoSitios!$A:$A,$A14,AtractivoSitios!$B:$B,M$2)</f>
        <v>0</v>
      </c>
      <c r="N14" s="0" t="n">
        <f aca="false">SUMIFS(AtractivoSitios!$C:$C,AtractivoSitios!$A:$A,$A14,AtractivoSitios!$B:$B,N$2)</f>
        <v>0.48081444339355</v>
      </c>
      <c r="O14" s="0" t="n">
        <f aca="false">SUMIFS(AtractivoSitios!$C:$C,AtractivoSitios!$A:$A,$A14,AtractivoSitios!$B:$B,O$2)</f>
        <v>0</v>
      </c>
      <c r="P14" s="0" t="n">
        <f aca="false">SUMIFS(AtractivoSitios!$C:$C,AtractivoSitios!$A:$A,$A14,AtractivoSitios!$B:$B,P$2)</f>
        <v>0</v>
      </c>
      <c r="Q14" s="0" t="n">
        <f aca="false">SUMIFS(AtractivoSitios!$C:$C,AtractivoSitios!$A:$A,$A14,AtractivoSitios!$B:$B,Q$2)</f>
        <v>0.37526801966481</v>
      </c>
      <c r="R14" s="0" t="n">
        <f aca="false">SUMIFS(AtractivoSitios!$C:$C,AtractivoSitios!$A:$A,$A14,AtractivoSitios!$B:$B,R$2)</f>
        <v>0</v>
      </c>
      <c r="S14" s="0" t="n">
        <f aca="false">SUMIFS(AtractivoSitios!$C:$C,AtractivoSitios!$A:$A,$A14,AtractivoSitios!$B:$B,S$2)</f>
        <v>0</v>
      </c>
      <c r="T14" s="0" t="n">
        <f aca="false">SUM(M14:S14)</f>
        <v>0.856082463058361</v>
      </c>
      <c r="U14" s="0" t="n">
        <f aca="false">C14/(AD$4+H14+$T14)</f>
        <v>0.00019243303460379</v>
      </c>
      <c r="V14" s="0" t="n">
        <f aca="false">D14/(AE$4+I14+$T14)</f>
        <v>5.56395386219926E-005</v>
      </c>
      <c r="W14" s="0" t="n">
        <f aca="false">E14/(AF$4+J14+$T14)</f>
        <v>0.000321841845303695</v>
      </c>
      <c r="X14" s="0" t="n">
        <f aca="false">F14/(AG$4+K14+$T14)</f>
        <v>1.73957691965044E-005</v>
      </c>
      <c r="Y14" s="0" t="n">
        <f aca="false">G14/(AH$4+L14+$T14)</f>
        <v>1.07932168441384E-005</v>
      </c>
      <c r="AC14" s="7" t="s">
        <v>345</v>
      </c>
      <c r="AD14" s="0" t="n">
        <f aca="false">SUMPRODUCT(AD7:AD13,$AK$7:$AK$13)</f>
        <v>62.6190434440081</v>
      </c>
      <c r="AE14" s="0" t="n">
        <f aca="false">SUMPRODUCT(AE7:AE13,$AK$7:$AK$13)</f>
        <v>18.1106951214311</v>
      </c>
      <c r="AF14" s="0" t="n">
        <f aca="false">SUMPRODUCT(AF7:AF13,$AK$7:$AK$13)</f>
        <v>103.706040086749</v>
      </c>
      <c r="AG14" s="0" t="n">
        <f aca="false">SUMPRODUCT(AG7:AG13,$AK$7:$AK$13)</f>
        <v>5.6843972442624</v>
      </c>
      <c r="AH14" s="0" t="n">
        <f aca="false">SUMPRODUCT(AH7:AH13,$AK$7:$AK$13)</f>
        <v>3.52702410355039</v>
      </c>
      <c r="AI14" s="0" t="n">
        <f aca="false">SUMPRODUCT(AI7:AI13,$AK$7:$AK$13)</f>
        <v>193.647200000001</v>
      </c>
      <c r="AJ14" s="0" t="n">
        <f aca="false">SUMPRODUCT(AJ7:AJ13,$AK$7:$AK$13)</f>
        <v>193.6472</v>
      </c>
      <c r="AL14" s="7" t="n">
        <f aca="false">SUMPRODUCT(ABS(AL7:AL13),AK7:AK13)</f>
        <v>64.1568047190839</v>
      </c>
      <c r="AM14" s="1" t="s">
        <v>346</v>
      </c>
    </row>
    <row r="15" customFormat="false" ht="15" hidden="false" customHeight="false" outlineLevel="0" collapsed="false">
      <c r="A15" s="0" t="s">
        <v>59</v>
      </c>
      <c r="B15" s="0" t="n">
        <f aca="false">SUMIFS(Sectores!$C:$C,Sectores!$A:$A,$A15)</f>
        <v>2139</v>
      </c>
      <c r="C15" s="0" t="n">
        <f aca="false">SUMIFS(Generacion!$C:$C,Generacion!$A:$A,$A15,Generacion!$B:$B,C$2)</f>
        <v>0.0435338767065874</v>
      </c>
      <c r="D15" s="0" t="n">
        <f aca="false">SUMIFS(Generacion!$C:$C,Generacion!$A:$A,$A15,Generacion!$B:$B,D$2)</f>
        <v>0.0378709333951614</v>
      </c>
      <c r="E15" s="0" t="n">
        <f aca="false">SUMIFS(Generacion!$C:$C,Generacion!$A:$A,$A15,Generacion!$B:$B,E$2)</f>
        <v>0.0134494903646368</v>
      </c>
      <c r="F15" s="0" t="n">
        <f aca="false">SUMIFS(Generacion!$C:$C,Generacion!$A:$A,$A15,Generacion!$B:$B,F$2)</f>
        <v>0.00353933956964125</v>
      </c>
      <c r="G15" s="0" t="n">
        <f aca="false">SUMIFS(Generacion!$C:$C,Generacion!$A:$A,$A15,Generacion!$B:$B,G$2)</f>
        <v>0.00247753769874887</v>
      </c>
      <c r="H15" s="0" t="n">
        <f aca="false">SUMPRODUCT((AtractivoAlternativas!$A$2:$A$931=$A15)*AtractivoAlternativas!$C$2:$C$931*COUNTIFS(Alternativas!$A$2:$A$51,AtractivoAlternativas!$B$2:$B$931,Alternativas!$B$2:$B$51,H$2))</f>
        <v>0</v>
      </c>
      <c r="I15" s="0" t="n">
        <f aca="false">SUMPRODUCT((AtractivoAlternativas!$A$2:$A$931=$A15)*AtractivoAlternativas!$C$2:$C$931*COUNTIFS(Alternativas!$A$2:$A$51,AtractivoAlternativas!$B$2:$B$931,Alternativas!$B$2:$B$51,I$2))</f>
        <v>0.424916696106508</v>
      </c>
      <c r="J15" s="0" t="n">
        <f aca="false">SUMPRODUCT((AtractivoAlternativas!$A$2:$A$931=$A15)*AtractivoAlternativas!$C$2:$C$931*COUNTIFS(Alternativas!$A$2:$A$51,AtractivoAlternativas!$B$2:$B$931,Alternativas!$B$2:$B$51,J$2))</f>
        <v>0</v>
      </c>
      <c r="K15" s="0" t="n">
        <f aca="false">SUMPRODUCT((AtractivoAlternativas!$A$2:$A$931=$A15)*AtractivoAlternativas!$C$2:$C$931*COUNTIFS(Alternativas!$A$2:$A$51,AtractivoAlternativas!$B$2:$B$931,Alternativas!$B$2:$B$51,K$2))</f>
        <v>0</v>
      </c>
      <c r="L15" s="0" t="n">
        <f aca="false">SUMPRODUCT((AtractivoAlternativas!$A$2:$A$931=$A15)*AtractivoAlternativas!$C$2:$C$931*COUNTIFS(Alternativas!$A$2:$A$51,AtractivoAlternativas!$B$2:$B$931,Alternativas!$B$2:$B$51,L$2))</f>
        <v>0</v>
      </c>
      <c r="M15" s="0" t="n">
        <f aca="false">SUMIFS(AtractivoSitios!$C:$C,AtractivoSitios!$A:$A,$A15,AtractivoSitios!$B:$B,M$2)</f>
        <v>0</v>
      </c>
      <c r="N15" s="0" t="n">
        <f aca="false">SUMIFS(AtractivoSitios!$C:$C,AtractivoSitios!$A:$A,$A15,AtractivoSitios!$B:$B,N$2)</f>
        <v>0.664197322474517</v>
      </c>
      <c r="O15" s="0" t="n">
        <f aca="false">SUMIFS(AtractivoSitios!$C:$C,AtractivoSitios!$A:$A,$A15,AtractivoSitios!$B:$B,O$2)</f>
        <v>0</v>
      </c>
      <c r="P15" s="0" t="n">
        <f aca="false">SUMIFS(AtractivoSitios!$C:$C,AtractivoSitios!$A:$A,$A15,AtractivoSitios!$B:$B,P$2)</f>
        <v>0</v>
      </c>
      <c r="Q15" s="0" t="n">
        <f aca="false">SUMIFS(AtractivoSitios!$C:$C,AtractivoSitios!$A:$A,$A15,AtractivoSitios!$B:$B,Q$2)</f>
        <v>0.458722148685908</v>
      </c>
      <c r="R15" s="0" t="n">
        <f aca="false">SUMIFS(AtractivoSitios!$C:$C,AtractivoSitios!$A:$A,$A15,AtractivoSitios!$B:$B,R$2)</f>
        <v>0</v>
      </c>
      <c r="S15" s="0" t="n">
        <f aca="false">SUMIFS(AtractivoSitios!$C:$C,AtractivoSitios!$A:$A,$A15,AtractivoSitios!$B:$B,S$2)</f>
        <v>0</v>
      </c>
      <c r="T15" s="0" t="n">
        <f aca="false">SUM(M15:S15)</f>
        <v>1.12291947116042</v>
      </c>
      <c r="U15" s="0" t="n">
        <f aca="false">C15/(AD$4+H15+$T15)</f>
        <v>0.00019220632703073</v>
      </c>
      <c r="V15" s="0" t="n">
        <f aca="false">D15/(AE$4+I15+$T15)</f>
        <v>5.55830486489165E-005</v>
      </c>
      <c r="W15" s="0" t="n">
        <f aca="false">E15/(AF$4+J15+$T15)</f>
        <v>0.000319799820749234</v>
      </c>
      <c r="X15" s="0" t="n">
        <f aca="false">F15/(AG$4+K15+$T15)</f>
        <v>1.73729845706293E-005</v>
      </c>
      <c r="Y15" s="0" t="n">
        <f aca="false">G15/(AH$4+L15+$T15)</f>
        <v>1.07806847675407E-005</v>
      </c>
      <c r="AC15" s="7" t="s">
        <v>347</v>
      </c>
      <c r="AD15" s="0" t="n">
        <v>64.2946</v>
      </c>
      <c r="AE15" s="0" t="n">
        <v>18.5953</v>
      </c>
      <c r="AF15" s="0" t="n">
        <v>106.481</v>
      </c>
      <c r="AG15" s="0" t="n">
        <v>5.8365</v>
      </c>
      <c r="AH15" s="0" t="n">
        <v>3.6214</v>
      </c>
      <c r="AI15" s="0" t="n">
        <f aca="false">SUM(AD15:AH15)</f>
        <v>198.8288</v>
      </c>
    </row>
    <row r="16" customFormat="false" ht="15" hidden="false" customHeight="false" outlineLevel="0" collapsed="false">
      <c r="A16" s="0" t="s">
        <v>60</v>
      </c>
      <c r="B16" s="0" t="n">
        <f aca="false">SUMIFS(Sectores!$C:$C,Sectores!$A:$A,$A16)</f>
        <v>5940</v>
      </c>
      <c r="C16" s="0" t="n">
        <f aca="false">SUMIFS(Generacion!$C:$C,Generacion!$A:$A,$A16,Generacion!$B:$B,C$2)</f>
        <v>0.0435338767065874</v>
      </c>
      <c r="D16" s="0" t="n">
        <f aca="false">SUMIFS(Generacion!$C:$C,Generacion!$A:$A,$A16,Generacion!$B:$B,D$2)</f>
        <v>0.0378709333951614</v>
      </c>
      <c r="E16" s="0" t="n">
        <f aca="false">SUMIFS(Generacion!$C:$C,Generacion!$A:$A,$A16,Generacion!$B:$B,E$2)</f>
        <v>0.0134494903646368</v>
      </c>
      <c r="F16" s="0" t="n">
        <f aca="false">SUMIFS(Generacion!$C:$C,Generacion!$A:$A,$A16,Generacion!$B:$B,F$2)</f>
        <v>0.00353933956964125</v>
      </c>
      <c r="G16" s="0" t="n">
        <f aca="false">SUMIFS(Generacion!$C:$C,Generacion!$A:$A,$A16,Generacion!$B:$B,G$2)</f>
        <v>0.00247753769874887</v>
      </c>
      <c r="H16" s="0" t="n">
        <f aca="false">SUMPRODUCT((AtractivoAlternativas!$A$2:$A$931=$A16)*AtractivoAlternativas!$C$2:$C$931*COUNTIFS(Alternativas!$A$2:$A$51,AtractivoAlternativas!$B$2:$B$931,Alternativas!$B$2:$B$51,H$2))</f>
        <v>0</v>
      </c>
      <c r="I16" s="0" t="n">
        <f aca="false">SUMPRODUCT((AtractivoAlternativas!$A$2:$A$931=$A16)*AtractivoAlternativas!$C$2:$C$931*COUNTIFS(Alternativas!$A$2:$A$51,AtractivoAlternativas!$B$2:$B$931,Alternativas!$B$2:$B$51,I$2))</f>
        <v>0.385013724916508</v>
      </c>
      <c r="J16" s="0" t="n">
        <f aca="false">SUMPRODUCT((AtractivoAlternativas!$A$2:$A$931=$A16)*AtractivoAlternativas!$C$2:$C$931*COUNTIFS(Alternativas!$A$2:$A$51,AtractivoAlternativas!$B$2:$B$931,Alternativas!$B$2:$B$51,J$2))</f>
        <v>0</v>
      </c>
      <c r="K16" s="0" t="n">
        <f aca="false">SUMPRODUCT((AtractivoAlternativas!$A$2:$A$931=$A16)*AtractivoAlternativas!$C$2:$C$931*COUNTIFS(Alternativas!$A$2:$A$51,AtractivoAlternativas!$B$2:$B$931,Alternativas!$B$2:$B$51,K$2))</f>
        <v>0</v>
      </c>
      <c r="L16" s="0" t="n">
        <f aca="false">SUMPRODUCT((AtractivoAlternativas!$A$2:$A$931=$A16)*AtractivoAlternativas!$C$2:$C$931*COUNTIFS(Alternativas!$A$2:$A$51,AtractivoAlternativas!$B$2:$B$931,Alternativas!$B$2:$B$51,L$2))</f>
        <v>0</v>
      </c>
      <c r="M16" s="0" t="n">
        <f aca="false">SUMIFS(AtractivoSitios!$C:$C,AtractivoSitios!$A:$A,$A16,AtractivoSitios!$B:$B,M$2)</f>
        <v>0</v>
      </c>
      <c r="N16" s="0" t="n">
        <f aca="false">SUMIFS(AtractivoSitios!$C:$C,AtractivoSitios!$A:$A,$A16,AtractivoSitios!$B:$B,N$2)</f>
        <v>0.699233267497397</v>
      </c>
      <c r="O16" s="0" t="n">
        <f aca="false">SUMIFS(AtractivoSitios!$C:$C,AtractivoSitios!$A:$A,$A16,AtractivoSitios!$B:$B,O$2)</f>
        <v>0</v>
      </c>
      <c r="P16" s="0" t="n">
        <f aca="false">SUMIFS(AtractivoSitios!$C:$C,AtractivoSitios!$A:$A,$A16,AtractivoSitios!$B:$B,P$2)</f>
        <v>0</v>
      </c>
      <c r="Q16" s="0" t="n">
        <f aca="false">SUMIFS(AtractivoSitios!$C:$C,AtractivoSitios!$A:$A,$A16,AtractivoSitios!$B:$B,Q$2)</f>
        <v>0</v>
      </c>
      <c r="R16" s="0" t="n">
        <f aca="false">SUMIFS(AtractivoSitios!$C:$C,AtractivoSitios!$A:$A,$A16,AtractivoSitios!$B:$B,R$2)</f>
        <v>0</v>
      </c>
      <c r="S16" s="0" t="n">
        <f aca="false">SUMIFS(AtractivoSitios!$C:$C,AtractivoSitios!$A:$A,$A16,AtractivoSitios!$B:$B,S$2)</f>
        <v>0</v>
      </c>
      <c r="T16" s="0" t="n">
        <f aca="false">SUM(M16:S16)</f>
        <v>0.699233267497397</v>
      </c>
      <c r="U16" s="0" t="n">
        <f aca="false">C16/(AD$4+H16+$T16)</f>
        <v>0.000192566545103053</v>
      </c>
      <c r="V16" s="0" t="n">
        <f aca="false">D16/(AE$4+I16+$T16)</f>
        <v>5.56208935698567E-005</v>
      </c>
      <c r="W16" s="0" t="n">
        <f aca="false">E16/(AF$4+J16+$T16)</f>
        <v>0.000323054381222221</v>
      </c>
      <c r="X16" s="0" t="n">
        <f aca="false">F16/(AG$4+K16+$T16)</f>
        <v>1.74091901159306E-005</v>
      </c>
      <c r="Y16" s="0" t="n">
        <f aca="false">G16/(AH$4+L16+$T16)</f>
        <v>1.08005969176017E-005</v>
      </c>
      <c r="AC16" s="7" t="s">
        <v>348</v>
      </c>
      <c r="AD16" s="0" t="n">
        <f aca="false">SUMPRODUCT(1-$AK$7:$AK$13,$AJ$7:$AJ$13)*AD15/$AI$15</f>
        <v>1.67555655599189</v>
      </c>
      <c r="AE16" s="0" t="n">
        <f aca="false">SUMPRODUCT(1-$AK$7:$AK$13,$AJ$7:$AJ$13)*AE15/$AI$15</f>
        <v>0.4846048785689</v>
      </c>
      <c r="AF16" s="0" t="n">
        <f aca="false">SUMPRODUCT(1-$AK$7:$AK$13,$AJ$7:$AJ$13)*AF15/$AI$15</f>
        <v>2.774959913252</v>
      </c>
      <c r="AG16" s="0" t="n">
        <f aca="false">SUMPRODUCT(1-$AK$7:$AK$13,$AJ$7:$AJ$13)*AG15/$AI$15</f>
        <v>0.152102755737599</v>
      </c>
      <c r="AH16" s="0" t="n">
        <f aca="false">SUMPRODUCT(1-$AK$7:$AK$13,$AJ$7:$AJ$13)*AH15/$AI$15</f>
        <v>0.0943758964496089</v>
      </c>
    </row>
    <row r="17" customFormat="false" ht="15" hidden="false" customHeight="false" outlineLevel="0" collapsed="false">
      <c r="A17" s="0" t="s">
        <v>61</v>
      </c>
      <c r="B17" s="0" t="n">
        <f aca="false">SUMIFS(Sectores!$C:$C,Sectores!$A:$A,$A17)</f>
        <v>3093</v>
      </c>
      <c r="C17" s="0" t="n">
        <f aca="false">SUMIFS(Generacion!$C:$C,Generacion!$A:$A,$A17,Generacion!$B:$B,C$2)</f>
        <v>0.0435338767065874</v>
      </c>
      <c r="D17" s="0" t="n">
        <f aca="false">SUMIFS(Generacion!$C:$C,Generacion!$A:$A,$A17,Generacion!$B:$B,D$2)</f>
        <v>0.0378709333951614</v>
      </c>
      <c r="E17" s="0" t="n">
        <f aca="false">SUMIFS(Generacion!$C:$C,Generacion!$A:$A,$A17,Generacion!$B:$B,E$2)</f>
        <v>0.0134494903646368</v>
      </c>
      <c r="F17" s="0" t="n">
        <f aca="false">SUMIFS(Generacion!$C:$C,Generacion!$A:$A,$A17,Generacion!$B:$B,F$2)</f>
        <v>0.00353933956964125</v>
      </c>
      <c r="G17" s="0" t="n">
        <f aca="false">SUMIFS(Generacion!$C:$C,Generacion!$A:$A,$A17,Generacion!$B:$B,G$2)</f>
        <v>0.00247753769874887</v>
      </c>
      <c r="H17" s="0" t="n">
        <f aca="false">SUMPRODUCT((AtractivoAlternativas!$A$2:$A$931=$A17)*AtractivoAlternativas!$C$2:$C$931*COUNTIFS(Alternativas!$A$2:$A$51,AtractivoAlternativas!$B$2:$B$931,Alternativas!$B$2:$B$51,H$2))</f>
        <v>0</v>
      </c>
      <c r="I17" s="0" t="n">
        <f aca="false">SUMPRODUCT((AtractivoAlternativas!$A$2:$A$931=$A17)*AtractivoAlternativas!$C$2:$C$931*COUNTIFS(Alternativas!$A$2:$A$51,AtractivoAlternativas!$B$2:$B$931,Alternativas!$B$2:$B$51,I$2))</f>
        <v>0.458156393965074</v>
      </c>
      <c r="J17" s="0" t="n">
        <f aca="false">SUMPRODUCT((AtractivoAlternativas!$A$2:$A$931=$A17)*AtractivoAlternativas!$C$2:$C$931*COUNTIFS(Alternativas!$A$2:$A$51,AtractivoAlternativas!$B$2:$B$931,Alternativas!$B$2:$B$51,J$2))</f>
        <v>0</v>
      </c>
      <c r="K17" s="0" t="n">
        <f aca="false">SUMPRODUCT((AtractivoAlternativas!$A$2:$A$931=$A17)*AtractivoAlternativas!$C$2:$C$931*COUNTIFS(Alternativas!$A$2:$A$51,AtractivoAlternativas!$B$2:$B$931,Alternativas!$B$2:$B$51,K$2))</f>
        <v>0</v>
      </c>
      <c r="L17" s="0" t="n">
        <f aca="false">SUMPRODUCT((AtractivoAlternativas!$A$2:$A$931=$A17)*AtractivoAlternativas!$C$2:$C$931*COUNTIFS(Alternativas!$A$2:$A$51,AtractivoAlternativas!$B$2:$B$931,Alternativas!$B$2:$B$51,L$2))</f>
        <v>0</v>
      </c>
      <c r="M17" s="0" t="n">
        <f aca="false">SUMIFS(AtractivoSitios!$C:$C,AtractivoSitios!$A:$A,$A17,AtractivoSitios!$B:$B,M$2)</f>
        <v>0</v>
      </c>
      <c r="N17" s="0" t="n">
        <f aca="false">SUMIFS(AtractivoSitios!$C:$C,AtractivoSitios!$A:$A,$A17,AtractivoSitios!$B:$B,N$2)</f>
        <v>0.53431086111775</v>
      </c>
      <c r="O17" s="0" t="n">
        <f aca="false">SUMIFS(AtractivoSitios!$C:$C,AtractivoSitios!$A:$A,$A17,AtractivoSitios!$B:$B,O$2)</f>
        <v>0</v>
      </c>
      <c r="P17" s="0" t="n">
        <f aca="false">SUMIFS(AtractivoSitios!$C:$C,AtractivoSitios!$A:$A,$A17,AtractivoSitios!$B:$B,P$2)</f>
        <v>0</v>
      </c>
      <c r="Q17" s="0" t="n">
        <f aca="false">SUMIFS(AtractivoSitios!$C:$C,AtractivoSitios!$A:$A,$A17,AtractivoSitios!$B:$B,Q$2)</f>
        <v>0</v>
      </c>
      <c r="R17" s="0" t="n">
        <f aca="false">SUMIFS(AtractivoSitios!$C:$C,AtractivoSitios!$A:$A,$A17,AtractivoSitios!$B:$B,R$2)</f>
        <v>0</v>
      </c>
      <c r="S17" s="0" t="n">
        <f aca="false">SUMIFS(AtractivoSitios!$C:$C,AtractivoSitios!$A:$A,$A17,AtractivoSitios!$B:$B,S$2)</f>
        <v>0</v>
      </c>
      <c r="T17" s="0" t="n">
        <f aca="false">SUM(M17:S17)</f>
        <v>0.53431086111775</v>
      </c>
      <c r="U17" s="0" t="n">
        <f aca="false">C17/(AD$4+H17+$T17)</f>
        <v>0.000192707127497633</v>
      </c>
      <c r="V17" s="0" t="n">
        <f aca="false">D17/(AE$4+I17+$T17)</f>
        <v>5.56283920849494E-005</v>
      </c>
      <c r="W17" s="0" t="n">
        <f aca="false">E17/(AF$4+J17+$T17)</f>
        <v>0.000324339220898317</v>
      </c>
      <c r="X17" s="0" t="n">
        <f aca="false">F17/(AG$4+K17+$T17)</f>
        <v>1.74233241787307E-005</v>
      </c>
      <c r="Y17" s="0" t="n">
        <f aca="false">G17/(AH$4+L17+$T17)</f>
        <v>1.08083677449961E-005</v>
      </c>
      <c r="AC17" s="7" t="s">
        <v>349</v>
      </c>
      <c r="AD17" s="0" t="n">
        <f aca="false">AD15-AD16</f>
        <v>62.6190434440081</v>
      </c>
      <c r="AE17" s="0" t="n">
        <f aca="false">AE15-AE16</f>
        <v>18.1106951214311</v>
      </c>
      <c r="AF17" s="0" t="n">
        <f aca="false">AF15-AF16</f>
        <v>103.706040086748</v>
      </c>
      <c r="AG17" s="0" t="n">
        <f aca="false">AG15-AG16</f>
        <v>5.6843972442624</v>
      </c>
      <c r="AH17" s="0" t="n">
        <f aca="false">AH15-AH16</f>
        <v>3.52702410355039</v>
      </c>
    </row>
    <row r="18" customFormat="false" ht="15" hidden="false" customHeight="false" outlineLevel="0" collapsed="false">
      <c r="A18" s="0" t="s">
        <v>62</v>
      </c>
      <c r="B18" s="0" t="n">
        <f aca="false">SUMIFS(Sectores!$C:$C,Sectores!$A:$A,$A18)</f>
        <v>4980</v>
      </c>
      <c r="C18" s="0" t="n">
        <f aca="false">SUMIFS(Generacion!$C:$C,Generacion!$A:$A,$A18,Generacion!$B:$B,C$2)</f>
        <v>0.0435338767065874</v>
      </c>
      <c r="D18" s="0" t="n">
        <f aca="false">SUMIFS(Generacion!$C:$C,Generacion!$A:$A,$A18,Generacion!$B:$B,D$2)</f>
        <v>0.0378709333951614</v>
      </c>
      <c r="E18" s="0" t="n">
        <f aca="false">SUMIFS(Generacion!$C:$C,Generacion!$A:$A,$A18,Generacion!$B:$B,E$2)</f>
        <v>0.0134494903646368</v>
      </c>
      <c r="F18" s="0" t="n">
        <f aca="false">SUMIFS(Generacion!$C:$C,Generacion!$A:$A,$A18,Generacion!$B:$B,F$2)</f>
        <v>0.00353933956964125</v>
      </c>
      <c r="G18" s="0" t="n">
        <f aca="false">SUMIFS(Generacion!$C:$C,Generacion!$A:$A,$A18,Generacion!$B:$B,G$2)</f>
        <v>0.00247753769874887</v>
      </c>
      <c r="H18" s="0" t="n">
        <f aca="false">SUMPRODUCT((AtractivoAlternativas!$A$2:$A$931=$A18)*AtractivoAlternativas!$C$2:$C$931*COUNTIFS(Alternativas!$A$2:$A$51,AtractivoAlternativas!$B$2:$B$931,Alternativas!$B$2:$B$51,H$2))</f>
        <v>0.519283515477165</v>
      </c>
      <c r="I18" s="0" t="n">
        <f aca="false">SUMPRODUCT((AtractivoAlternativas!$A$2:$A$931=$A18)*AtractivoAlternativas!$C$2:$C$931*COUNTIFS(Alternativas!$A$2:$A$51,AtractivoAlternativas!$B$2:$B$931,Alternativas!$B$2:$B$51,I$2))</f>
        <v>1.53310036540485</v>
      </c>
      <c r="J18" s="0" t="n">
        <f aca="false">SUMPRODUCT((AtractivoAlternativas!$A$2:$A$931=$A18)*AtractivoAlternativas!$C$2:$C$931*COUNTIFS(Alternativas!$A$2:$A$51,AtractivoAlternativas!$B$2:$B$931,Alternativas!$B$2:$B$51,J$2))</f>
        <v>0.918975718132088</v>
      </c>
      <c r="K18" s="0" t="n">
        <f aca="false">SUMPRODUCT((AtractivoAlternativas!$A$2:$A$931=$A18)*AtractivoAlternativas!$C$2:$C$931*COUNTIFS(Alternativas!$A$2:$A$51,AtractivoAlternativas!$B$2:$B$931,Alternativas!$B$2:$B$51,K$2))</f>
        <v>0</v>
      </c>
      <c r="L18" s="0" t="n">
        <f aca="false">SUMPRODUCT((AtractivoAlternativas!$A$2:$A$931=$A18)*AtractivoAlternativas!$C$2:$C$931*COUNTIFS(Alternativas!$A$2:$A$51,AtractivoAlternativas!$B$2:$B$931,Alternativas!$B$2:$B$51,L$2))</f>
        <v>0</v>
      </c>
      <c r="M18" s="0" t="n">
        <f aca="false">SUMIFS(AtractivoSitios!$C:$C,AtractivoSitios!$A:$A,$A18,AtractivoSitios!$B:$B,M$2)</f>
        <v>0</v>
      </c>
      <c r="N18" s="0" t="n">
        <f aca="false">SUMIFS(AtractivoSitios!$C:$C,AtractivoSitios!$A:$A,$A18,AtractivoSitios!$B:$B,N$2)</f>
        <v>0</v>
      </c>
      <c r="O18" s="0" t="n">
        <f aca="false">SUMIFS(AtractivoSitios!$C:$C,AtractivoSitios!$A:$A,$A18,AtractivoSitios!$B:$B,O$2)</f>
        <v>0</v>
      </c>
      <c r="P18" s="0" t="n">
        <f aca="false">SUMIFS(AtractivoSitios!$C:$C,AtractivoSitios!$A:$A,$A18,AtractivoSitios!$B:$B,P$2)</f>
        <v>0</v>
      </c>
      <c r="Q18" s="0" t="n">
        <f aca="false">SUMIFS(AtractivoSitios!$C:$C,AtractivoSitios!$A:$A,$A18,AtractivoSitios!$B:$B,Q$2)</f>
        <v>0.752542820607289</v>
      </c>
      <c r="R18" s="0" t="n">
        <f aca="false">SUMIFS(AtractivoSitios!$C:$C,AtractivoSitios!$A:$A,$A18,AtractivoSitios!$B:$B,R$2)</f>
        <v>0</v>
      </c>
      <c r="S18" s="0" t="n">
        <f aca="false">SUMIFS(AtractivoSitios!$C:$C,AtractivoSitios!$A:$A,$A18,AtractivoSitios!$B:$B,S$2)</f>
        <v>0</v>
      </c>
      <c r="T18" s="0" t="n">
        <f aca="false">SUM(M18:S18)</f>
        <v>0.752542820607289</v>
      </c>
      <c r="U18" s="0" t="n">
        <f aca="false">C18/(AD$4+H18+$T18)</f>
        <v>0.000192080046235422</v>
      </c>
      <c r="V18" s="0" t="n">
        <f aca="false">D18/(AE$4+I18+$T18)</f>
        <v>5.55229241503927E-005</v>
      </c>
      <c r="W18" s="0" t="n">
        <f aca="false">E18/(AF$4+J18+$T18)</f>
        <v>0.00031568190795044</v>
      </c>
      <c r="X18" s="0" t="n">
        <f aca="false">F18/(AG$4+K18+$T18)</f>
        <v>1.74046263214188E-005</v>
      </c>
      <c r="Y18" s="0" t="n">
        <f aca="false">G18/(AH$4+L18+$T18)</f>
        <v>1.07980874628483E-005</v>
      </c>
      <c r="AC18" s="7" t="s">
        <v>350</v>
      </c>
      <c r="AD18" s="27" t="n">
        <f aca="false">AD14-AD17</f>
        <v>0</v>
      </c>
      <c r="AE18" s="27" t="n">
        <f aca="false">AE14-AE17</f>
        <v>0</v>
      </c>
      <c r="AF18" s="27" t="n">
        <f aca="false">AF14-AF17</f>
        <v>5.82645043323282E-013</v>
      </c>
      <c r="AG18" s="27" t="n">
        <f aca="false">AG14-AG17</f>
        <v>0</v>
      </c>
      <c r="AH18" s="27" t="n">
        <f aca="false">AH14-AH17</f>
        <v>0</v>
      </c>
    </row>
    <row r="19" customFormat="false" ht="15" hidden="false" customHeight="false" outlineLevel="0" collapsed="false">
      <c r="A19" s="0" t="s">
        <v>63</v>
      </c>
      <c r="B19" s="0" t="n">
        <f aca="false">SUMIFS(Sectores!$C:$C,Sectores!$A:$A,$A19)</f>
        <v>4837</v>
      </c>
      <c r="C19" s="0" t="n">
        <f aca="false">SUMIFS(Generacion!$C:$C,Generacion!$A:$A,$A19,Generacion!$B:$B,C$2)</f>
        <v>0.0435338767065874</v>
      </c>
      <c r="D19" s="0" t="n">
        <f aca="false">SUMIFS(Generacion!$C:$C,Generacion!$A:$A,$A19,Generacion!$B:$B,D$2)</f>
        <v>0.0378709333951614</v>
      </c>
      <c r="E19" s="0" t="n">
        <f aca="false">SUMIFS(Generacion!$C:$C,Generacion!$A:$A,$A19,Generacion!$B:$B,E$2)</f>
        <v>0.0134494903646368</v>
      </c>
      <c r="F19" s="0" t="n">
        <f aca="false">SUMIFS(Generacion!$C:$C,Generacion!$A:$A,$A19,Generacion!$B:$B,F$2)</f>
        <v>0.00353933956964125</v>
      </c>
      <c r="G19" s="0" t="n">
        <f aca="false">SUMIFS(Generacion!$C:$C,Generacion!$A:$A,$A19,Generacion!$B:$B,G$2)</f>
        <v>0.00247753769874887</v>
      </c>
      <c r="H19" s="0" t="n">
        <f aca="false">SUMPRODUCT((AtractivoAlternativas!$A$2:$A$931=$A19)*AtractivoAlternativas!$C$2:$C$931*COUNTIFS(Alternativas!$A$2:$A$51,AtractivoAlternativas!$B$2:$B$931,Alternativas!$B$2:$B$51,H$2))</f>
        <v>0.90799196771258</v>
      </c>
      <c r="I19" s="0" t="n">
        <f aca="false">SUMPRODUCT((AtractivoAlternativas!$A$2:$A$931=$A19)*AtractivoAlternativas!$C$2:$C$931*COUNTIFS(Alternativas!$A$2:$A$51,AtractivoAlternativas!$B$2:$B$931,Alternativas!$B$2:$B$51,I$2))</f>
        <v>3.19248597205528</v>
      </c>
      <c r="J19" s="0" t="n">
        <f aca="false">SUMPRODUCT((AtractivoAlternativas!$A$2:$A$931=$A19)*AtractivoAlternativas!$C$2:$C$931*COUNTIFS(Alternativas!$A$2:$A$51,AtractivoAlternativas!$B$2:$B$931,Alternativas!$B$2:$B$51,J$2))</f>
        <v>1.00342523245755</v>
      </c>
      <c r="K19" s="0" t="n">
        <f aca="false">SUMPRODUCT((AtractivoAlternativas!$A$2:$A$931=$A19)*AtractivoAlternativas!$C$2:$C$931*COUNTIFS(Alternativas!$A$2:$A$51,AtractivoAlternativas!$B$2:$B$931,Alternativas!$B$2:$B$51,K$2))</f>
        <v>0</v>
      </c>
      <c r="L19" s="0" t="n">
        <f aca="false">SUMPRODUCT((AtractivoAlternativas!$A$2:$A$931=$A19)*AtractivoAlternativas!$C$2:$C$931*COUNTIFS(Alternativas!$A$2:$A$51,AtractivoAlternativas!$B$2:$B$931,Alternativas!$B$2:$B$51,L$2))</f>
        <v>0</v>
      </c>
      <c r="M19" s="0" t="n">
        <f aca="false">SUMIFS(AtractivoSitios!$C:$C,AtractivoSitios!$A:$A,$A19,AtractivoSitios!$B:$B,M$2)</f>
        <v>0</v>
      </c>
      <c r="N19" s="0" t="n">
        <f aca="false">SUMIFS(AtractivoSitios!$C:$C,AtractivoSitios!$A:$A,$A19,AtractivoSitios!$B:$B,N$2)</f>
        <v>0</v>
      </c>
      <c r="O19" s="0" t="n">
        <f aca="false">SUMIFS(AtractivoSitios!$C:$C,AtractivoSitios!$A:$A,$A19,AtractivoSitios!$B:$B,O$2)</f>
        <v>0</v>
      </c>
      <c r="P19" s="0" t="n">
        <f aca="false">SUMIFS(AtractivoSitios!$C:$C,AtractivoSitios!$A:$A,$A19,AtractivoSitios!$B:$B,P$2)</f>
        <v>0</v>
      </c>
      <c r="Q19" s="0" t="n">
        <f aca="false">SUMIFS(AtractivoSitios!$C:$C,AtractivoSitios!$A:$A,$A19,AtractivoSitios!$B:$B,Q$2)</f>
        <v>0.525446962352214</v>
      </c>
      <c r="R19" s="0" t="n">
        <f aca="false">SUMIFS(AtractivoSitios!$C:$C,AtractivoSitios!$A:$A,$A19,AtractivoSitios!$B:$B,R$2)</f>
        <v>0</v>
      </c>
      <c r="S19" s="0" t="n">
        <f aca="false">SUMIFS(AtractivoSitios!$C:$C,AtractivoSitios!$A:$A,$A19,AtractivoSitios!$B:$B,S$2)</f>
        <v>0</v>
      </c>
      <c r="T19" s="0" t="n">
        <f aca="false">SUM(M19:S19)</f>
        <v>0.525446962352214</v>
      </c>
      <c r="U19" s="0" t="n">
        <f aca="false">C19/(AD$4+H19+$T19)</f>
        <v>0.000191943177961375</v>
      </c>
      <c r="V19" s="0" t="n">
        <f aca="false">D19/(AE$4+I19+$T19)</f>
        <v>5.54065762583348E-005</v>
      </c>
      <c r="W19" s="0" t="n">
        <f aca="false">E19/(AF$4+J19+$T19)</f>
        <v>0.000316742408074921</v>
      </c>
      <c r="X19" s="0" t="n">
        <f aca="false">F19/(AG$4+K19+$T19)</f>
        <v>1.74240844761932E-005</v>
      </c>
      <c r="Y19" s="0" t="n">
        <f aca="false">G19/(AH$4+L19+$T19)</f>
        <v>1.08087857115548E-005</v>
      </c>
    </row>
    <row r="20" customFormat="false" ht="15" hidden="false" customHeight="false" outlineLevel="0" collapsed="false">
      <c r="A20" s="0" t="s">
        <v>64</v>
      </c>
      <c r="B20" s="0" t="n">
        <f aca="false">SUMIFS(Sectores!$C:$C,Sectores!$A:$A,$A20)</f>
        <v>9872</v>
      </c>
      <c r="C20" s="0" t="n">
        <f aca="false">SUMIFS(Generacion!$C:$C,Generacion!$A:$A,$A20,Generacion!$B:$B,C$2)</f>
        <v>0.0435338767065874</v>
      </c>
      <c r="D20" s="0" t="n">
        <f aca="false">SUMIFS(Generacion!$C:$C,Generacion!$A:$A,$A20,Generacion!$B:$B,D$2)</f>
        <v>0.0378709333951614</v>
      </c>
      <c r="E20" s="0" t="n">
        <f aca="false">SUMIFS(Generacion!$C:$C,Generacion!$A:$A,$A20,Generacion!$B:$B,E$2)</f>
        <v>0.0134494903646368</v>
      </c>
      <c r="F20" s="0" t="n">
        <f aca="false">SUMIFS(Generacion!$C:$C,Generacion!$A:$A,$A20,Generacion!$B:$B,F$2)</f>
        <v>0.00353933956964125</v>
      </c>
      <c r="G20" s="0" t="n">
        <f aca="false">SUMIFS(Generacion!$C:$C,Generacion!$A:$A,$A20,Generacion!$B:$B,G$2)</f>
        <v>0.00247753769874887</v>
      </c>
      <c r="H20" s="0" t="n">
        <f aca="false">SUMPRODUCT((AtractivoAlternativas!$A$2:$A$931=$A20)*AtractivoAlternativas!$C$2:$C$931*COUNTIFS(Alternativas!$A$2:$A$51,AtractivoAlternativas!$B$2:$B$931,Alternativas!$B$2:$B$51,H$2))</f>
        <v>1.44361848978296</v>
      </c>
      <c r="I20" s="0" t="n">
        <f aca="false">SUMPRODUCT((AtractivoAlternativas!$A$2:$A$931=$A20)*AtractivoAlternativas!$C$2:$C$931*COUNTIFS(Alternativas!$A$2:$A$51,AtractivoAlternativas!$B$2:$B$931,Alternativas!$B$2:$B$51,I$2))</f>
        <v>3.26013378232056</v>
      </c>
      <c r="J20" s="0" t="n">
        <f aca="false">SUMPRODUCT((AtractivoAlternativas!$A$2:$A$931=$A20)*AtractivoAlternativas!$C$2:$C$931*COUNTIFS(Alternativas!$A$2:$A$51,AtractivoAlternativas!$B$2:$B$931,Alternativas!$B$2:$B$51,J$2))</f>
        <v>1.65433956824665</v>
      </c>
      <c r="K20" s="0" t="n">
        <f aca="false">SUMPRODUCT((AtractivoAlternativas!$A$2:$A$931=$A20)*AtractivoAlternativas!$C$2:$C$931*COUNTIFS(Alternativas!$A$2:$A$51,AtractivoAlternativas!$B$2:$B$931,Alternativas!$B$2:$B$51,K$2))</f>
        <v>0</v>
      </c>
      <c r="L20" s="0" t="n">
        <f aca="false">SUMPRODUCT((AtractivoAlternativas!$A$2:$A$931=$A20)*AtractivoAlternativas!$C$2:$C$931*COUNTIFS(Alternativas!$A$2:$A$51,AtractivoAlternativas!$B$2:$B$931,Alternativas!$B$2:$B$51,L$2))</f>
        <v>0</v>
      </c>
      <c r="M20" s="0" t="n">
        <f aca="false">SUMIFS(AtractivoSitios!$C:$C,AtractivoSitios!$A:$A,$A20,AtractivoSitios!$B:$B,M$2)</f>
        <v>0</v>
      </c>
      <c r="N20" s="0" t="n">
        <f aca="false">SUMIFS(AtractivoSitios!$C:$C,AtractivoSitios!$A:$A,$A20,AtractivoSitios!$B:$B,N$2)</f>
        <v>0</v>
      </c>
      <c r="O20" s="0" t="n">
        <f aca="false">SUMIFS(AtractivoSitios!$C:$C,AtractivoSitios!$A:$A,$A20,AtractivoSitios!$B:$B,O$2)</f>
        <v>0</v>
      </c>
      <c r="P20" s="0" t="n">
        <f aca="false">SUMIFS(AtractivoSitios!$C:$C,AtractivoSitios!$A:$A,$A20,AtractivoSitios!$B:$B,P$2)</f>
        <v>0</v>
      </c>
      <c r="Q20" s="0" t="n">
        <f aca="false">SUMIFS(AtractivoSitios!$C:$C,AtractivoSitios!$A:$A,$A20,AtractivoSitios!$B:$B,Q$2)</f>
        <v>0.468583841314884</v>
      </c>
      <c r="R20" s="0" t="n">
        <f aca="false">SUMIFS(AtractivoSitios!$C:$C,AtractivoSitios!$A:$A,$A20,AtractivoSitios!$B:$B,R$2)</f>
        <v>0</v>
      </c>
      <c r="S20" s="0" t="n">
        <f aca="false">SUMIFS(AtractivoSitios!$C:$C,AtractivoSitios!$A:$A,$A20,AtractivoSitios!$B:$B,S$2)</f>
        <v>0</v>
      </c>
      <c r="T20" s="0" t="n">
        <f aca="false">SUM(M20:S20)</f>
        <v>0.468583841314884</v>
      </c>
      <c r="U20" s="0" t="n">
        <f aca="false">C20/(AD$4+H20+$T20)</f>
        <v>0.000191538859865295</v>
      </c>
      <c r="V20" s="0" t="n">
        <f aca="false">D20/(AE$4+I20+$T20)</f>
        <v>5.54057020450486E-005</v>
      </c>
      <c r="W20" s="0" t="n">
        <f aca="false">E20/(AF$4+J20+$T20)</f>
        <v>0.00031237225422931</v>
      </c>
      <c r="X20" s="0" t="n">
        <f aca="false">F20/(AG$4+K20+$T20)</f>
        <v>1.74289634668798E-005</v>
      </c>
      <c r="Y20" s="0" t="n">
        <f aca="false">G20/(AH$4+L20+$T20)</f>
        <v>1.08114677931583E-005</v>
      </c>
      <c r="AA20" s="7" t="s">
        <v>351</v>
      </c>
    </row>
    <row r="21" customFormat="false" ht="15" hidden="false" customHeight="false" outlineLevel="0" collapsed="false">
      <c r="A21" s="0" t="s">
        <v>65</v>
      </c>
      <c r="B21" s="0" t="n">
        <f aca="false">SUMIFS(Sectores!$C:$C,Sectores!$A:$A,$A21)</f>
        <v>8592</v>
      </c>
      <c r="C21" s="0" t="n">
        <f aca="false">SUMIFS(Generacion!$C:$C,Generacion!$A:$A,$A21,Generacion!$B:$B,C$2)</f>
        <v>0.0435338767065874</v>
      </c>
      <c r="D21" s="0" t="n">
        <f aca="false">SUMIFS(Generacion!$C:$C,Generacion!$A:$A,$A21,Generacion!$B:$B,D$2)</f>
        <v>0.0378709333951614</v>
      </c>
      <c r="E21" s="0" t="n">
        <f aca="false">SUMIFS(Generacion!$C:$C,Generacion!$A:$A,$A21,Generacion!$B:$B,E$2)</f>
        <v>0.0134494903646368</v>
      </c>
      <c r="F21" s="0" t="n">
        <f aca="false">SUMIFS(Generacion!$C:$C,Generacion!$A:$A,$A21,Generacion!$B:$B,F$2)</f>
        <v>0.00353933956964125</v>
      </c>
      <c r="G21" s="0" t="n">
        <f aca="false">SUMIFS(Generacion!$C:$C,Generacion!$A:$A,$A21,Generacion!$B:$B,G$2)</f>
        <v>0.00247753769874887</v>
      </c>
      <c r="H21" s="0" t="n">
        <f aca="false">SUMPRODUCT((AtractivoAlternativas!$A$2:$A$931=$A21)*AtractivoAlternativas!$C$2:$C$931*COUNTIFS(Alternativas!$A$2:$A$51,AtractivoAlternativas!$B$2:$B$931,Alternativas!$B$2:$B$51,H$2))</f>
        <v>1.61600498159124</v>
      </c>
      <c r="I21" s="0" t="n">
        <f aca="false">SUMPRODUCT((AtractivoAlternativas!$A$2:$A$931=$A21)*AtractivoAlternativas!$C$2:$C$931*COUNTIFS(Alternativas!$A$2:$A$51,AtractivoAlternativas!$B$2:$B$931,Alternativas!$B$2:$B$51,I$2))</f>
        <v>3.5979264420688</v>
      </c>
      <c r="J21" s="0" t="n">
        <f aca="false">SUMPRODUCT((AtractivoAlternativas!$A$2:$A$931=$A21)*AtractivoAlternativas!$C$2:$C$931*COUNTIFS(Alternativas!$A$2:$A$51,AtractivoAlternativas!$B$2:$B$931,Alternativas!$B$2:$B$51,J$2))</f>
        <v>2.01647085821812</v>
      </c>
      <c r="K21" s="0" t="n">
        <f aca="false">SUMPRODUCT((AtractivoAlternativas!$A$2:$A$931=$A21)*AtractivoAlternativas!$C$2:$C$931*COUNTIFS(Alternativas!$A$2:$A$51,AtractivoAlternativas!$B$2:$B$931,Alternativas!$B$2:$B$51,K$2))</f>
        <v>0</v>
      </c>
      <c r="L21" s="0" t="n">
        <f aca="false">SUMPRODUCT((AtractivoAlternativas!$A$2:$A$931=$A21)*AtractivoAlternativas!$C$2:$C$931*COUNTIFS(Alternativas!$A$2:$A$51,AtractivoAlternativas!$B$2:$B$931,Alternativas!$B$2:$B$51,L$2))</f>
        <v>0</v>
      </c>
      <c r="M21" s="0" t="n">
        <f aca="false">SUMIFS(AtractivoSitios!$C:$C,AtractivoSitios!$A:$A,$A21,AtractivoSitios!$B:$B,M$2)</f>
        <v>0</v>
      </c>
      <c r="N21" s="0" t="n">
        <f aca="false">SUMIFS(AtractivoSitios!$C:$C,AtractivoSitios!$A:$A,$A21,AtractivoSitios!$B:$B,N$2)</f>
        <v>0</v>
      </c>
      <c r="O21" s="0" t="n">
        <f aca="false">SUMIFS(AtractivoSitios!$C:$C,AtractivoSitios!$A:$A,$A21,AtractivoSitios!$B:$B,O$2)</f>
        <v>0</v>
      </c>
      <c r="P21" s="0" t="n">
        <f aca="false">SUMIFS(AtractivoSitios!$C:$C,AtractivoSitios!$A:$A,$A21,AtractivoSitios!$B:$B,P$2)</f>
        <v>0</v>
      </c>
      <c r="Q21" s="0" t="n">
        <f aca="false">SUMIFS(AtractivoSitios!$C:$C,AtractivoSitios!$A:$A,$A21,AtractivoSitios!$B:$B,Q$2)</f>
        <v>0</v>
      </c>
      <c r="R21" s="0" t="n">
        <f aca="false">SUMIFS(AtractivoSitios!$C:$C,AtractivoSitios!$A:$A,$A21,AtractivoSitios!$B:$B,R$2)</f>
        <v>0</v>
      </c>
      <c r="S21" s="0" t="n">
        <f aca="false">SUMIFS(AtractivoSitios!$C:$C,AtractivoSitios!$A:$A,$A21,AtractivoSitios!$B:$B,S$2)</f>
        <v>0</v>
      </c>
      <c r="T21" s="0" t="n">
        <f aca="false">SUM(M21:S21)</f>
        <v>0</v>
      </c>
      <c r="U21" s="0" t="n">
        <f aca="false">C21/(AD$4+H21+$T21)</f>
        <v>0.000191788798827457</v>
      </c>
      <c r="V21" s="0" t="n">
        <f aca="false">D21/(AE$4+I21+$T21)</f>
        <v>5.54163059173316E-005</v>
      </c>
      <c r="W21" s="0" t="n">
        <f aca="false">E21/(AF$4+J21+$T21)</f>
        <v>0.000313146484663358</v>
      </c>
      <c r="X21" s="0" t="n">
        <f aca="false">F21/(AG$4+K21+$T21)</f>
        <v>1.74692733442245E-005</v>
      </c>
      <c r="Y21" s="0" t="n">
        <f aca="false">G21/(AH$4+L21+$T21)</f>
        <v>1.08336204240265E-005</v>
      </c>
      <c r="AA21" s="28" t="s">
        <v>352</v>
      </c>
    </row>
    <row r="22" customFormat="false" ht="15" hidden="false" customHeight="false" outlineLevel="0" collapsed="false">
      <c r="A22" s="0" t="s">
        <v>66</v>
      </c>
      <c r="B22" s="0" t="n">
        <f aca="false">SUMIFS(Sectores!$C:$C,Sectores!$A:$A,$A22)</f>
        <v>5694</v>
      </c>
      <c r="C22" s="0" t="n">
        <f aca="false">SUMIFS(Generacion!$C:$C,Generacion!$A:$A,$A22,Generacion!$B:$B,C$2)</f>
        <v>0.0435338767065874</v>
      </c>
      <c r="D22" s="0" t="n">
        <f aca="false">SUMIFS(Generacion!$C:$C,Generacion!$A:$A,$A22,Generacion!$B:$B,D$2)</f>
        <v>0.0378709333951614</v>
      </c>
      <c r="E22" s="0" t="n">
        <f aca="false">SUMIFS(Generacion!$C:$C,Generacion!$A:$A,$A22,Generacion!$B:$B,E$2)</f>
        <v>0.0134494903646368</v>
      </c>
      <c r="F22" s="0" t="n">
        <f aca="false">SUMIFS(Generacion!$C:$C,Generacion!$A:$A,$A22,Generacion!$B:$B,F$2)</f>
        <v>0.00353933956964125</v>
      </c>
      <c r="G22" s="0" t="n">
        <f aca="false">SUMIFS(Generacion!$C:$C,Generacion!$A:$A,$A22,Generacion!$B:$B,G$2)</f>
        <v>0.00247753769874887</v>
      </c>
      <c r="H22" s="0" t="n">
        <f aca="false">SUMPRODUCT((AtractivoAlternativas!$A$2:$A$931=$A22)*AtractivoAlternativas!$C$2:$C$931*COUNTIFS(Alternativas!$A$2:$A$51,AtractivoAlternativas!$B$2:$B$931,Alternativas!$B$2:$B$51,H$2))</f>
        <v>0.951177988982885</v>
      </c>
      <c r="I22" s="0" t="n">
        <f aca="false">SUMPRODUCT((AtractivoAlternativas!$A$2:$A$931=$A22)*AtractivoAlternativas!$C$2:$C$931*COUNTIFS(Alternativas!$A$2:$A$51,AtractivoAlternativas!$B$2:$B$931,Alternativas!$B$2:$B$51,I$2))</f>
        <v>3.11385554427158</v>
      </c>
      <c r="J22" s="0" t="n">
        <f aca="false">SUMPRODUCT((AtractivoAlternativas!$A$2:$A$931=$A22)*AtractivoAlternativas!$C$2:$C$931*COUNTIFS(Alternativas!$A$2:$A$51,AtractivoAlternativas!$B$2:$B$931,Alternativas!$B$2:$B$51,J$2))</f>
        <v>0.9034752261764</v>
      </c>
      <c r="K22" s="0" t="n">
        <f aca="false">SUMPRODUCT((AtractivoAlternativas!$A$2:$A$931=$A22)*AtractivoAlternativas!$C$2:$C$931*COUNTIFS(Alternativas!$A$2:$A$51,AtractivoAlternativas!$B$2:$B$931,Alternativas!$B$2:$B$51,K$2))</f>
        <v>0</v>
      </c>
      <c r="L22" s="0" t="n">
        <f aca="false">SUMPRODUCT((AtractivoAlternativas!$A$2:$A$931=$A22)*AtractivoAlternativas!$C$2:$C$931*COUNTIFS(Alternativas!$A$2:$A$51,AtractivoAlternativas!$B$2:$B$931,Alternativas!$B$2:$B$51,L$2))</f>
        <v>0</v>
      </c>
      <c r="M22" s="0" t="n">
        <f aca="false">SUMIFS(AtractivoSitios!$C:$C,AtractivoSitios!$A:$A,$A22,AtractivoSitios!$B:$B,M$2)</f>
        <v>0</v>
      </c>
      <c r="N22" s="0" t="n">
        <f aca="false">SUMIFS(AtractivoSitios!$C:$C,AtractivoSitios!$A:$A,$A22,AtractivoSitios!$B:$B,N$2)</f>
        <v>0</v>
      </c>
      <c r="O22" s="0" t="n">
        <f aca="false">SUMIFS(AtractivoSitios!$C:$C,AtractivoSitios!$A:$A,$A22,AtractivoSitios!$B:$B,O$2)</f>
        <v>0</v>
      </c>
      <c r="P22" s="0" t="n">
        <f aca="false">SUMIFS(AtractivoSitios!$C:$C,AtractivoSitios!$A:$A,$A22,AtractivoSitios!$B:$B,P$2)</f>
        <v>0</v>
      </c>
      <c r="Q22" s="0" t="n">
        <f aca="false">SUMIFS(AtractivoSitios!$C:$C,AtractivoSitios!$A:$A,$A22,AtractivoSitios!$B:$B,Q$2)</f>
        <v>0</v>
      </c>
      <c r="R22" s="0" t="n">
        <f aca="false">SUMIFS(AtractivoSitios!$C:$C,AtractivoSitios!$A:$A,$A22,AtractivoSitios!$B:$B,R$2)</f>
        <v>0</v>
      </c>
      <c r="S22" s="0" t="n">
        <f aca="false">SUMIFS(AtractivoSitios!$C:$C,AtractivoSitios!$A:$A,$A22,AtractivoSitios!$B:$B,S$2)</f>
        <v>0</v>
      </c>
      <c r="T22" s="0" t="n">
        <f aca="false">SUM(M22:S22)</f>
        <v>0</v>
      </c>
      <c r="U22" s="0" t="n">
        <f aca="false">C22/(AD$4+H22+$T22)</f>
        <v>0.00019235217911982</v>
      </c>
      <c r="V22" s="0" t="n">
        <f aca="false">D22/(AE$4+I22+$T22)</f>
        <v>5.5455587216687E-005</v>
      </c>
      <c r="W22" s="0" t="n">
        <f aca="false">E22/(AF$4+J22+$T22)</f>
        <v>0.000321477260158396</v>
      </c>
      <c r="X22" s="0" t="n">
        <f aca="false">F22/(AG$4+K22+$T22)</f>
        <v>1.74692733442245E-005</v>
      </c>
      <c r="Y22" s="0" t="n">
        <f aca="false">G22/(AH$4+L22+$T22)</f>
        <v>1.08336204240265E-005</v>
      </c>
      <c r="AA22" s="28" t="s">
        <v>353</v>
      </c>
    </row>
    <row r="23" customFormat="false" ht="15" hidden="false" customHeight="false" outlineLevel="0" collapsed="false">
      <c r="A23" s="0" t="s">
        <v>67</v>
      </c>
      <c r="B23" s="0" t="n">
        <f aca="false">SUMIFS(Sectores!$C:$C,Sectores!$A:$A,$A23)</f>
        <v>4952</v>
      </c>
      <c r="C23" s="0" t="n">
        <f aca="false">SUMIFS(Generacion!$C:$C,Generacion!$A:$A,$A23,Generacion!$B:$B,C$2)</f>
        <v>0.0435338767065874</v>
      </c>
      <c r="D23" s="0" t="n">
        <f aca="false">SUMIFS(Generacion!$C:$C,Generacion!$A:$A,$A23,Generacion!$B:$B,D$2)</f>
        <v>0.0378709333951614</v>
      </c>
      <c r="E23" s="0" t="n">
        <f aca="false">SUMIFS(Generacion!$C:$C,Generacion!$A:$A,$A23,Generacion!$B:$B,E$2)</f>
        <v>0.0134494903646368</v>
      </c>
      <c r="F23" s="0" t="n">
        <f aca="false">SUMIFS(Generacion!$C:$C,Generacion!$A:$A,$A23,Generacion!$B:$B,F$2)</f>
        <v>0.00353933956964125</v>
      </c>
      <c r="G23" s="0" t="n">
        <f aca="false">SUMIFS(Generacion!$C:$C,Generacion!$A:$A,$A23,Generacion!$B:$B,G$2)</f>
        <v>0.00247753769874887</v>
      </c>
      <c r="H23" s="0" t="n">
        <f aca="false">SUMPRODUCT((AtractivoAlternativas!$A$2:$A$931=$A23)*AtractivoAlternativas!$C$2:$C$931*COUNTIFS(Alternativas!$A$2:$A$51,AtractivoAlternativas!$B$2:$B$931,Alternativas!$B$2:$B$51,H$2))</f>
        <v>0.511041387033843</v>
      </c>
      <c r="I23" s="0" t="n">
        <f aca="false">SUMPRODUCT((AtractivoAlternativas!$A$2:$A$931=$A23)*AtractivoAlternativas!$C$2:$C$931*COUNTIFS(Alternativas!$A$2:$A$51,AtractivoAlternativas!$B$2:$B$931,Alternativas!$B$2:$B$51,I$2))</f>
        <v>2.35731585658355</v>
      </c>
      <c r="J23" s="0" t="n">
        <f aca="false">SUMPRODUCT((AtractivoAlternativas!$A$2:$A$931=$A23)*AtractivoAlternativas!$C$2:$C$931*COUNTIFS(Alternativas!$A$2:$A$51,AtractivoAlternativas!$B$2:$B$931,Alternativas!$B$2:$B$51,J$2))</f>
        <v>0.382091920307567</v>
      </c>
      <c r="K23" s="0" t="n">
        <f aca="false">SUMPRODUCT((AtractivoAlternativas!$A$2:$A$931=$A23)*AtractivoAlternativas!$C$2:$C$931*COUNTIFS(Alternativas!$A$2:$A$51,AtractivoAlternativas!$B$2:$B$931,Alternativas!$B$2:$B$51,K$2))</f>
        <v>0</v>
      </c>
      <c r="L23" s="0" t="n">
        <f aca="false">SUMPRODUCT((AtractivoAlternativas!$A$2:$A$931=$A23)*AtractivoAlternativas!$C$2:$C$931*COUNTIFS(Alternativas!$A$2:$A$51,AtractivoAlternativas!$B$2:$B$931,Alternativas!$B$2:$B$51,L$2))</f>
        <v>0</v>
      </c>
      <c r="M23" s="0" t="n">
        <f aca="false">SUMIFS(AtractivoSitios!$C:$C,AtractivoSitios!$A:$A,$A23,AtractivoSitios!$B:$B,M$2)</f>
        <v>0</v>
      </c>
      <c r="N23" s="0" t="n">
        <f aca="false">SUMIFS(AtractivoSitios!$C:$C,AtractivoSitios!$A:$A,$A23,AtractivoSitios!$B:$B,N$2)</f>
        <v>0</v>
      </c>
      <c r="O23" s="0" t="n">
        <f aca="false">SUMIFS(AtractivoSitios!$C:$C,AtractivoSitios!$A:$A,$A23,AtractivoSitios!$B:$B,O$2)</f>
        <v>0</v>
      </c>
      <c r="P23" s="0" t="n">
        <f aca="false">SUMIFS(AtractivoSitios!$C:$C,AtractivoSitios!$A:$A,$A23,AtractivoSitios!$B:$B,P$2)</f>
        <v>0</v>
      </c>
      <c r="Q23" s="0" t="n">
        <f aca="false">SUMIFS(AtractivoSitios!$C:$C,AtractivoSitios!$A:$A,$A23,AtractivoSitios!$B:$B,Q$2)</f>
        <v>0</v>
      </c>
      <c r="R23" s="0" t="n">
        <f aca="false">SUMIFS(AtractivoSitios!$C:$C,AtractivoSitios!$A:$A,$A23,AtractivoSitios!$B:$B,R$2)</f>
        <v>0</v>
      </c>
      <c r="S23" s="0" t="n">
        <f aca="false">SUMIFS(AtractivoSitios!$C:$C,AtractivoSitios!$A:$A,$A23,AtractivoSitios!$B:$B,S$2)</f>
        <v>0</v>
      </c>
      <c r="T23" s="0" t="n">
        <f aca="false">SUM(M23:S23)</f>
        <v>0</v>
      </c>
      <c r="U23" s="0" t="n">
        <f aca="false">C23/(AD$4+H23+$T23)</f>
        <v>0.000192726979280541</v>
      </c>
      <c r="V23" s="0" t="n">
        <f aca="false">D23/(AE$4+I23+$T23)</f>
        <v>5.55170904166271E-005</v>
      </c>
      <c r="W23" s="0" t="n">
        <f aca="false">E23/(AF$4+J23+$T23)</f>
        <v>0.000325534196265937</v>
      </c>
      <c r="X23" s="0" t="n">
        <f aca="false">F23/(AG$4+K23+$T23)</f>
        <v>1.74692733442245E-005</v>
      </c>
      <c r="Y23" s="0" t="n">
        <f aca="false">G23/(AH$4+L23+$T23)</f>
        <v>1.08336204240265E-005</v>
      </c>
      <c r="AA23" s="28" t="s">
        <v>354</v>
      </c>
    </row>
    <row r="24" customFormat="false" ht="15" hidden="false" customHeight="false" outlineLevel="0" collapsed="false">
      <c r="A24" s="0" t="s">
        <v>68</v>
      </c>
      <c r="B24" s="0" t="n">
        <f aca="false">SUMIFS(Sectores!$C:$C,Sectores!$A:$A,$A24)</f>
        <v>9683</v>
      </c>
      <c r="C24" s="0" t="n">
        <f aca="false">SUMIFS(Generacion!$C:$C,Generacion!$A:$A,$A24,Generacion!$B:$B,C$2)</f>
        <v>0.0435338767065874</v>
      </c>
      <c r="D24" s="0" t="n">
        <f aca="false">SUMIFS(Generacion!$C:$C,Generacion!$A:$A,$A24,Generacion!$B:$B,D$2)</f>
        <v>0.0378709333951614</v>
      </c>
      <c r="E24" s="0" t="n">
        <f aca="false">SUMIFS(Generacion!$C:$C,Generacion!$A:$A,$A24,Generacion!$B:$B,E$2)</f>
        <v>0.0134494903646368</v>
      </c>
      <c r="F24" s="0" t="n">
        <f aca="false">SUMIFS(Generacion!$C:$C,Generacion!$A:$A,$A24,Generacion!$B:$B,F$2)</f>
        <v>0.00353933956964125</v>
      </c>
      <c r="G24" s="0" t="n">
        <f aca="false">SUMIFS(Generacion!$C:$C,Generacion!$A:$A,$A24,Generacion!$B:$B,G$2)</f>
        <v>0.00247753769874887</v>
      </c>
      <c r="H24" s="0" t="n">
        <f aca="false">SUMPRODUCT((AtractivoAlternativas!$A$2:$A$931=$A24)*AtractivoAlternativas!$C$2:$C$931*COUNTIFS(Alternativas!$A$2:$A$51,AtractivoAlternativas!$B$2:$B$931,Alternativas!$B$2:$B$51,H$2))</f>
        <v>0.414635672460722</v>
      </c>
      <c r="I24" s="0" t="n">
        <f aca="false">SUMPRODUCT((AtractivoAlternativas!$A$2:$A$931=$A24)*AtractivoAlternativas!$C$2:$C$931*COUNTIFS(Alternativas!$A$2:$A$51,AtractivoAlternativas!$B$2:$B$931,Alternativas!$B$2:$B$51,I$2))</f>
        <v>1.95586722760538</v>
      </c>
      <c r="J24" s="0" t="n">
        <f aca="false">SUMPRODUCT((AtractivoAlternativas!$A$2:$A$931=$A24)*AtractivoAlternativas!$C$2:$C$931*COUNTIFS(Alternativas!$A$2:$A$51,AtractivoAlternativas!$B$2:$B$931,Alternativas!$B$2:$B$51,J$2))</f>
        <v>0</v>
      </c>
      <c r="K24" s="0" t="n">
        <f aca="false">SUMPRODUCT((AtractivoAlternativas!$A$2:$A$931=$A24)*AtractivoAlternativas!$C$2:$C$931*COUNTIFS(Alternativas!$A$2:$A$51,AtractivoAlternativas!$B$2:$B$931,Alternativas!$B$2:$B$51,K$2))</f>
        <v>0</v>
      </c>
      <c r="L24" s="0" t="n">
        <f aca="false">SUMPRODUCT((AtractivoAlternativas!$A$2:$A$931=$A24)*AtractivoAlternativas!$C$2:$C$931*COUNTIFS(Alternativas!$A$2:$A$51,AtractivoAlternativas!$B$2:$B$931,Alternativas!$B$2:$B$51,L$2))</f>
        <v>0</v>
      </c>
      <c r="M24" s="0" t="n">
        <f aca="false">SUMIFS(AtractivoSitios!$C:$C,AtractivoSitios!$A:$A,$A24,AtractivoSitios!$B:$B,M$2)</f>
        <v>0</v>
      </c>
      <c r="N24" s="0" t="n">
        <f aca="false">SUMIFS(AtractivoSitios!$C:$C,AtractivoSitios!$A:$A,$A24,AtractivoSitios!$B:$B,N$2)</f>
        <v>0</v>
      </c>
      <c r="O24" s="0" t="n">
        <f aca="false">SUMIFS(AtractivoSitios!$C:$C,AtractivoSitios!$A:$A,$A24,AtractivoSitios!$B:$B,O$2)</f>
        <v>0</v>
      </c>
      <c r="P24" s="0" t="n">
        <f aca="false">SUMIFS(AtractivoSitios!$C:$C,AtractivoSitios!$A:$A,$A24,AtractivoSitios!$B:$B,P$2)</f>
        <v>0</v>
      </c>
      <c r="Q24" s="0" t="n">
        <f aca="false">SUMIFS(AtractivoSitios!$C:$C,AtractivoSitios!$A:$A,$A24,AtractivoSitios!$B:$B,Q$2)</f>
        <v>0</v>
      </c>
      <c r="R24" s="0" t="n">
        <f aca="false">SUMIFS(AtractivoSitios!$C:$C,AtractivoSitios!$A:$A,$A24,AtractivoSitios!$B:$B,R$2)</f>
        <v>0</v>
      </c>
      <c r="S24" s="0" t="n">
        <f aca="false">SUMIFS(AtractivoSitios!$C:$C,AtractivoSitios!$A:$A,$A24,AtractivoSitios!$B:$B,S$2)</f>
        <v>0</v>
      </c>
      <c r="T24" s="0" t="n">
        <f aca="false">SUM(M24:S24)</f>
        <v>0</v>
      </c>
      <c r="U24" s="0" t="n">
        <f aca="false">C24/(AD$4+H24+$T24)</f>
        <v>0.000192809269052308</v>
      </c>
      <c r="V24" s="0" t="n">
        <f aca="false">D24/(AE$4+I24+$T24)</f>
        <v>5.5549781779347E-005</v>
      </c>
      <c r="W24" s="0" t="n">
        <f aca="false">E24/(AF$4+J24+$T24)</f>
        <v>0.00032857291429328</v>
      </c>
      <c r="X24" s="0" t="n">
        <f aca="false">F24/(AG$4+K24+$T24)</f>
        <v>1.74692733442245E-005</v>
      </c>
      <c r="Y24" s="0" t="n">
        <f aca="false">G24/(AH$4+L24+$T24)</f>
        <v>1.08336204240265E-005</v>
      </c>
      <c r="AA24" s="28" t="s">
        <v>355</v>
      </c>
    </row>
    <row r="25" customFormat="false" ht="15" hidden="false" customHeight="false" outlineLevel="0" collapsed="false">
      <c r="A25" s="0" t="s">
        <v>69</v>
      </c>
      <c r="B25" s="0" t="n">
        <f aca="false">SUMIFS(Sectores!$C:$C,Sectores!$A:$A,$A25)</f>
        <v>3406</v>
      </c>
      <c r="C25" s="0" t="n">
        <f aca="false">SUMIFS(Generacion!$C:$C,Generacion!$A:$A,$A25,Generacion!$B:$B,C$2)</f>
        <v>0.0435338767065874</v>
      </c>
      <c r="D25" s="0" t="n">
        <f aca="false">SUMIFS(Generacion!$C:$C,Generacion!$A:$A,$A25,Generacion!$B:$B,D$2)</f>
        <v>0.0378709333951614</v>
      </c>
      <c r="E25" s="0" t="n">
        <f aca="false">SUMIFS(Generacion!$C:$C,Generacion!$A:$A,$A25,Generacion!$B:$B,E$2)</f>
        <v>0.0134494903646368</v>
      </c>
      <c r="F25" s="0" t="n">
        <f aca="false">SUMIFS(Generacion!$C:$C,Generacion!$A:$A,$A25,Generacion!$B:$B,F$2)</f>
        <v>0.00353933956964125</v>
      </c>
      <c r="G25" s="0" t="n">
        <f aca="false">SUMIFS(Generacion!$C:$C,Generacion!$A:$A,$A25,Generacion!$B:$B,G$2)</f>
        <v>0.00247753769874887</v>
      </c>
      <c r="H25" s="0" t="n">
        <f aca="false">SUMPRODUCT((AtractivoAlternativas!$A$2:$A$931=$A25)*AtractivoAlternativas!$C$2:$C$931*COUNTIFS(Alternativas!$A$2:$A$51,AtractivoAlternativas!$B$2:$B$931,Alternativas!$B$2:$B$51,H$2))</f>
        <v>0.4923378311126</v>
      </c>
      <c r="I25" s="0" t="n">
        <f aca="false">SUMPRODUCT((AtractivoAlternativas!$A$2:$A$931=$A25)*AtractivoAlternativas!$C$2:$C$931*COUNTIFS(Alternativas!$A$2:$A$51,AtractivoAlternativas!$B$2:$B$931,Alternativas!$B$2:$B$51,I$2))</f>
        <v>2.11667909728795</v>
      </c>
      <c r="J25" s="0" t="n">
        <f aca="false">SUMPRODUCT((AtractivoAlternativas!$A$2:$A$931=$A25)*AtractivoAlternativas!$C$2:$C$931*COUNTIFS(Alternativas!$A$2:$A$51,AtractivoAlternativas!$B$2:$B$931,Alternativas!$B$2:$B$51,J$2))</f>
        <v>0</v>
      </c>
      <c r="K25" s="0" t="n">
        <f aca="false">SUMPRODUCT((AtractivoAlternativas!$A$2:$A$931=$A25)*AtractivoAlternativas!$C$2:$C$931*COUNTIFS(Alternativas!$A$2:$A$51,AtractivoAlternativas!$B$2:$B$931,Alternativas!$B$2:$B$51,K$2))</f>
        <v>0</v>
      </c>
      <c r="L25" s="0" t="n">
        <f aca="false">SUMPRODUCT((AtractivoAlternativas!$A$2:$A$931=$A25)*AtractivoAlternativas!$C$2:$C$931*COUNTIFS(Alternativas!$A$2:$A$51,AtractivoAlternativas!$B$2:$B$931,Alternativas!$B$2:$B$51,L$2))</f>
        <v>0</v>
      </c>
      <c r="M25" s="0" t="n">
        <f aca="false">SUMIFS(AtractivoSitios!$C:$C,AtractivoSitios!$A:$A,$A25,AtractivoSitios!$B:$B,M$2)</f>
        <v>0</v>
      </c>
      <c r="N25" s="0" t="n">
        <f aca="false">SUMIFS(AtractivoSitios!$C:$C,AtractivoSitios!$A:$A,$A25,AtractivoSitios!$B:$B,N$2)</f>
        <v>0</v>
      </c>
      <c r="O25" s="0" t="n">
        <f aca="false">SUMIFS(AtractivoSitios!$C:$C,AtractivoSitios!$A:$A,$A25,AtractivoSitios!$B:$B,O$2)</f>
        <v>0</v>
      </c>
      <c r="P25" s="0" t="n">
        <f aca="false">SUMIFS(AtractivoSitios!$C:$C,AtractivoSitios!$A:$A,$A25,AtractivoSitios!$B:$B,P$2)</f>
        <v>0</v>
      </c>
      <c r="Q25" s="0" t="n">
        <f aca="false">SUMIFS(AtractivoSitios!$C:$C,AtractivoSitios!$A:$A,$A25,AtractivoSitios!$B:$B,Q$2)</f>
        <v>0</v>
      </c>
      <c r="R25" s="0" t="n">
        <f aca="false">SUMIFS(AtractivoSitios!$C:$C,AtractivoSitios!$A:$A,$A25,AtractivoSitios!$B:$B,R$2)</f>
        <v>0</v>
      </c>
      <c r="S25" s="0" t="n">
        <f aca="false">SUMIFS(AtractivoSitios!$C:$C,AtractivoSitios!$A:$A,$A25,AtractivoSitios!$B:$B,S$2)</f>
        <v>0</v>
      </c>
      <c r="T25" s="0" t="n">
        <f aca="false">SUM(M25:S25)</f>
        <v>0</v>
      </c>
      <c r="U25" s="0" t="n">
        <f aca="false">C25/(AD$4+H25+$T25)</f>
        <v>0.00019274293872723</v>
      </c>
      <c r="V25" s="0" t="n">
        <f aca="false">D25/(AE$4+I25+$T25)</f>
        <v>5.55366816864187E-005</v>
      </c>
      <c r="W25" s="0" t="n">
        <f aca="false">E25/(AF$4+J25+$T25)</f>
        <v>0.00032857291429328</v>
      </c>
      <c r="X25" s="0" t="n">
        <f aca="false">F25/(AG$4+K25+$T25)</f>
        <v>1.74692733442245E-005</v>
      </c>
      <c r="Y25" s="0" t="n">
        <f aca="false">G25/(AH$4+L25+$T25)</f>
        <v>1.08336204240265E-005</v>
      </c>
      <c r="AA25" s="28" t="s">
        <v>356</v>
      </c>
    </row>
    <row r="26" customFormat="false" ht="15" hidden="false" customHeight="false" outlineLevel="0" collapsed="false">
      <c r="A26" s="0" t="s">
        <v>70</v>
      </c>
      <c r="B26" s="0" t="n">
        <f aca="false">SUMIFS(Sectores!$C:$C,Sectores!$A:$A,$A26)</f>
        <v>9275</v>
      </c>
      <c r="C26" s="0" t="n">
        <f aca="false">SUMIFS(Generacion!$C:$C,Generacion!$A:$A,$A26,Generacion!$B:$B,C$2)</f>
        <v>0.0435338767065874</v>
      </c>
      <c r="D26" s="0" t="n">
        <f aca="false">SUMIFS(Generacion!$C:$C,Generacion!$A:$A,$A26,Generacion!$B:$B,D$2)</f>
        <v>0.0378709333951614</v>
      </c>
      <c r="E26" s="0" t="n">
        <f aca="false">SUMIFS(Generacion!$C:$C,Generacion!$A:$A,$A26,Generacion!$B:$B,E$2)</f>
        <v>0.0134494903646368</v>
      </c>
      <c r="F26" s="0" t="n">
        <f aca="false">SUMIFS(Generacion!$C:$C,Generacion!$A:$A,$A26,Generacion!$B:$B,F$2)</f>
        <v>0.00353933956964125</v>
      </c>
      <c r="G26" s="0" t="n">
        <f aca="false">SUMIFS(Generacion!$C:$C,Generacion!$A:$A,$A26,Generacion!$B:$B,G$2)</f>
        <v>0.00247753769874887</v>
      </c>
      <c r="H26" s="0" t="n">
        <f aca="false">SUMPRODUCT((AtractivoAlternativas!$A$2:$A$931=$A26)*AtractivoAlternativas!$C$2:$C$931*COUNTIFS(Alternativas!$A$2:$A$51,AtractivoAlternativas!$B$2:$B$931,Alternativas!$B$2:$B$51,H$2))</f>
        <v>0.420298521240944</v>
      </c>
      <c r="I26" s="0" t="n">
        <f aca="false">SUMPRODUCT((AtractivoAlternativas!$A$2:$A$931=$A26)*AtractivoAlternativas!$C$2:$C$931*COUNTIFS(Alternativas!$A$2:$A$51,AtractivoAlternativas!$B$2:$B$931,Alternativas!$B$2:$B$51,I$2))</f>
        <v>0.985790845816874</v>
      </c>
      <c r="J26" s="0" t="n">
        <f aca="false">SUMPRODUCT((AtractivoAlternativas!$A$2:$A$931=$A26)*AtractivoAlternativas!$C$2:$C$931*COUNTIFS(Alternativas!$A$2:$A$51,AtractivoAlternativas!$B$2:$B$931,Alternativas!$B$2:$B$51,J$2))</f>
        <v>0</v>
      </c>
      <c r="K26" s="0" t="n">
        <f aca="false">SUMPRODUCT((AtractivoAlternativas!$A$2:$A$931=$A26)*AtractivoAlternativas!$C$2:$C$931*COUNTIFS(Alternativas!$A$2:$A$51,AtractivoAlternativas!$B$2:$B$931,Alternativas!$B$2:$B$51,K$2))</f>
        <v>0</v>
      </c>
      <c r="L26" s="0" t="n">
        <f aca="false">SUMPRODUCT((AtractivoAlternativas!$A$2:$A$931=$A26)*AtractivoAlternativas!$C$2:$C$931*COUNTIFS(Alternativas!$A$2:$A$51,AtractivoAlternativas!$B$2:$B$931,Alternativas!$B$2:$B$51,L$2))</f>
        <v>0</v>
      </c>
      <c r="M26" s="0" t="n">
        <f aca="false">SUMIFS(AtractivoSitios!$C:$C,AtractivoSitios!$A:$A,$A26,AtractivoSitios!$B:$B,M$2)</f>
        <v>0</v>
      </c>
      <c r="N26" s="0" t="n">
        <f aca="false">SUMIFS(AtractivoSitios!$C:$C,AtractivoSitios!$A:$A,$A26,AtractivoSitios!$B:$B,N$2)</f>
        <v>0</v>
      </c>
      <c r="O26" s="0" t="n">
        <f aca="false">SUMIFS(AtractivoSitios!$C:$C,AtractivoSitios!$A:$A,$A26,AtractivoSitios!$B:$B,O$2)</f>
        <v>0</v>
      </c>
      <c r="P26" s="0" t="n">
        <f aca="false">SUMIFS(AtractivoSitios!$C:$C,AtractivoSitios!$A:$A,$A26,AtractivoSitios!$B:$B,P$2)</f>
        <v>0</v>
      </c>
      <c r="Q26" s="0" t="n">
        <f aca="false">SUMIFS(AtractivoSitios!$C:$C,AtractivoSitios!$A:$A,$A26,AtractivoSitios!$B:$B,Q$2)</f>
        <v>0</v>
      </c>
      <c r="R26" s="0" t="n">
        <f aca="false">SUMIFS(AtractivoSitios!$C:$C,AtractivoSitios!$A:$A,$A26,AtractivoSitios!$B:$B,R$2)</f>
        <v>0</v>
      </c>
      <c r="S26" s="0" t="n">
        <f aca="false">SUMIFS(AtractivoSitios!$C:$C,AtractivoSitios!$A:$A,$A26,AtractivoSitios!$B:$B,S$2)</f>
        <v>0</v>
      </c>
      <c r="T26" s="0" t="n">
        <f aca="false">SUM(M26:S26)</f>
        <v>0</v>
      </c>
      <c r="U26" s="0" t="n">
        <f aca="false">C26/(AD$4+H26+$T26)</f>
        <v>0.00019280443342807</v>
      </c>
      <c r="V26" s="0" t="n">
        <f aca="false">D26/(AE$4+I26+$T26)</f>
        <v>5.56289376345162E-005</v>
      </c>
      <c r="W26" s="0" t="n">
        <f aca="false">E26/(AF$4+J26+$T26)</f>
        <v>0.00032857291429328</v>
      </c>
      <c r="X26" s="0" t="n">
        <f aca="false">F26/(AG$4+K26+$T26)</f>
        <v>1.74692733442245E-005</v>
      </c>
      <c r="Y26" s="0" t="n">
        <f aca="false">G26/(AH$4+L26+$T26)</f>
        <v>1.08336204240265E-005</v>
      </c>
      <c r="AA26" s="28" t="s">
        <v>357</v>
      </c>
    </row>
    <row r="27" customFormat="false" ht="15" hidden="false" customHeight="false" outlineLevel="0" collapsed="false">
      <c r="A27" s="0" t="s">
        <v>71</v>
      </c>
      <c r="B27" s="0" t="n">
        <f aca="false">SUMIFS(Sectores!$C:$C,Sectores!$A:$A,$A27)</f>
        <v>1341</v>
      </c>
      <c r="C27" s="0" t="n">
        <f aca="false">SUMIFS(Generacion!$C:$C,Generacion!$A:$A,$A27,Generacion!$B:$B,C$2)</f>
        <v>0.0435338767065874</v>
      </c>
      <c r="D27" s="0" t="n">
        <f aca="false">SUMIFS(Generacion!$C:$C,Generacion!$A:$A,$A27,Generacion!$B:$B,D$2)</f>
        <v>0.0378709333951614</v>
      </c>
      <c r="E27" s="0" t="n">
        <f aca="false">SUMIFS(Generacion!$C:$C,Generacion!$A:$A,$A27,Generacion!$B:$B,E$2)</f>
        <v>0.0134494903646368</v>
      </c>
      <c r="F27" s="0" t="n">
        <f aca="false">SUMIFS(Generacion!$C:$C,Generacion!$A:$A,$A27,Generacion!$B:$B,F$2)</f>
        <v>0.00353933956964125</v>
      </c>
      <c r="G27" s="0" t="n">
        <f aca="false">SUMIFS(Generacion!$C:$C,Generacion!$A:$A,$A27,Generacion!$B:$B,G$2)</f>
        <v>0.00247753769874887</v>
      </c>
      <c r="H27" s="0" t="n">
        <f aca="false">SUMPRODUCT((AtractivoAlternativas!$A$2:$A$931=$A27)*AtractivoAlternativas!$C$2:$C$931*COUNTIFS(Alternativas!$A$2:$A$51,AtractivoAlternativas!$B$2:$B$931,Alternativas!$B$2:$B$51,H$2))</f>
        <v>0.544982920292577</v>
      </c>
      <c r="I27" s="0" t="n">
        <f aca="false">SUMPRODUCT((AtractivoAlternativas!$A$2:$A$931=$A27)*AtractivoAlternativas!$C$2:$C$931*COUNTIFS(Alternativas!$A$2:$A$51,AtractivoAlternativas!$B$2:$B$931,Alternativas!$B$2:$B$51,I$2))</f>
        <v>2.77574988443759</v>
      </c>
      <c r="J27" s="0" t="n">
        <f aca="false">SUMPRODUCT((AtractivoAlternativas!$A$2:$A$931=$A27)*AtractivoAlternativas!$C$2:$C$931*COUNTIFS(Alternativas!$A$2:$A$51,AtractivoAlternativas!$B$2:$B$931,Alternativas!$B$2:$B$51,J$2))</f>
        <v>0.50098629519759</v>
      </c>
      <c r="K27" s="0" t="n">
        <f aca="false">SUMPRODUCT((AtractivoAlternativas!$A$2:$A$931=$A27)*AtractivoAlternativas!$C$2:$C$931*COUNTIFS(Alternativas!$A$2:$A$51,AtractivoAlternativas!$B$2:$B$931,Alternativas!$B$2:$B$51,K$2))</f>
        <v>0</v>
      </c>
      <c r="L27" s="0" t="n">
        <f aca="false">SUMPRODUCT((AtractivoAlternativas!$A$2:$A$931=$A27)*AtractivoAlternativas!$C$2:$C$931*COUNTIFS(Alternativas!$A$2:$A$51,AtractivoAlternativas!$B$2:$B$931,Alternativas!$B$2:$B$51,L$2))</f>
        <v>0</v>
      </c>
      <c r="M27" s="0" t="n">
        <f aca="false">SUMIFS(AtractivoSitios!$C:$C,AtractivoSitios!$A:$A,$A27,AtractivoSitios!$B:$B,M$2)</f>
        <v>0</v>
      </c>
      <c r="N27" s="0" t="n">
        <f aca="false">SUMIFS(AtractivoSitios!$C:$C,AtractivoSitios!$A:$A,$A27,AtractivoSitios!$B:$B,N$2)</f>
        <v>0</v>
      </c>
      <c r="O27" s="0" t="n">
        <f aca="false">SUMIFS(AtractivoSitios!$C:$C,AtractivoSitios!$A:$A,$A27,AtractivoSitios!$B:$B,O$2)</f>
        <v>0</v>
      </c>
      <c r="P27" s="0" t="n">
        <f aca="false">SUMIFS(AtractivoSitios!$C:$C,AtractivoSitios!$A:$A,$A27,AtractivoSitios!$B:$B,P$2)</f>
        <v>0</v>
      </c>
      <c r="Q27" s="0" t="n">
        <f aca="false">SUMIFS(AtractivoSitios!$C:$C,AtractivoSitios!$A:$A,$A27,AtractivoSitios!$B:$B,Q$2)</f>
        <v>0.412347275236806</v>
      </c>
      <c r="R27" s="0" t="n">
        <f aca="false">SUMIFS(AtractivoSitios!$C:$C,AtractivoSitios!$A:$A,$A27,AtractivoSitios!$B:$B,R$2)</f>
        <v>0</v>
      </c>
      <c r="S27" s="0" t="n">
        <f aca="false">SUMIFS(AtractivoSitios!$C:$C,AtractivoSitios!$A:$A,$A27,AtractivoSitios!$B:$B,S$2)</f>
        <v>0</v>
      </c>
      <c r="T27" s="0" t="n">
        <f aca="false">SUM(M27:S27)</f>
        <v>0.412347275236806</v>
      </c>
      <c r="U27" s="0" t="n">
        <f aca="false">C27/(AD$4+H27+$T27)</f>
        <v>0.000192346950513054</v>
      </c>
      <c r="V27" s="0" t="n">
        <f aca="false">D27/(AE$4+I27+$T27)</f>
        <v>5.54495590561564E-005</v>
      </c>
      <c r="W27" s="0" t="n">
        <f aca="false">E27/(AF$4+J27+$T27)</f>
        <v>0.000321401525208328</v>
      </c>
      <c r="X27" s="0" t="n">
        <f aca="false">F27/(AG$4+K27+$T27)</f>
        <v>1.74337913857874E-005</v>
      </c>
      <c r="Y27" s="0" t="n">
        <f aca="false">G27/(AH$4+L27+$T27)</f>
        <v>1.08141216312979E-005</v>
      </c>
      <c r="AA27" s="7" t="s">
        <v>358</v>
      </c>
    </row>
    <row r="28" customFormat="false" ht="15" hidden="false" customHeight="false" outlineLevel="0" collapsed="false">
      <c r="A28" s="0" t="s">
        <v>72</v>
      </c>
      <c r="B28" s="0" t="n">
        <f aca="false">SUMIFS(Sectores!$C:$C,Sectores!$A:$A,$A28)</f>
        <v>2373</v>
      </c>
      <c r="C28" s="0" t="n">
        <f aca="false">SUMIFS(Generacion!$C:$C,Generacion!$A:$A,$A28,Generacion!$B:$B,C$2)</f>
        <v>0.0435338767065874</v>
      </c>
      <c r="D28" s="0" t="n">
        <f aca="false">SUMIFS(Generacion!$C:$C,Generacion!$A:$A,$A28,Generacion!$B:$B,D$2)</f>
        <v>0.0378709333951614</v>
      </c>
      <c r="E28" s="0" t="n">
        <f aca="false">SUMIFS(Generacion!$C:$C,Generacion!$A:$A,$A28,Generacion!$B:$B,E$2)</f>
        <v>0.0134494903646368</v>
      </c>
      <c r="F28" s="0" t="n">
        <f aca="false">SUMIFS(Generacion!$C:$C,Generacion!$A:$A,$A28,Generacion!$B:$B,F$2)</f>
        <v>0.00353933956964125</v>
      </c>
      <c r="G28" s="0" t="n">
        <f aca="false">SUMIFS(Generacion!$C:$C,Generacion!$A:$A,$A28,Generacion!$B:$B,G$2)</f>
        <v>0.00247753769874887</v>
      </c>
      <c r="H28" s="0" t="n">
        <f aca="false">SUMPRODUCT((AtractivoAlternativas!$A$2:$A$931=$A28)*AtractivoAlternativas!$C$2:$C$931*COUNTIFS(Alternativas!$A$2:$A$51,AtractivoAlternativas!$B$2:$B$931,Alternativas!$B$2:$B$51,H$2))</f>
        <v>1.23211764949182</v>
      </c>
      <c r="I28" s="0" t="n">
        <f aca="false">SUMPRODUCT((AtractivoAlternativas!$A$2:$A$931=$A28)*AtractivoAlternativas!$C$2:$C$931*COUNTIFS(Alternativas!$A$2:$A$51,AtractivoAlternativas!$B$2:$B$931,Alternativas!$B$2:$B$51,I$2))</f>
        <v>3.17326324155065</v>
      </c>
      <c r="J28" s="0" t="n">
        <f aca="false">SUMPRODUCT((AtractivoAlternativas!$A$2:$A$931=$A28)*AtractivoAlternativas!$C$2:$C$931*COUNTIFS(Alternativas!$A$2:$A$51,AtractivoAlternativas!$B$2:$B$931,Alternativas!$B$2:$B$51,J$2))</f>
        <v>1.70063316948137</v>
      </c>
      <c r="K28" s="0" t="n">
        <f aca="false">SUMPRODUCT((AtractivoAlternativas!$A$2:$A$931=$A28)*AtractivoAlternativas!$C$2:$C$931*COUNTIFS(Alternativas!$A$2:$A$51,AtractivoAlternativas!$B$2:$B$931,Alternativas!$B$2:$B$51,K$2))</f>
        <v>0</v>
      </c>
      <c r="L28" s="0" t="n">
        <f aca="false">SUMPRODUCT((AtractivoAlternativas!$A$2:$A$931=$A28)*AtractivoAlternativas!$C$2:$C$931*COUNTIFS(Alternativas!$A$2:$A$51,AtractivoAlternativas!$B$2:$B$931,Alternativas!$B$2:$B$51,L$2))</f>
        <v>0</v>
      </c>
      <c r="M28" s="0" t="n">
        <f aca="false">SUMIFS(AtractivoSitios!$C:$C,AtractivoSitios!$A:$A,$A28,AtractivoSitios!$B:$B,M$2)</f>
        <v>0</v>
      </c>
      <c r="N28" s="0" t="n">
        <f aca="false">SUMIFS(AtractivoSitios!$C:$C,AtractivoSitios!$A:$A,$A28,AtractivoSitios!$B:$B,N$2)</f>
        <v>0</v>
      </c>
      <c r="O28" s="0" t="n">
        <f aca="false">SUMIFS(AtractivoSitios!$C:$C,AtractivoSitios!$A:$A,$A28,AtractivoSitios!$B:$B,O$2)</f>
        <v>0</v>
      </c>
      <c r="P28" s="0" t="n">
        <f aca="false">SUMIFS(AtractivoSitios!$C:$C,AtractivoSitios!$A:$A,$A28,AtractivoSitios!$B:$B,P$2)</f>
        <v>0</v>
      </c>
      <c r="Q28" s="0" t="n">
        <f aca="false">SUMIFS(AtractivoSitios!$C:$C,AtractivoSitios!$A:$A,$A28,AtractivoSitios!$B:$B,Q$2)</f>
        <v>0</v>
      </c>
      <c r="R28" s="0" t="n">
        <f aca="false">SUMIFS(AtractivoSitios!$C:$C,AtractivoSitios!$A:$A,$A28,AtractivoSitios!$B:$B,R$2)</f>
        <v>0</v>
      </c>
      <c r="S28" s="0" t="n">
        <f aca="false">SUMIFS(AtractivoSitios!$C:$C,AtractivoSitios!$A:$A,$A28,AtractivoSitios!$B:$B,S$2)</f>
        <v>0</v>
      </c>
      <c r="T28" s="0" t="n">
        <f aca="false">SUM(M28:S28)</f>
        <v>0</v>
      </c>
      <c r="U28" s="0" t="n">
        <f aca="false">C28/(AD$4+H28+$T28)</f>
        <v>0.000192113705047081</v>
      </c>
      <c r="V28" s="0" t="n">
        <f aca="false">D28/(AE$4+I28+$T28)</f>
        <v>5.54507634138601E-005</v>
      </c>
      <c r="W28" s="0" t="n">
        <f aca="false">E28/(AF$4+J28+$T28)</f>
        <v>0.000315466328102234</v>
      </c>
      <c r="X28" s="0" t="n">
        <f aca="false">F28/(AG$4+K28+$T28)</f>
        <v>1.74692733442245E-005</v>
      </c>
      <c r="Y28" s="0" t="n">
        <f aca="false">G28/(AH$4+L28+$T28)</f>
        <v>1.08336204240265E-005</v>
      </c>
      <c r="AC28" s="25" t="s">
        <v>34</v>
      </c>
      <c r="AD28" s="25" t="s">
        <v>359</v>
      </c>
      <c r="AE28" s="25" t="s">
        <v>360</v>
      </c>
    </row>
    <row r="29" customFormat="false" ht="15" hidden="false" customHeight="false" outlineLevel="0" collapsed="false">
      <c r="A29" s="0" t="s">
        <v>73</v>
      </c>
      <c r="B29" s="0" t="n">
        <f aca="false">SUMIFS(Sectores!$C:$C,Sectores!$A:$A,$A29)</f>
        <v>2279</v>
      </c>
      <c r="C29" s="0" t="n">
        <f aca="false">SUMIFS(Generacion!$C:$C,Generacion!$A:$A,$A29,Generacion!$B:$B,C$2)</f>
        <v>0.0435338767065874</v>
      </c>
      <c r="D29" s="0" t="n">
        <f aca="false">SUMIFS(Generacion!$C:$C,Generacion!$A:$A,$A29,Generacion!$B:$B,D$2)</f>
        <v>0.0378709333951614</v>
      </c>
      <c r="E29" s="0" t="n">
        <f aca="false">SUMIFS(Generacion!$C:$C,Generacion!$A:$A,$A29,Generacion!$B:$B,E$2)</f>
        <v>0.0134494903646368</v>
      </c>
      <c r="F29" s="0" t="n">
        <f aca="false">SUMIFS(Generacion!$C:$C,Generacion!$A:$A,$A29,Generacion!$B:$B,F$2)</f>
        <v>0.00353933956964125</v>
      </c>
      <c r="G29" s="0" t="n">
        <f aca="false">SUMIFS(Generacion!$C:$C,Generacion!$A:$A,$A29,Generacion!$B:$B,G$2)</f>
        <v>0.00247753769874887</v>
      </c>
      <c r="H29" s="0" t="n">
        <f aca="false">SUMPRODUCT((AtractivoAlternativas!$A$2:$A$931=$A29)*AtractivoAlternativas!$C$2:$C$931*COUNTIFS(Alternativas!$A$2:$A$51,AtractivoAlternativas!$B$2:$B$931,Alternativas!$B$2:$B$51,H$2))</f>
        <v>1.45386790741958</v>
      </c>
      <c r="I29" s="0" t="n">
        <f aca="false">SUMPRODUCT((AtractivoAlternativas!$A$2:$A$931=$A29)*AtractivoAlternativas!$C$2:$C$931*COUNTIFS(Alternativas!$A$2:$A$51,AtractivoAlternativas!$B$2:$B$931,Alternativas!$B$2:$B$51,I$2))</f>
        <v>3.23258958974987</v>
      </c>
      <c r="J29" s="0" t="n">
        <f aca="false">SUMPRODUCT((AtractivoAlternativas!$A$2:$A$931=$A29)*AtractivoAlternativas!$C$2:$C$931*COUNTIFS(Alternativas!$A$2:$A$51,AtractivoAlternativas!$B$2:$B$931,Alternativas!$B$2:$B$51,J$2))</f>
        <v>1.81814647130022</v>
      </c>
      <c r="K29" s="0" t="n">
        <f aca="false">SUMPRODUCT((AtractivoAlternativas!$A$2:$A$931=$A29)*AtractivoAlternativas!$C$2:$C$931*COUNTIFS(Alternativas!$A$2:$A$51,AtractivoAlternativas!$B$2:$B$931,Alternativas!$B$2:$B$51,K$2))</f>
        <v>0</v>
      </c>
      <c r="L29" s="0" t="n">
        <f aca="false">SUMPRODUCT((AtractivoAlternativas!$A$2:$A$931=$A29)*AtractivoAlternativas!$C$2:$C$931*COUNTIFS(Alternativas!$A$2:$A$51,AtractivoAlternativas!$B$2:$B$931,Alternativas!$B$2:$B$51,L$2))</f>
        <v>0</v>
      </c>
      <c r="M29" s="0" t="n">
        <f aca="false">SUMIFS(AtractivoSitios!$C:$C,AtractivoSitios!$A:$A,$A29,AtractivoSitios!$B:$B,M$2)</f>
        <v>0</v>
      </c>
      <c r="N29" s="0" t="n">
        <f aca="false">SUMIFS(AtractivoSitios!$C:$C,AtractivoSitios!$A:$A,$A29,AtractivoSitios!$B:$B,N$2)</f>
        <v>0</v>
      </c>
      <c r="O29" s="0" t="n">
        <f aca="false">SUMIFS(AtractivoSitios!$C:$C,AtractivoSitios!$A:$A,$A29,AtractivoSitios!$B:$B,O$2)</f>
        <v>0</v>
      </c>
      <c r="P29" s="0" t="n">
        <f aca="false">SUMIFS(AtractivoSitios!$C:$C,AtractivoSitios!$A:$A,$A29,AtractivoSitios!$B:$B,P$2)</f>
        <v>0</v>
      </c>
      <c r="Q29" s="0" t="n">
        <f aca="false">SUMIFS(AtractivoSitios!$C:$C,AtractivoSitios!$A:$A,$A29,AtractivoSitios!$B:$B,Q$2)</f>
        <v>0</v>
      </c>
      <c r="R29" s="0" t="n">
        <f aca="false">SUMIFS(AtractivoSitios!$C:$C,AtractivoSitios!$A:$A,$A29,AtractivoSitios!$B:$B,R$2)</f>
        <v>0</v>
      </c>
      <c r="S29" s="0" t="n">
        <f aca="false">SUMIFS(AtractivoSitios!$C:$C,AtractivoSitios!$A:$A,$A29,AtractivoSitios!$B:$B,S$2)</f>
        <v>0</v>
      </c>
      <c r="T29" s="0" t="n">
        <f aca="false">SUM(M29:S29)</f>
        <v>0</v>
      </c>
      <c r="U29" s="0" t="n">
        <f aca="false">C29/(AD$4+H29+$T29)</f>
        <v>0.000191925890726607</v>
      </c>
      <c r="V29" s="0" t="n">
        <f aca="false">D29/(AE$4+I29+$T29)</f>
        <v>5.54459470538396E-005</v>
      </c>
      <c r="W29" s="0" t="n">
        <f aca="false">E29/(AF$4+J29+$T29)</f>
        <v>0.000314599182946968</v>
      </c>
      <c r="X29" s="0" t="n">
        <f aca="false">F29/(AG$4+K29+$T29)</f>
        <v>1.74692733442245E-005</v>
      </c>
      <c r="Y29" s="0" t="n">
        <f aca="false">G29/(AH$4+L29+$T29)</f>
        <v>1.08336204240265E-005</v>
      </c>
      <c r="AC29" s="0" t="n">
        <v>2.1</v>
      </c>
      <c r="AD29" s="0" t="n">
        <v>90.5</v>
      </c>
      <c r="AE29" s="0" t="n">
        <v>-0.25</v>
      </c>
    </row>
    <row r="30" customFormat="false" ht="15" hidden="false" customHeight="false" outlineLevel="0" collapsed="false">
      <c r="A30" s="0" t="s">
        <v>74</v>
      </c>
      <c r="B30" s="0" t="n">
        <f aca="false">SUMIFS(Sectores!$C:$C,Sectores!$A:$A,$A30)</f>
        <v>4252</v>
      </c>
      <c r="C30" s="0" t="n">
        <f aca="false">SUMIFS(Generacion!$C:$C,Generacion!$A:$A,$A30,Generacion!$B:$B,C$2)</f>
        <v>0.0435338767065874</v>
      </c>
      <c r="D30" s="0" t="n">
        <f aca="false">SUMIFS(Generacion!$C:$C,Generacion!$A:$A,$A30,Generacion!$B:$B,D$2)</f>
        <v>0.0378709333951614</v>
      </c>
      <c r="E30" s="0" t="n">
        <f aca="false">SUMIFS(Generacion!$C:$C,Generacion!$A:$A,$A30,Generacion!$B:$B,E$2)</f>
        <v>0.0134494903646368</v>
      </c>
      <c r="F30" s="0" t="n">
        <f aca="false">SUMIFS(Generacion!$C:$C,Generacion!$A:$A,$A30,Generacion!$B:$B,F$2)</f>
        <v>0.00353933956964125</v>
      </c>
      <c r="G30" s="0" t="n">
        <f aca="false">SUMIFS(Generacion!$C:$C,Generacion!$A:$A,$A30,Generacion!$B:$B,G$2)</f>
        <v>0.00247753769874887</v>
      </c>
      <c r="H30" s="0" t="n">
        <f aca="false">SUMPRODUCT((AtractivoAlternativas!$A$2:$A$931=$A30)*AtractivoAlternativas!$C$2:$C$931*COUNTIFS(Alternativas!$A$2:$A$51,AtractivoAlternativas!$B$2:$B$931,Alternativas!$B$2:$B$51,H$2))</f>
        <v>1.51684596953881</v>
      </c>
      <c r="I30" s="0" t="n">
        <f aca="false">SUMPRODUCT((AtractivoAlternativas!$A$2:$A$931=$A30)*AtractivoAlternativas!$C$2:$C$931*COUNTIFS(Alternativas!$A$2:$A$51,AtractivoAlternativas!$B$2:$B$931,Alternativas!$B$2:$B$51,I$2))</f>
        <v>3.23755980564555</v>
      </c>
      <c r="J30" s="0" t="n">
        <f aca="false">SUMPRODUCT((AtractivoAlternativas!$A$2:$A$931=$A30)*AtractivoAlternativas!$C$2:$C$931*COUNTIFS(Alternativas!$A$2:$A$51,AtractivoAlternativas!$B$2:$B$931,Alternativas!$B$2:$B$51,J$2))</f>
        <v>2.66649235943559</v>
      </c>
      <c r="K30" s="0" t="n">
        <f aca="false">SUMPRODUCT((AtractivoAlternativas!$A$2:$A$931=$A30)*AtractivoAlternativas!$C$2:$C$931*COUNTIFS(Alternativas!$A$2:$A$51,AtractivoAlternativas!$B$2:$B$931,Alternativas!$B$2:$B$51,K$2))</f>
        <v>0</v>
      </c>
      <c r="L30" s="0" t="n">
        <f aca="false">SUMPRODUCT((AtractivoAlternativas!$A$2:$A$931=$A30)*AtractivoAlternativas!$C$2:$C$931*COUNTIFS(Alternativas!$A$2:$A$51,AtractivoAlternativas!$B$2:$B$931,Alternativas!$B$2:$B$51,L$2))</f>
        <v>0</v>
      </c>
      <c r="M30" s="0" t="n">
        <f aca="false">SUMIFS(AtractivoSitios!$C:$C,AtractivoSitios!$A:$A,$A30,AtractivoSitios!$B:$B,M$2)</f>
        <v>0</v>
      </c>
      <c r="N30" s="0" t="n">
        <f aca="false">SUMIFS(AtractivoSitios!$C:$C,AtractivoSitios!$A:$A,$A30,AtractivoSitios!$B:$B,N$2)</f>
        <v>0</v>
      </c>
      <c r="O30" s="0" t="n">
        <f aca="false">SUMIFS(AtractivoSitios!$C:$C,AtractivoSitios!$A:$A,$A30,AtractivoSitios!$B:$B,O$2)</f>
        <v>0</v>
      </c>
      <c r="P30" s="0" t="n">
        <f aca="false">SUMIFS(AtractivoSitios!$C:$C,AtractivoSitios!$A:$A,$A30,AtractivoSitios!$B:$B,P$2)</f>
        <v>0</v>
      </c>
      <c r="Q30" s="0" t="n">
        <f aca="false">SUMIFS(AtractivoSitios!$C:$C,AtractivoSitios!$A:$A,$A30,AtractivoSitios!$B:$B,Q$2)</f>
        <v>0</v>
      </c>
      <c r="R30" s="0" t="n">
        <f aca="false">SUMIFS(AtractivoSitios!$C:$C,AtractivoSitios!$A:$A,$A30,AtractivoSitios!$B:$B,R$2)</f>
        <v>0</v>
      </c>
      <c r="S30" s="0" t="n">
        <f aca="false">SUMIFS(AtractivoSitios!$C:$C,AtractivoSitios!$A:$A,$A30,AtractivoSitios!$B:$B,S$2)</f>
        <v>0</v>
      </c>
      <c r="T30" s="0" t="n">
        <f aca="false">SUM(M30:S30)</f>
        <v>0</v>
      </c>
      <c r="U30" s="0" t="n">
        <f aca="false">C30/(AD$4+H30+$T30)</f>
        <v>0.000191872617559665</v>
      </c>
      <c r="V30" s="0" t="n">
        <f aca="false">D30/(AE$4+I30+$T30)</f>
        <v>5.54455435889974E-005</v>
      </c>
      <c r="W30" s="0" t="n">
        <f aca="false">E30/(AF$4+J30+$T30)</f>
        <v>0.000308477812617813</v>
      </c>
      <c r="X30" s="0" t="n">
        <f aca="false">F30/(AG$4+K30+$T30)</f>
        <v>1.74692733442245E-005</v>
      </c>
      <c r="Y30" s="0" t="n">
        <f aca="false">G30/(AH$4+L30+$T30)</f>
        <v>1.08336204240265E-005</v>
      </c>
      <c r="AC30" s="0" t="n">
        <v>1</v>
      </c>
      <c r="AD30" s="0" t="n">
        <v>72.5</v>
      </c>
      <c r="AE30" s="0" t="n">
        <v>0.29</v>
      </c>
    </row>
    <row r="31" customFormat="false" ht="15" hidden="false" customHeight="false" outlineLevel="0" collapsed="false">
      <c r="A31" s="0" t="s">
        <v>75</v>
      </c>
      <c r="B31" s="0" t="n">
        <f aca="false">SUMIFS(Sectores!$C:$C,Sectores!$A:$A,$A31)</f>
        <v>2790</v>
      </c>
      <c r="C31" s="0" t="n">
        <f aca="false">SUMIFS(Generacion!$C:$C,Generacion!$A:$A,$A31,Generacion!$B:$B,C$2)</f>
        <v>0.0435338767065874</v>
      </c>
      <c r="D31" s="0" t="n">
        <f aca="false">SUMIFS(Generacion!$C:$C,Generacion!$A:$A,$A31,Generacion!$B:$B,D$2)</f>
        <v>0.0378709333951614</v>
      </c>
      <c r="E31" s="0" t="n">
        <f aca="false">SUMIFS(Generacion!$C:$C,Generacion!$A:$A,$A31,Generacion!$B:$B,E$2)</f>
        <v>0.0134494903646368</v>
      </c>
      <c r="F31" s="0" t="n">
        <f aca="false">SUMIFS(Generacion!$C:$C,Generacion!$A:$A,$A31,Generacion!$B:$B,F$2)</f>
        <v>0.00353933956964125</v>
      </c>
      <c r="G31" s="0" t="n">
        <f aca="false">SUMIFS(Generacion!$C:$C,Generacion!$A:$A,$A31,Generacion!$B:$B,G$2)</f>
        <v>0.00247753769874887</v>
      </c>
      <c r="H31" s="0" t="n">
        <f aca="false">SUMPRODUCT((AtractivoAlternativas!$A$2:$A$931=$A31)*AtractivoAlternativas!$C$2:$C$931*COUNTIFS(Alternativas!$A$2:$A$51,AtractivoAlternativas!$B$2:$B$931,Alternativas!$B$2:$B$51,H$2))</f>
        <v>1.45439073376869</v>
      </c>
      <c r="I31" s="0" t="n">
        <f aca="false">SUMPRODUCT((AtractivoAlternativas!$A$2:$A$931=$A31)*AtractivoAlternativas!$C$2:$C$931*COUNTIFS(Alternativas!$A$2:$A$51,AtractivoAlternativas!$B$2:$B$931,Alternativas!$B$2:$B$51,I$2))</f>
        <v>2.98250764678841</v>
      </c>
      <c r="J31" s="0" t="n">
        <f aca="false">SUMPRODUCT((AtractivoAlternativas!$A$2:$A$931=$A31)*AtractivoAlternativas!$C$2:$C$931*COUNTIFS(Alternativas!$A$2:$A$51,AtractivoAlternativas!$B$2:$B$931,Alternativas!$B$2:$B$51,J$2))</f>
        <v>2.32797097179219</v>
      </c>
      <c r="K31" s="0" t="n">
        <f aca="false">SUMPRODUCT((AtractivoAlternativas!$A$2:$A$931=$A31)*AtractivoAlternativas!$C$2:$C$931*COUNTIFS(Alternativas!$A$2:$A$51,AtractivoAlternativas!$B$2:$B$931,Alternativas!$B$2:$B$51,K$2))</f>
        <v>0</v>
      </c>
      <c r="L31" s="0" t="n">
        <f aca="false">SUMPRODUCT((AtractivoAlternativas!$A$2:$A$931=$A31)*AtractivoAlternativas!$C$2:$C$931*COUNTIFS(Alternativas!$A$2:$A$51,AtractivoAlternativas!$B$2:$B$931,Alternativas!$B$2:$B$51,L$2))</f>
        <v>0</v>
      </c>
      <c r="M31" s="0" t="n">
        <f aca="false">SUMIFS(AtractivoSitios!$C:$C,AtractivoSitios!$A:$A,$A31,AtractivoSitios!$B:$B,M$2)</f>
        <v>0</v>
      </c>
      <c r="N31" s="0" t="n">
        <f aca="false">SUMIFS(AtractivoSitios!$C:$C,AtractivoSitios!$A:$A,$A31,AtractivoSitios!$B:$B,N$2)</f>
        <v>0</v>
      </c>
      <c r="O31" s="0" t="n">
        <f aca="false">SUMIFS(AtractivoSitios!$C:$C,AtractivoSitios!$A:$A,$A31,AtractivoSitios!$B:$B,O$2)</f>
        <v>0</v>
      </c>
      <c r="P31" s="0" t="n">
        <f aca="false">SUMIFS(AtractivoSitios!$C:$C,AtractivoSitios!$A:$A,$A31,AtractivoSitios!$B:$B,P$2)</f>
        <v>0</v>
      </c>
      <c r="Q31" s="0" t="n">
        <f aca="false">SUMIFS(AtractivoSitios!$C:$C,AtractivoSitios!$A:$A,$A31,AtractivoSitios!$B:$B,Q$2)</f>
        <v>0</v>
      </c>
      <c r="R31" s="0" t="n">
        <f aca="false">SUMIFS(AtractivoSitios!$C:$C,AtractivoSitios!$A:$A,$A31,AtractivoSitios!$B:$B,R$2)</f>
        <v>0</v>
      </c>
      <c r="S31" s="0" t="n">
        <f aca="false">SUMIFS(AtractivoSitios!$C:$C,AtractivoSitios!$A:$A,$A31,AtractivoSitios!$B:$B,S$2)</f>
        <v>0</v>
      </c>
      <c r="T31" s="0" t="n">
        <f aca="false">SUM(M31:S31)</f>
        <v>0</v>
      </c>
      <c r="U31" s="0" t="n">
        <f aca="false">C31/(AD$4+H31+$T31)</f>
        <v>0.000191925448345824</v>
      </c>
      <c r="V31" s="0" t="n">
        <f aca="false">D31/(AE$4+I31+$T31)</f>
        <v>5.54662554197032E-005</v>
      </c>
      <c r="W31" s="0" t="n">
        <f aca="false">E31/(AF$4+J31+$T31)</f>
        <v>0.00031089167949834</v>
      </c>
      <c r="X31" s="0" t="n">
        <f aca="false">F31/(AG$4+K31+$T31)</f>
        <v>1.74692733442245E-005</v>
      </c>
      <c r="Y31" s="0" t="n">
        <f aca="false">G31/(AH$4+L31+$T31)</f>
        <v>1.08336204240265E-005</v>
      </c>
      <c r="AC31" s="27" t="n">
        <v>0.5</v>
      </c>
      <c r="AD31" s="27" t="n">
        <v>64.2</v>
      </c>
      <c r="AE31" s="27" t="n">
        <v>0.5</v>
      </c>
    </row>
    <row r="32" customFormat="false" ht="15" hidden="false" customHeight="false" outlineLevel="0" collapsed="false">
      <c r="A32" s="0" t="s">
        <v>76</v>
      </c>
      <c r="B32" s="0" t="n">
        <f aca="false">SUMIFS(Sectores!$C:$C,Sectores!$A:$A,$A32)</f>
        <v>4569</v>
      </c>
      <c r="C32" s="0" t="n">
        <f aca="false">SUMIFS(Generacion!$C:$C,Generacion!$A:$A,$A32,Generacion!$B:$B,C$2)</f>
        <v>0.0435338767065874</v>
      </c>
      <c r="D32" s="0" t="n">
        <f aca="false">SUMIFS(Generacion!$C:$C,Generacion!$A:$A,$A32,Generacion!$B:$B,D$2)</f>
        <v>0.0378709333951614</v>
      </c>
      <c r="E32" s="0" t="n">
        <f aca="false">SUMIFS(Generacion!$C:$C,Generacion!$A:$A,$A32,Generacion!$B:$B,E$2)</f>
        <v>0.0134494903646368</v>
      </c>
      <c r="F32" s="0" t="n">
        <f aca="false">SUMIFS(Generacion!$C:$C,Generacion!$A:$A,$A32,Generacion!$B:$B,F$2)</f>
        <v>0.00353933956964125</v>
      </c>
      <c r="G32" s="0" t="n">
        <f aca="false">SUMIFS(Generacion!$C:$C,Generacion!$A:$A,$A32,Generacion!$B:$B,G$2)</f>
        <v>0.00247753769874887</v>
      </c>
      <c r="H32" s="0" t="n">
        <f aca="false">SUMPRODUCT((AtractivoAlternativas!$A$2:$A$931=$A32)*AtractivoAlternativas!$C$2:$C$931*COUNTIFS(Alternativas!$A$2:$A$51,AtractivoAlternativas!$B$2:$B$931,Alternativas!$B$2:$B$51,H$2))</f>
        <v>1.26828295131633</v>
      </c>
      <c r="I32" s="0" t="n">
        <f aca="false">SUMPRODUCT((AtractivoAlternativas!$A$2:$A$931=$A32)*AtractivoAlternativas!$C$2:$C$931*COUNTIFS(Alternativas!$A$2:$A$51,AtractivoAlternativas!$B$2:$B$931,Alternativas!$B$2:$B$51,I$2))</f>
        <v>2.82876519194493</v>
      </c>
      <c r="J32" s="0" t="n">
        <f aca="false">SUMPRODUCT((AtractivoAlternativas!$A$2:$A$931=$A32)*AtractivoAlternativas!$C$2:$C$931*COUNTIFS(Alternativas!$A$2:$A$51,AtractivoAlternativas!$B$2:$B$931,Alternativas!$B$2:$B$51,J$2))</f>
        <v>2.37736540852941</v>
      </c>
      <c r="K32" s="0" t="n">
        <f aca="false">SUMPRODUCT((AtractivoAlternativas!$A$2:$A$931=$A32)*AtractivoAlternativas!$C$2:$C$931*COUNTIFS(Alternativas!$A$2:$A$51,AtractivoAlternativas!$B$2:$B$931,Alternativas!$B$2:$B$51,K$2))</f>
        <v>0</v>
      </c>
      <c r="L32" s="0" t="n">
        <f aca="false">SUMPRODUCT((AtractivoAlternativas!$A$2:$A$931=$A32)*AtractivoAlternativas!$C$2:$C$931*COUNTIFS(Alternativas!$A$2:$A$51,AtractivoAlternativas!$B$2:$B$931,Alternativas!$B$2:$B$51,L$2))</f>
        <v>0</v>
      </c>
      <c r="M32" s="0" t="n">
        <f aca="false">SUMIFS(AtractivoSitios!$C:$C,AtractivoSitios!$A:$A,$A32,AtractivoSitios!$B:$B,M$2)</f>
        <v>0</v>
      </c>
      <c r="N32" s="0" t="n">
        <f aca="false">SUMIFS(AtractivoSitios!$C:$C,AtractivoSitios!$A:$A,$A32,AtractivoSitios!$B:$B,N$2)</f>
        <v>0</v>
      </c>
      <c r="O32" s="0" t="n">
        <f aca="false">SUMIFS(AtractivoSitios!$C:$C,AtractivoSitios!$A:$A,$A32,AtractivoSitios!$B:$B,O$2)</f>
        <v>0</v>
      </c>
      <c r="P32" s="0" t="n">
        <f aca="false">SUMIFS(AtractivoSitios!$C:$C,AtractivoSitios!$A:$A,$A32,AtractivoSitios!$B:$B,P$2)</f>
        <v>0</v>
      </c>
      <c r="Q32" s="0" t="n">
        <f aca="false">SUMIFS(AtractivoSitios!$C:$C,AtractivoSitios!$A:$A,$A32,AtractivoSitios!$B:$B,Q$2)</f>
        <v>0</v>
      </c>
      <c r="R32" s="0" t="n">
        <f aca="false">SUMIFS(AtractivoSitios!$C:$C,AtractivoSitios!$A:$A,$A32,AtractivoSitios!$B:$B,R$2)</f>
        <v>0</v>
      </c>
      <c r="S32" s="0" t="n">
        <f aca="false">SUMIFS(AtractivoSitios!$C:$C,AtractivoSitios!$A:$A,$A32,AtractivoSitios!$B:$B,S$2)</f>
        <v>0</v>
      </c>
      <c r="T32" s="0" t="n">
        <f aca="false">SUM(M32:S32)</f>
        <v>0</v>
      </c>
      <c r="U32" s="0" t="n">
        <f aca="false">C32/(AD$4+H32+$T32)</f>
        <v>0.000192083049283353</v>
      </c>
      <c r="V32" s="0" t="n">
        <f aca="false">D32/(AE$4+I32+$T32)</f>
        <v>5.54787477454142E-005</v>
      </c>
      <c r="W32" s="0" t="n">
        <f aca="false">E32/(AF$4+J32+$T32)</f>
        <v>0.000310537115347727</v>
      </c>
      <c r="X32" s="0" t="n">
        <f aca="false">F32/(AG$4+K32+$T32)</f>
        <v>1.74692733442245E-005</v>
      </c>
      <c r="Y32" s="0" t="n">
        <f aca="false">G32/(AH$4+L32+$T32)</f>
        <v>1.08336204240265E-005</v>
      </c>
    </row>
    <row r="33" customFormat="false" ht="15" hidden="false" customHeight="false" outlineLevel="0" collapsed="false">
      <c r="A33" s="0" t="s">
        <v>77</v>
      </c>
      <c r="B33" s="0" t="n">
        <f aca="false">SUMIFS(Sectores!$C:$C,Sectores!$A:$A,$A33)</f>
        <v>4583</v>
      </c>
      <c r="C33" s="0" t="n">
        <f aca="false">SUMIFS(Generacion!$C:$C,Generacion!$A:$A,$A33,Generacion!$B:$B,C$2)</f>
        <v>0.0435338767065874</v>
      </c>
      <c r="D33" s="0" t="n">
        <f aca="false">SUMIFS(Generacion!$C:$C,Generacion!$A:$A,$A33,Generacion!$B:$B,D$2)</f>
        <v>0.0378709333951614</v>
      </c>
      <c r="E33" s="0" t="n">
        <f aca="false">SUMIFS(Generacion!$C:$C,Generacion!$A:$A,$A33,Generacion!$B:$B,E$2)</f>
        <v>0.0134494903646368</v>
      </c>
      <c r="F33" s="0" t="n">
        <f aca="false">SUMIFS(Generacion!$C:$C,Generacion!$A:$A,$A33,Generacion!$B:$B,F$2)</f>
        <v>0.00353933956964125</v>
      </c>
      <c r="G33" s="0" t="n">
        <f aca="false">SUMIFS(Generacion!$C:$C,Generacion!$A:$A,$A33,Generacion!$B:$B,G$2)</f>
        <v>0.00247753769874887</v>
      </c>
      <c r="H33" s="0" t="n">
        <f aca="false">SUMPRODUCT((AtractivoAlternativas!$A$2:$A$931=$A33)*AtractivoAlternativas!$C$2:$C$931*COUNTIFS(Alternativas!$A$2:$A$51,AtractivoAlternativas!$B$2:$B$931,Alternativas!$B$2:$B$51,H$2))</f>
        <v>1.01837880988413</v>
      </c>
      <c r="I33" s="0" t="n">
        <f aca="false">SUMPRODUCT((AtractivoAlternativas!$A$2:$A$931=$A33)*AtractivoAlternativas!$C$2:$C$931*COUNTIFS(Alternativas!$A$2:$A$51,AtractivoAlternativas!$B$2:$B$931,Alternativas!$B$2:$B$51,I$2))</f>
        <v>2.4140462524446</v>
      </c>
      <c r="J33" s="0" t="n">
        <f aca="false">SUMPRODUCT((AtractivoAlternativas!$A$2:$A$931=$A33)*AtractivoAlternativas!$C$2:$C$931*COUNTIFS(Alternativas!$A$2:$A$51,AtractivoAlternativas!$B$2:$B$931,Alternativas!$B$2:$B$51,J$2))</f>
        <v>1.14343636559905</v>
      </c>
      <c r="K33" s="0" t="n">
        <f aca="false">SUMPRODUCT((AtractivoAlternativas!$A$2:$A$931=$A33)*AtractivoAlternativas!$C$2:$C$931*COUNTIFS(Alternativas!$A$2:$A$51,AtractivoAlternativas!$B$2:$B$931,Alternativas!$B$2:$B$51,K$2))</f>
        <v>0</v>
      </c>
      <c r="L33" s="0" t="n">
        <f aca="false">SUMPRODUCT((AtractivoAlternativas!$A$2:$A$931=$A33)*AtractivoAlternativas!$C$2:$C$931*COUNTIFS(Alternativas!$A$2:$A$51,AtractivoAlternativas!$B$2:$B$931,Alternativas!$B$2:$B$51,L$2))</f>
        <v>0</v>
      </c>
      <c r="M33" s="0" t="n">
        <f aca="false">SUMIFS(AtractivoSitios!$C:$C,AtractivoSitios!$A:$A,$A33,AtractivoSitios!$B:$B,M$2)</f>
        <v>0</v>
      </c>
      <c r="N33" s="0" t="n">
        <f aca="false">SUMIFS(AtractivoSitios!$C:$C,AtractivoSitios!$A:$A,$A33,AtractivoSitios!$B:$B,N$2)</f>
        <v>0</v>
      </c>
      <c r="O33" s="0" t="n">
        <f aca="false">SUMIFS(AtractivoSitios!$C:$C,AtractivoSitios!$A:$A,$A33,AtractivoSitios!$B:$B,O$2)</f>
        <v>0</v>
      </c>
      <c r="P33" s="0" t="n">
        <f aca="false">SUMIFS(AtractivoSitios!$C:$C,AtractivoSitios!$A:$A,$A33,AtractivoSitios!$B:$B,P$2)</f>
        <v>0</v>
      </c>
      <c r="Q33" s="0" t="n">
        <f aca="false">SUMIFS(AtractivoSitios!$C:$C,AtractivoSitios!$A:$A,$A33,AtractivoSitios!$B:$B,Q$2)</f>
        <v>0</v>
      </c>
      <c r="R33" s="0" t="n">
        <f aca="false">SUMIFS(AtractivoSitios!$C:$C,AtractivoSitios!$A:$A,$A33,AtractivoSitios!$B:$B,R$2)</f>
        <v>0</v>
      </c>
      <c r="S33" s="0" t="n">
        <f aca="false">SUMIFS(AtractivoSitios!$C:$C,AtractivoSitios!$A:$A,$A33,AtractivoSitios!$B:$B,S$2)</f>
        <v>0</v>
      </c>
      <c r="T33" s="0" t="n">
        <f aca="false">SUM(M33:S33)</f>
        <v>0</v>
      </c>
      <c r="U33" s="0" t="n">
        <f aca="false">C33/(AD$4+H33+$T33)</f>
        <v>0.000192295082220575</v>
      </c>
      <c r="V33" s="0" t="n">
        <f aca="false">D33/(AE$4+I33+$T33)</f>
        <v>5.55124737652222E-005</v>
      </c>
      <c r="W33" s="0" t="n">
        <f aca="false">E33/(AF$4+J33+$T33)</f>
        <v>0.000319643883305703</v>
      </c>
      <c r="X33" s="0" t="n">
        <f aca="false">F33/(AG$4+K33+$T33)</f>
        <v>1.74692733442245E-005</v>
      </c>
      <c r="Y33" s="0" t="n">
        <f aca="false">G33/(AH$4+L33+$T33)</f>
        <v>1.08336204240265E-005</v>
      </c>
    </row>
    <row r="34" customFormat="false" ht="15" hidden="false" customHeight="false" outlineLevel="0" collapsed="false">
      <c r="A34" s="0" t="s">
        <v>78</v>
      </c>
      <c r="B34" s="0" t="n">
        <f aca="false">SUMIFS(Sectores!$C:$C,Sectores!$A:$A,$A34)</f>
        <v>3445</v>
      </c>
      <c r="C34" s="0" t="n">
        <f aca="false">SUMIFS(Generacion!$C:$C,Generacion!$A:$A,$A34,Generacion!$B:$B,C$2)</f>
        <v>0.0435338767065874</v>
      </c>
      <c r="D34" s="0" t="n">
        <f aca="false">SUMIFS(Generacion!$C:$C,Generacion!$A:$A,$A34,Generacion!$B:$B,D$2)</f>
        <v>0.0378709333951614</v>
      </c>
      <c r="E34" s="0" t="n">
        <f aca="false">SUMIFS(Generacion!$C:$C,Generacion!$A:$A,$A34,Generacion!$B:$B,E$2)</f>
        <v>0.0134494903646368</v>
      </c>
      <c r="F34" s="0" t="n">
        <f aca="false">SUMIFS(Generacion!$C:$C,Generacion!$A:$A,$A34,Generacion!$B:$B,F$2)</f>
        <v>0.00353933956964125</v>
      </c>
      <c r="G34" s="0" t="n">
        <f aca="false">SUMIFS(Generacion!$C:$C,Generacion!$A:$A,$A34,Generacion!$B:$B,G$2)</f>
        <v>0.00247753769874887</v>
      </c>
      <c r="H34" s="0" t="n">
        <f aca="false">SUMPRODUCT((AtractivoAlternativas!$A$2:$A$931=$A34)*AtractivoAlternativas!$C$2:$C$931*COUNTIFS(Alternativas!$A$2:$A$51,AtractivoAlternativas!$B$2:$B$931,Alternativas!$B$2:$B$51,H$2))</f>
        <v>1.20895918221717</v>
      </c>
      <c r="I34" s="0" t="n">
        <f aca="false">SUMPRODUCT((AtractivoAlternativas!$A$2:$A$931=$A34)*AtractivoAlternativas!$C$2:$C$931*COUNTIFS(Alternativas!$A$2:$A$51,AtractivoAlternativas!$B$2:$B$931,Alternativas!$B$2:$B$51,I$2))</f>
        <v>2.66195166108388</v>
      </c>
      <c r="J34" s="0" t="n">
        <f aca="false">SUMPRODUCT((AtractivoAlternativas!$A$2:$A$931=$A34)*AtractivoAlternativas!$C$2:$C$931*COUNTIFS(Alternativas!$A$2:$A$51,AtractivoAlternativas!$B$2:$B$931,Alternativas!$B$2:$B$51,J$2))</f>
        <v>2.25597681794378</v>
      </c>
      <c r="K34" s="0" t="n">
        <f aca="false">SUMPRODUCT((AtractivoAlternativas!$A$2:$A$931=$A34)*AtractivoAlternativas!$C$2:$C$931*COUNTIFS(Alternativas!$A$2:$A$51,AtractivoAlternativas!$B$2:$B$931,Alternativas!$B$2:$B$51,K$2))</f>
        <v>0</v>
      </c>
      <c r="L34" s="0" t="n">
        <f aca="false">SUMPRODUCT((AtractivoAlternativas!$A$2:$A$931=$A34)*AtractivoAlternativas!$C$2:$C$931*COUNTIFS(Alternativas!$A$2:$A$51,AtractivoAlternativas!$B$2:$B$931,Alternativas!$B$2:$B$51,L$2))</f>
        <v>0</v>
      </c>
      <c r="M34" s="0" t="n">
        <f aca="false">SUMIFS(AtractivoSitios!$C:$C,AtractivoSitios!$A:$A,$A34,AtractivoSitios!$B:$B,M$2)</f>
        <v>0</v>
      </c>
      <c r="N34" s="0" t="n">
        <f aca="false">SUMIFS(AtractivoSitios!$C:$C,AtractivoSitios!$A:$A,$A34,AtractivoSitios!$B:$B,N$2)</f>
        <v>0</v>
      </c>
      <c r="O34" s="0" t="n">
        <f aca="false">SUMIFS(AtractivoSitios!$C:$C,AtractivoSitios!$A:$A,$A34,AtractivoSitios!$B:$B,O$2)</f>
        <v>0</v>
      </c>
      <c r="P34" s="0" t="n">
        <f aca="false">SUMIFS(AtractivoSitios!$C:$C,AtractivoSitios!$A:$A,$A34,AtractivoSitios!$B:$B,P$2)</f>
        <v>0</v>
      </c>
      <c r="Q34" s="0" t="n">
        <f aca="false">SUMIFS(AtractivoSitios!$C:$C,AtractivoSitios!$A:$A,$A34,AtractivoSitios!$B:$B,Q$2)</f>
        <v>0</v>
      </c>
      <c r="R34" s="0" t="n">
        <f aca="false">SUMIFS(AtractivoSitios!$C:$C,AtractivoSitios!$A:$A,$A34,AtractivoSitios!$B:$B,R$2)</f>
        <v>0</v>
      </c>
      <c r="S34" s="0" t="n">
        <f aca="false">SUMIFS(AtractivoSitios!$C:$C,AtractivoSitios!$A:$A,$A34,AtractivoSitios!$B:$B,S$2)</f>
        <v>0</v>
      </c>
      <c r="T34" s="0" t="n">
        <f aca="false">SUM(M34:S34)</f>
        <v>0</v>
      </c>
      <c r="U34" s="0" t="n">
        <f aca="false">C34/(AD$4+H34+$T34)</f>
        <v>0.000192133340618815</v>
      </c>
      <c r="V34" s="0" t="n">
        <f aca="false">D34/(AE$4+I34+$T34)</f>
        <v>5.54923085265795E-005</v>
      </c>
      <c r="W34" s="0" t="n">
        <f aca="false">E34/(AF$4+J34+$T34)</f>
        <v>0.000311409921905966</v>
      </c>
      <c r="X34" s="0" t="n">
        <f aca="false">F34/(AG$4+K34+$T34)</f>
        <v>1.74692733442245E-005</v>
      </c>
      <c r="Y34" s="0" t="n">
        <f aca="false">G34/(AH$4+L34+$T34)</f>
        <v>1.08336204240265E-005</v>
      </c>
    </row>
    <row r="35" customFormat="false" ht="15" hidden="false" customHeight="false" outlineLevel="0" collapsed="false">
      <c r="A35" s="0" t="s">
        <v>79</v>
      </c>
      <c r="B35" s="0" t="n">
        <f aca="false">SUMIFS(Sectores!$C:$C,Sectores!$A:$A,$A35)</f>
        <v>2671</v>
      </c>
      <c r="C35" s="0" t="n">
        <f aca="false">SUMIFS(Generacion!$C:$C,Generacion!$A:$A,$A35,Generacion!$B:$B,C$2)</f>
        <v>0.0435338767065874</v>
      </c>
      <c r="D35" s="0" t="n">
        <f aca="false">SUMIFS(Generacion!$C:$C,Generacion!$A:$A,$A35,Generacion!$B:$B,D$2)</f>
        <v>0.0378709333951614</v>
      </c>
      <c r="E35" s="0" t="n">
        <f aca="false">SUMIFS(Generacion!$C:$C,Generacion!$A:$A,$A35,Generacion!$B:$B,E$2)</f>
        <v>0.0134494903646368</v>
      </c>
      <c r="F35" s="0" t="n">
        <f aca="false">SUMIFS(Generacion!$C:$C,Generacion!$A:$A,$A35,Generacion!$B:$B,F$2)</f>
        <v>0.00353933956964125</v>
      </c>
      <c r="G35" s="0" t="n">
        <f aca="false">SUMIFS(Generacion!$C:$C,Generacion!$A:$A,$A35,Generacion!$B:$B,G$2)</f>
        <v>0.00247753769874887</v>
      </c>
      <c r="H35" s="0" t="n">
        <f aca="false">SUMPRODUCT((AtractivoAlternativas!$A$2:$A$931=$A35)*AtractivoAlternativas!$C$2:$C$931*COUNTIFS(Alternativas!$A$2:$A$51,AtractivoAlternativas!$B$2:$B$931,Alternativas!$B$2:$B$51,H$2))</f>
        <v>1.43424529334978</v>
      </c>
      <c r="I35" s="0" t="n">
        <f aca="false">SUMPRODUCT((AtractivoAlternativas!$A$2:$A$931=$A35)*AtractivoAlternativas!$C$2:$C$931*COUNTIFS(Alternativas!$A$2:$A$51,AtractivoAlternativas!$B$2:$B$931,Alternativas!$B$2:$B$51,I$2))</f>
        <v>4.90724163591935</v>
      </c>
      <c r="J35" s="0" t="n">
        <f aca="false">SUMPRODUCT((AtractivoAlternativas!$A$2:$A$931=$A35)*AtractivoAlternativas!$C$2:$C$931*COUNTIFS(Alternativas!$A$2:$A$51,AtractivoAlternativas!$B$2:$B$931,Alternativas!$B$2:$B$51,J$2))</f>
        <v>0.636216247154326</v>
      </c>
      <c r="K35" s="0" t="n">
        <f aca="false">SUMPRODUCT((AtractivoAlternativas!$A$2:$A$931=$A35)*AtractivoAlternativas!$C$2:$C$931*COUNTIFS(Alternativas!$A$2:$A$51,AtractivoAlternativas!$B$2:$B$931,Alternativas!$B$2:$B$51,K$2))</f>
        <v>0</v>
      </c>
      <c r="L35" s="0" t="n">
        <f aca="false">SUMPRODUCT((AtractivoAlternativas!$A$2:$A$931=$A35)*AtractivoAlternativas!$C$2:$C$931*COUNTIFS(Alternativas!$A$2:$A$51,AtractivoAlternativas!$B$2:$B$931,Alternativas!$B$2:$B$51,L$2))</f>
        <v>0</v>
      </c>
      <c r="M35" s="0" t="n">
        <f aca="false">SUMIFS(AtractivoSitios!$C:$C,AtractivoSitios!$A:$A,$A35,AtractivoSitios!$B:$B,M$2)</f>
        <v>0</v>
      </c>
      <c r="N35" s="0" t="n">
        <f aca="false">SUMIFS(AtractivoSitios!$C:$C,AtractivoSitios!$A:$A,$A35,AtractivoSitios!$B:$B,N$2)</f>
        <v>0</v>
      </c>
      <c r="O35" s="0" t="n">
        <f aca="false">SUMIFS(AtractivoSitios!$C:$C,AtractivoSitios!$A:$A,$A35,AtractivoSitios!$B:$B,O$2)</f>
        <v>0</v>
      </c>
      <c r="P35" s="0" t="n">
        <f aca="false">SUMIFS(AtractivoSitios!$C:$C,AtractivoSitios!$A:$A,$A35,AtractivoSitios!$B:$B,P$2)</f>
        <v>0.646967299560504</v>
      </c>
      <c r="Q35" s="0" t="n">
        <f aca="false">SUMIFS(AtractivoSitios!$C:$C,AtractivoSitios!$A:$A,$A35,AtractivoSitios!$B:$B,Q$2)</f>
        <v>0</v>
      </c>
      <c r="R35" s="0" t="n">
        <f aca="false">SUMIFS(AtractivoSitios!$C:$C,AtractivoSitios!$A:$A,$A35,AtractivoSitios!$B:$B,R$2)</f>
        <v>0</v>
      </c>
      <c r="S35" s="0" t="n">
        <f aca="false">SUMIFS(AtractivoSitios!$C:$C,AtractivoSitios!$A:$A,$A35,AtractivoSitios!$B:$B,S$2)</f>
        <v>0</v>
      </c>
      <c r="T35" s="0" t="n">
        <f aca="false">SUM(M35:S35)</f>
        <v>0.646967299560504</v>
      </c>
      <c r="U35" s="0" t="n">
        <f aca="false">C35/(AD$4+H35+$T35)</f>
        <v>0.000191396536336334</v>
      </c>
      <c r="V35" s="0" t="n">
        <f aca="false">D35/(AE$4+I35+$T35)</f>
        <v>5.52581231164808E-005</v>
      </c>
      <c r="W35" s="0" t="n">
        <f aca="false">E35/(AF$4+J35+$T35)</f>
        <v>0.000318585775283007</v>
      </c>
      <c r="X35" s="0" t="n">
        <f aca="false">F35/(AG$4+K35+$T35)</f>
        <v>1.74136668940149E-005</v>
      </c>
      <c r="Y35" s="0" t="n">
        <f aca="false">G35/(AH$4+L35+$T35)</f>
        <v>1.08030583800099E-005</v>
      </c>
    </row>
    <row r="36" customFormat="false" ht="15" hidden="false" customHeight="false" outlineLevel="0" collapsed="false">
      <c r="A36" s="0" t="s">
        <v>81</v>
      </c>
      <c r="B36" s="0" t="n">
        <f aca="false">SUMIFS(Sectores!$C:$C,Sectores!$A:$A,$A36)</f>
        <v>3710</v>
      </c>
      <c r="C36" s="0" t="n">
        <f aca="false">SUMIFS(Generacion!$C:$C,Generacion!$A:$A,$A36,Generacion!$B:$B,C$2)</f>
        <v>0.0435338767065874</v>
      </c>
      <c r="D36" s="0" t="n">
        <f aca="false">SUMIFS(Generacion!$C:$C,Generacion!$A:$A,$A36,Generacion!$B:$B,D$2)</f>
        <v>0.0378709333951614</v>
      </c>
      <c r="E36" s="0" t="n">
        <f aca="false">SUMIFS(Generacion!$C:$C,Generacion!$A:$A,$A36,Generacion!$B:$B,E$2)</f>
        <v>0.0134494903646368</v>
      </c>
      <c r="F36" s="0" t="n">
        <f aca="false">SUMIFS(Generacion!$C:$C,Generacion!$A:$A,$A36,Generacion!$B:$B,F$2)</f>
        <v>0.00353933956964125</v>
      </c>
      <c r="G36" s="0" t="n">
        <f aca="false">SUMIFS(Generacion!$C:$C,Generacion!$A:$A,$A36,Generacion!$B:$B,G$2)</f>
        <v>0.00247753769874887</v>
      </c>
      <c r="H36" s="0" t="n">
        <f aca="false">SUMPRODUCT((AtractivoAlternativas!$A$2:$A$931=$A36)*AtractivoAlternativas!$C$2:$C$931*COUNTIFS(Alternativas!$A$2:$A$51,AtractivoAlternativas!$B$2:$B$931,Alternativas!$B$2:$B$51,H$2))</f>
        <v>1.50826989183675</v>
      </c>
      <c r="I36" s="0" t="n">
        <f aca="false">SUMPRODUCT((AtractivoAlternativas!$A$2:$A$931=$A36)*AtractivoAlternativas!$C$2:$C$931*COUNTIFS(Alternativas!$A$2:$A$51,AtractivoAlternativas!$B$2:$B$931,Alternativas!$B$2:$B$51,I$2))</f>
        <v>5.02582429433622</v>
      </c>
      <c r="J36" s="0" t="n">
        <f aca="false">SUMPRODUCT((AtractivoAlternativas!$A$2:$A$931=$A36)*AtractivoAlternativas!$C$2:$C$931*COUNTIFS(Alternativas!$A$2:$A$51,AtractivoAlternativas!$B$2:$B$931,Alternativas!$B$2:$B$51,J$2))</f>
        <v>0.724764595977075</v>
      </c>
      <c r="K36" s="0" t="n">
        <f aca="false">SUMPRODUCT((AtractivoAlternativas!$A$2:$A$931=$A36)*AtractivoAlternativas!$C$2:$C$931*COUNTIFS(Alternativas!$A$2:$A$51,AtractivoAlternativas!$B$2:$B$931,Alternativas!$B$2:$B$51,K$2))</f>
        <v>0</v>
      </c>
      <c r="L36" s="0" t="n">
        <f aca="false">SUMPRODUCT((AtractivoAlternativas!$A$2:$A$931=$A36)*AtractivoAlternativas!$C$2:$C$931*COUNTIFS(Alternativas!$A$2:$A$51,AtractivoAlternativas!$B$2:$B$931,Alternativas!$B$2:$B$51,L$2))</f>
        <v>0</v>
      </c>
      <c r="M36" s="0" t="n">
        <f aca="false">SUMIFS(AtractivoSitios!$C:$C,AtractivoSitios!$A:$A,$A36,AtractivoSitios!$B:$B,M$2)</f>
        <v>0</v>
      </c>
      <c r="N36" s="0" t="n">
        <f aca="false">SUMIFS(AtractivoSitios!$C:$C,AtractivoSitios!$A:$A,$A36,AtractivoSitios!$B:$B,N$2)</f>
        <v>0</v>
      </c>
      <c r="O36" s="0" t="n">
        <f aca="false">SUMIFS(AtractivoSitios!$C:$C,AtractivoSitios!$A:$A,$A36,AtractivoSitios!$B:$B,O$2)</f>
        <v>0</v>
      </c>
      <c r="P36" s="0" t="n">
        <f aca="false">SUMIFS(AtractivoSitios!$C:$C,AtractivoSitios!$A:$A,$A36,AtractivoSitios!$B:$B,P$2)</f>
        <v>0.550995562826877</v>
      </c>
      <c r="Q36" s="0" t="n">
        <f aca="false">SUMIFS(AtractivoSitios!$C:$C,AtractivoSitios!$A:$A,$A36,AtractivoSitios!$B:$B,Q$2)</f>
        <v>0</v>
      </c>
      <c r="R36" s="0" t="n">
        <f aca="false">SUMIFS(AtractivoSitios!$C:$C,AtractivoSitios!$A:$A,$A36,AtractivoSitios!$B:$B,R$2)</f>
        <v>0</v>
      </c>
      <c r="S36" s="0" t="n">
        <f aca="false">SUMIFS(AtractivoSitios!$C:$C,AtractivoSitios!$A:$A,$A36,AtractivoSitios!$B:$B,S$2)</f>
        <v>0.370659413078522</v>
      </c>
      <c r="T36" s="0" t="n">
        <f aca="false">SUM(M36:S36)</f>
        <v>0.921654975905399</v>
      </c>
      <c r="U36" s="0" t="n">
        <f aca="false">C36/(AD$4+H36+$T36)</f>
        <v>0.00019110355312962</v>
      </c>
      <c r="V36" s="0" t="n">
        <f aca="false">D36/(AE$4+I36+$T36)</f>
        <v>5.52264326742677E-005</v>
      </c>
      <c r="W36" s="0" t="n">
        <f aca="false">E36/(AF$4+J36+$T36)</f>
        <v>0.000315867990362558</v>
      </c>
      <c r="X36" s="0" t="n">
        <f aca="false">F36/(AG$4+K36+$T36)</f>
        <v>1.73901645668015E-005</v>
      </c>
      <c r="Y36" s="0" t="n">
        <f aca="false">G36/(AH$4+L36+$T36)</f>
        <v>1.07901345128374E-005</v>
      </c>
    </row>
    <row r="37" customFormat="false" ht="15" hidden="false" customHeight="false" outlineLevel="0" collapsed="false">
      <c r="A37" s="0" t="s">
        <v>82</v>
      </c>
      <c r="B37" s="0" t="n">
        <f aca="false">SUMIFS(Sectores!$C:$C,Sectores!$A:$A,$A37)</f>
        <v>4926</v>
      </c>
      <c r="C37" s="0" t="n">
        <f aca="false">SUMIFS(Generacion!$C:$C,Generacion!$A:$A,$A37,Generacion!$B:$B,C$2)</f>
        <v>0.0435338767065874</v>
      </c>
      <c r="D37" s="0" t="n">
        <f aca="false">SUMIFS(Generacion!$C:$C,Generacion!$A:$A,$A37,Generacion!$B:$B,D$2)</f>
        <v>0.0378709333951614</v>
      </c>
      <c r="E37" s="0" t="n">
        <f aca="false">SUMIFS(Generacion!$C:$C,Generacion!$A:$A,$A37,Generacion!$B:$B,E$2)</f>
        <v>0.0134494903646368</v>
      </c>
      <c r="F37" s="0" t="n">
        <f aca="false">SUMIFS(Generacion!$C:$C,Generacion!$A:$A,$A37,Generacion!$B:$B,F$2)</f>
        <v>0.00353933956964125</v>
      </c>
      <c r="G37" s="0" t="n">
        <f aca="false">SUMIFS(Generacion!$C:$C,Generacion!$A:$A,$A37,Generacion!$B:$B,G$2)</f>
        <v>0.00247753769874887</v>
      </c>
      <c r="H37" s="0" t="n">
        <f aca="false">SUMPRODUCT((AtractivoAlternativas!$A$2:$A$931=$A37)*AtractivoAlternativas!$C$2:$C$931*COUNTIFS(Alternativas!$A$2:$A$51,AtractivoAlternativas!$B$2:$B$931,Alternativas!$B$2:$B$51,H$2))</f>
        <v>1.42462044363305</v>
      </c>
      <c r="I37" s="0" t="n">
        <f aca="false">SUMPRODUCT((AtractivoAlternativas!$A$2:$A$931=$A37)*AtractivoAlternativas!$C$2:$C$931*COUNTIFS(Alternativas!$A$2:$A$51,AtractivoAlternativas!$B$2:$B$931,Alternativas!$B$2:$B$51,I$2))</f>
        <v>4.82490740407437</v>
      </c>
      <c r="J37" s="0" t="n">
        <f aca="false">SUMPRODUCT((AtractivoAlternativas!$A$2:$A$931=$A37)*AtractivoAlternativas!$C$2:$C$931*COUNTIFS(Alternativas!$A$2:$A$51,AtractivoAlternativas!$B$2:$B$931,Alternativas!$B$2:$B$51,J$2))</f>
        <v>0.727258772739442</v>
      </c>
      <c r="K37" s="0" t="n">
        <f aca="false">SUMPRODUCT((AtractivoAlternativas!$A$2:$A$931=$A37)*AtractivoAlternativas!$C$2:$C$931*COUNTIFS(Alternativas!$A$2:$A$51,AtractivoAlternativas!$B$2:$B$931,Alternativas!$B$2:$B$51,K$2))</f>
        <v>0</v>
      </c>
      <c r="L37" s="0" t="n">
        <f aca="false">SUMPRODUCT((AtractivoAlternativas!$A$2:$A$931=$A37)*AtractivoAlternativas!$C$2:$C$931*COUNTIFS(Alternativas!$A$2:$A$51,AtractivoAlternativas!$B$2:$B$931,Alternativas!$B$2:$B$51,L$2))</f>
        <v>0</v>
      </c>
      <c r="M37" s="0" t="n">
        <f aca="false">SUMIFS(AtractivoSitios!$C:$C,AtractivoSitios!$A:$A,$A37,AtractivoSitios!$B:$B,M$2)</f>
        <v>0</v>
      </c>
      <c r="N37" s="0" t="n">
        <f aca="false">SUMIFS(AtractivoSitios!$C:$C,AtractivoSitios!$A:$A,$A37,AtractivoSitios!$B:$B,N$2)</f>
        <v>0</v>
      </c>
      <c r="O37" s="0" t="n">
        <f aca="false">SUMIFS(AtractivoSitios!$C:$C,AtractivoSitios!$A:$A,$A37,AtractivoSitios!$B:$B,O$2)</f>
        <v>0</v>
      </c>
      <c r="P37" s="0" t="n">
        <f aca="false">SUMIFS(AtractivoSitios!$C:$C,AtractivoSitios!$A:$A,$A37,AtractivoSitios!$B:$B,P$2)</f>
        <v>0.485538995237983</v>
      </c>
      <c r="Q37" s="0" t="n">
        <f aca="false">SUMIFS(AtractivoSitios!$C:$C,AtractivoSitios!$A:$A,$A37,AtractivoSitios!$B:$B,Q$2)</f>
        <v>0</v>
      </c>
      <c r="R37" s="0" t="n">
        <f aca="false">SUMIFS(AtractivoSitios!$C:$C,AtractivoSitios!$A:$A,$A37,AtractivoSitios!$B:$B,R$2)</f>
        <v>0</v>
      </c>
      <c r="S37" s="0" t="n">
        <f aca="false">SUMIFS(AtractivoSitios!$C:$C,AtractivoSitios!$A:$A,$A37,AtractivoSitios!$B:$B,S$2)</f>
        <v>0.371248568707787</v>
      </c>
      <c r="T37" s="0" t="n">
        <f aca="false">SUM(M37:S37)</f>
        <v>0.85678756394577</v>
      </c>
      <c r="U37" s="0" t="n">
        <f aca="false">C37/(AD$4+H37+$T37)</f>
        <v>0.000191228225200183</v>
      </c>
      <c r="V37" s="0" t="n">
        <f aca="false">D37/(AE$4+I37+$T37)</f>
        <v>5.52478460757611E-005</v>
      </c>
      <c r="W37" s="0" t="n">
        <f aca="false">E37/(AF$4+J37+$T37)</f>
        <v>0.000316331373608225</v>
      </c>
      <c r="X37" s="0" t="n">
        <f aca="false">F37/(AG$4+K37+$T37)</f>
        <v>1.73957089107363E-005</v>
      </c>
      <c r="Y37" s="0" t="n">
        <f aca="false">G37/(AH$4+L37+$T37)</f>
        <v>1.07931836904798E-005</v>
      </c>
    </row>
    <row r="38" customFormat="false" ht="15" hidden="false" customHeight="false" outlineLevel="0" collapsed="false">
      <c r="A38" s="0" t="s">
        <v>83</v>
      </c>
      <c r="B38" s="0" t="n">
        <f aca="false">SUMIFS(Sectores!$C:$C,Sectores!$A:$A,$A38)</f>
        <v>0</v>
      </c>
      <c r="C38" s="0" t="n">
        <f aca="false">SUMIFS(Generacion!$C:$C,Generacion!$A:$A,$A38,Generacion!$B:$B,C$2)</f>
        <v>0.0435338767065874</v>
      </c>
      <c r="D38" s="0" t="n">
        <f aca="false">SUMIFS(Generacion!$C:$C,Generacion!$A:$A,$A38,Generacion!$B:$B,D$2)</f>
        <v>0.0378709333951614</v>
      </c>
      <c r="E38" s="0" t="n">
        <f aca="false">SUMIFS(Generacion!$C:$C,Generacion!$A:$A,$A38,Generacion!$B:$B,E$2)</f>
        <v>0.0134494903646368</v>
      </c>
      <c r="F38" s="0" t="n">
        <f aca="false">SUMIFS(Generacion!$C:$C,Generacion!$A:$A,$A38,Generacion!$B:$B,F$2)</f>
        <v>0.00353933956964125</v>
      </c>
      <c r="G38" s="0" t="n">
        <f aca="false">SUMIFS(Generacion!$C:$C,Generacion!$A:$A,$A38,Generacion!$B:$B,G$2)</f>
        <v>0.00247753769874887</v>
      </c>
      <c r="H38" s="0" t="n">
        <f aca="false">SUMPRODUCT((AtractivoAlternativas!$A$2:$A$931=$A38)*AtractivoAlternativas!$C$2:$C$931*COUNTIFS(Alternativas!$A$2:$A$51,AtractivoAlternativas!$B$2:$B$931,Alternativas!$B$2:$B$51,H$2))</f>
        <v>1.22507126955824</v>
      </c>
      <c r="I38" s="0" t="n">
        <f aca="false">SUMPRODUCT((AtractivoAlternativas!$A$2:$A$931=$A38)*AtractivoAlternativas!$C$2:$C$931*COUNTIFS(Alternativas!$A$2:$A$51,AtractivoAlternativas!$B$2:$B$931,Alternativas!$B$2:$B$51,I$2))</f>
        <v>3.95625053503551</v>
      </c>
      <c r="J38" s="0" t="n">
        <f aca="false">SUMPRODUCT((AtractivoAlternativas!$A$2:$A$931=$A38)*AtractivoAlternativas!$C$2:$C$931*COUNTIFS(Alternativas!$A$2:$A$51,AtractivoAlternativas!$B$2:$B$931,Alternativas!$B$2:$B$51,J$2))</f>
        <v>0.679041968089836</v>
      </c>
      <c r="K38" s="0" t="n">
        <f aca="false">SUMPRODUCT((AtractivoAlternativas!$A$2:$A$931=$A38)*AtractivoAlternativas!$C$2:$C$931*COUNTIFS(Alternativas!$A$2:$A$51,AtractivoAlternativas!$B$2:$B$931,Alternativas!$B$2:$B$51,K$2))</f>
        <v>0</v>
      </c>
      <c r="L38" s="0" t="n">
        <f aca="false">SUMPRODUCT((AtractivoAlternativas!$A$2:$A$931=$A38)*AtractivoAlternativas!$C$2:$C$931*COUNTIFS(Alternativas!$A$2:$A$51,AtractivoAlternativas!$B$2:$B$931,Alternativas!$B$2:$B$51,L$2))</f>
        <v>0</v>
      </c>
      <c r="M38" s="0" t="n">
        <f aca="false">SUMIFS(AtractivoSitios!$C:$C,AtractivoSitios!$A:$A,$A38,AtractivoSitios!$B:$B,M$2)</f>
        <v>0</v>
      </c>
      <c r="N38" s="0" t="n">
        <f aca="false">SUMIFS(AtractivoSitios!$C:$C,AtractivoSitios!$A:$A,$A38,AtractivoSitios!$B:$B,N$2)</f>
        <v>0</v>
      </c>
      <c r="O38" s="0" t="n">
        <f aca="false">SUMIFS(AtractivoSitios!$C:$C,AtractivoSitios!$A:$A,$A38,AtractivoSitios!$B:$B,O$2)</f>
        <v>0</v>
      </c>
      <c r="P38" s="0" t="n">
        <f aca="false">SUMIFS(AtractivoSitios!$C:$C,AtractivoSitios!$A:$A,$A38,AtractivoSitios!$B:$B,P$2)</f>
        <v>0</v>
      </c>
      <c r="Q38" s="0" t="n">
        <f aca="false">SUMIFS(AtractivoSitios!$C:$C,AtractivoSitios!$A:$A,$A38,AtractivoSitios!$B:$B,Q$2)</f>
        <v>0</v>
      </c>
      <c r="R38" s="0" t="n">
        <f aca="false">SUMIFS(AtractivoSitios!$C:$C,AtractivoSitios!$A:$A,$A38,AtractivoSitios!$B:$B,R$2)</f>
        <v>0</v>
      </c>
      <c r="S38" s="0" t="n">
        <f aca="false">SUMIFS(AtractivoSitios!$C:$C,AtractivoSitios!$A:$A,$A38,AtractivoSitios!$B:$B,S$2)</f>
        <v>0.422033631321237</v>
      </c>
      <c r="T38" s="0" t="n">
        <f aca="false">SUM(M38:S38)</f>
        <v>0.422033631321237</v>
      </c>
      <c r="U38" s="0" t="n">
        <f aca="false">C38/(AD$4+H38+$T38)</f>
        <v>0.000191762525268924</v>
      </c>
      <c r="V38" s="0" t="n">
        <f aca="false">D38/(AE$4+I38+$T38)</f>
        <v>5.53530986181148E-005</v>
      </c>
      <c r="W38" s="0" t="n">
        <f aca="false">E38/(AF$4+J38+$T38)</f>
        <v>0.000319966011118593</v>
      </c>
      <c r="X38" s="0" t="n">
        <f aca="false">F38/(AG$4+K38+$T38)</f>
        <v>1.74329596197796E-005</v>
      </c>
      <c r="Y38" s="0" t="n">
        <f aca="false">G38/(AH$4+L38+$T38)</f>
        <v>1.08136644333238E-005</v>
      </c>
    </row>
    <row r="39" customFormat="false" ht="15" hidden="false" customHeight="false" outlineLevel="0" collapsed="false">
      <c r="A39" s="0" t="s">
        <v>84</v>
      </c>
      <c r="B39" s="0" t="n">
        <f aca="false">SUMIFS(Sectores!$C:$C,Sectores!$A:$A,$A39)</f>
        <v>7363</v>
      </c>
      <c r="C39" s="0" t="n">
        <f aca="false">SUMIFS(Generacion!$C:$C,Generacion!$A:$A,$A39,Generacion!$B:$B,C$2)</f>
        <v>0.0435338767065874</v>
      </c>
      <c r="D39" s="0" t="n">
        <f aca="false">SUMIFS(Generacion!$C:$C,Generacion!$A:$A,$A39,Generacion!$B:$B,D$2)</f>
        <v>0.0378709333951614</v>
      </c>
      <c r="E39" s="0" t="n">
        <f aca="false">SUMIFS(Generacion!$C:$C,Generacion!$A:$A,$A39,Generacion!$B:$B,E$2)</f>
        <v>0.0134494903646368</v>
      </c>
      <c r="F39" s="0" t="n">
        <f aca="false">SUMIFS(Generacion!$C:$C,Generacion!$A:$A,$A39,Generacion!$B:$B,F$2)</f>
        <v>0.00353933956964125</v>
      </c>
      <c r="G39" s="0" t="n">
        <f aca="false">SUMIFS(Generacion!$C:$C,Generacion!$A:$A,$A39,Generacion!$B:$B,G$2)</f>
        <v>0.00247753769874887</v>
      </c>
      <c r="H39" s="0" t="n">
        <f aca="false">SUMPRODUCT((AtractivoAlternativas!$A$2:$A$931=$A39)*AtractivoAlternativas!$C$2:$C$931*COUNTIFS(Alternativas!$A$2:$A$51,AtractivoAlternativas!$B$2:$B$931,Alternativas!$B$2:$B$51,H$2))</f>
        <v>1.98117750497538</v>
      </c>
      <c r="I39" s="0" t="n">
        <f aca="false">SUMPRODUCT((AtractivoAlternativas!$A$2:$A$931=$A39)*AtractivoAlternativas!$C$2:$C$931*COUNTIFS(Alternativas!$A$2:$A$51,AtractivoAlternativas!$B$2:$B$931,Alternativas!$B$2:$B$51,I$2))</f>
        <v>5.16761126592891</v>
      </c>
      <c r="J39" s="0" t="n">
        <f aca="false">SUMPRODUCT((AtractivoAlternativas!$A$2:$A$931=$A39)*AtractivoAlternativas!$C$2:$C$931*COUNTIFS(Alternativas!$A$2:$A$51,AtractivoAlternativas!$B$2:$B$931,Alternativas!$B$2:$B$51,J$2))</f>
        <v>1.27882586157675</v>
      </c>
      <c r="K39" s="0" t="n">
        <f aca="false">SUMPRODUCT((AtractivoAlternativas!$A$2:$A$931=$A39)*AtractivoAlternativas!$C$2:$C$931*COUNTIFS(Alternativas!$A$2:$A$51,AtractivoAlternativas!$B$2:$B$931,Alternativas!$B$2:$B$51,K$2))</f>
        <v>0</v>
      </c>
      <c r="L39" s="0" t="n">
        <f aca="false">SUMPRODUCT((AtractivoAlternativas!$A$2:$A$931=$A39)*AtractivoAlternativas!$C$2:$C$931*COUNTIFS(Alternativas!$A$2:$A$51,AtractivoAlternativas!$B$2:$B$931,Alternativas!$B$2:$B$51,L$2))</f>
        <v>0</v>
      </c>
      <c r="M39" s="0" t="n">
        <f aca="false">SUMIFS(AtractivoSitios!$C:$C,AtractivoSitios!$A:$A,$A39,AtractivoSitios!$B:$B,M$2)</f>
        <v>0</v>
      </c>
      <c r="N39" s="0" t="n">
        <f aca="false">SUMIFS(AtractivoSitios!$C:$C,AtractivoSitios!$A:$A,$A39,AtractivoSitios!$B:$B,N$2)</f>
        <v>0</v>
      </c>
      <c r="O39" s="0" t="n">
        <f aca="false">SUMIFS(AtractivoSitios!$C:$C,AtractivoSitios!$A:$A,$A39,AtractivoSitios!$B:$B,O$2)</f>
        <v>0</v>
      </c>
      <c r="P39" s="0" t="n">
        <f aca="false">SUMIFS(AtractivoSitios!$C:$C,AtractivoSitios!$A:$A,$A39,AtractivoSitios!$B:$B,P$2)</f>
        <v>0</v>
      </c>
      <c r="Q39" s="0" t="n">
        <f aca="false">SUMIFS(AtractivoSitios!$C:$C,AtractivoSitios!$A:$A,$A39,AtractivoSitios!$B:$B,Q$2)</f>
        <v>0</v>
      </c>
      <c r="R39" s="0" t="n">
        <f aca="false">SUMIFS(AtractivoSitios!$C:$C,AtractivoSitios!$A:$A,$A39,AtractivoSitios!$B:$B,R$2)</f>
        <v>0</v>
      </c>
      <c r="S39" s="0" t="n">
        <f aca="false">SUMIFS(AtractivoSitios!$C:$C,AtractivoSitios!$A:$A,$A39,AtractivoSitios!$B:$B,S$2)</f>
        <v>0.566208677353672</v>
      </c>
      <c r="T39" s="0" t="n">
        <f aca="false">SUM(M39:S39)</f>
        <v>0.566208677353672</v>
      </c>
      <c r="U39" s="0" t="n">
        <f aca="false">C39/(AD$4+H39+$T39)</f>
        <v>0.000191005065618809</v>
      </c>
      <c r="V39" s="0" t="n">
        <f aca="false">D39/(AE$4+I39+$T39)</f>
        <v>5.52436452223097E-005</v>
      </c>
      <c r="W39" s="0" t="n">
        <f aca="false">E39/(AF$4+J39+$T39)</f>
        <v>0.00031440144233049</v>
      </c>
      <c r="X39" s="0" t="n">
        <f aca="false">F39/(AG$4+K39+$T39)</f>
        <v>1.7420588704898E-005</v>
      </c>
      <c r="Y39" s="0" t="n">
        <f aca="false">G39/(AH$4+L39+$T39)</f>
        <v>1.08068639090021E-005</v>
      </c>
    </row>
    <row r="40" customFormat="false" ht="15" hidden="false" customHeight="false" outlineLevel="0" collapsed="false">
      <c r="A40" s="0" t="s">
        <v>85</v>
      </c>
      <c r="B40" s="0" t="n">
        <f aca="false">SUMIFS(Sectores!$C:$C,Sectores!$A:$A,$A40)</f>
        <v>4784</v>
      </c>
      <c r="C40" s="0" t="n">
        <f aca="false">SUMIFS(Generacion!$C:$C,Generacion!$A:$A,$A40,Generacion!$B:$B,C$2)</f>
        <v>0.0435338767065874</v>
      </c>
      <c r="D40" s="0" t="n">
        <f aca="false">SUMIFS(Generacion!$C:$C,Generacion!$A:$A,$A40,Generacion!$B:$B,D$2)</f>
        <v>0.0378709333951614</v>
      </c>
      <c r="E40" s="0" t="n">
        <f aca="false">SUMIFS(Generacion!$C:$C,Generacion!$A:$A,$A40,Generacion!$B:$B,E$2)</f>
        <v>0.0134494903646368</v>
      </c>
      <c r="F40" s="0" t="n">
        <f aca="false">SUMIFS(Generacion!$C:$C,Generacion!$A:$A,$A40,Generacion!$B:$B,F$2)</f>
        <v>0.00353933956964125</v>
      </c>
      <c r="G40" s="0" t="n">
        <f aca="false">SUMIFS(Generacion!$C:$C,Generacion!$A:$A,$A40,Generacion!$B:$B,G$2)</f>
        <v>0.00247753769874887</v>
      </c>
      <c r="H40" s="0" t="n">
        <f aca="false">SUMPRODUCT((AtractivoAlternativas!$A$2:$A$931=$A40)*AtractivoAlternativas!$C$2:$C$931*COUNTIFS(Alternativas!$A$2:$A$51,AtractivoAlternativas!$B$2:$B$931,Alternativas!$B$2:$B$51,H$2))</f>
        <v>2.13743446965772</v>
      </c>
      <c r="I40" s="0" t="n">
        <f aca="false">SUMPRODUCT((AtractivoAlternativas!$A$2:$A$931=$A40)*AtractivoAlternativas!$C$2:$C$931*COUNTIFS(Alternativas!$A$2:$A$51,AtractivoAlternativas!$B$2:$B$931,Alternativas!$B$2:$B$51,I$2))</f>
        <v>5.41538299366642</v>
      </c>
      <c r="J40" s="0" t="n">
        <f aca="false">SUMPRODUCT((AtractivoAlternativas!$A$2:$A$931=$A40)*AtractivoAlternativas!$C$2:$C$931*COUNTIFS(Alternativas!$A$2:$A$51,AtractivoAlternativas!$B$2:$B$931,Alternativas!$B$2:$B$51,J$2))</f>
        <v>1.25090962400194</v>
      </c>
      <c r="K40" s="0" t="n">
        <f aca="false">SUMPRODUCT((AtractivoAlternativas!$A$2:$A$931=$A40)*AtractivoAlternativas!$C$2:$C$931*COUNTIFS(Alternativas!$A$2:$A$51,AtractivoAlternativas!$B$2:$B$931,Alternativas!$B$2:$B$51,K$2))</f>
        <v>0</v>
      </c>
      <c r="L40" s="0" t="n">
        <f aca="false">SUMPRODUCT((AtractivoAlternativas!$A$2:$A$931=$A40)*AtractivoAlternativas!$C$2:$C$931*COUNTIFS(Alternativas!$A$2:$A$51,AtractivoAlternativas!$B$2:$B$931,Alternativas!$B$2:$B$51,L$2))</f>
        <v>0</v>
      </c>
      <c r="M40" s="0" t="n">
        <f aca="false">SUMIFS(AtractivoSitios!$C:$C,AtractivoSitios!$A:$A,$A40,AtractivoSitios!$B:$B,M$2)</f>
        <v>0</v>
      </c>
      <c r="N40" s="0" t="n">
        <f aca="false">SUMIFS(AtractivoSitios!$C:$C,AtractivoSitios!$A:$A,$A40,AtractivoSitios!$B:$B,N$2)</f>
        <v>0</v>
      </c>
      <c r="O40" s="0" t="n">
        <f aca="false">SUMIFS(AtractivoSitios!$C:$C,AtractivoSitios!$A:$A,$A40,AtractivoSitios!$B:$B,O$2)</f>
        <v>0</v>
      </c>
      <c r="P40" s="0" t="n">
        <f aca="false">SUMIFS(AtractivoSitios!$C:$C,AtractivoSitios!$A:$A,$A40,AtractivoSitios!$B:$B,P$2)</f>
        <v>0.417631757305469</v>
      </c>
      <c r="Q40" s="0" t="n">
        <f aca="false">SUMIFS(AtractivoSitios!$C:$C,AtractivoSitios!$A:$A,$A40,AtractivoSitios!$B:$B,Q$2)</f>
        <v>0</v>
      </c>
      <c r="R40" s="0" t="n">
        <f aca="false">SUMIFS(AtractivoSitios!$C:$C,AtractivoSitios!$A:$A,$A40,AtractivoSitios!$B:$B,R$2)</f>
        <v>0</v>
      </c>
      <c r="S40" s="0" t="n">
        <f aca="false">SUMIFS(AtractivoSitios!$C:$C,AtractivoSitios!$A:$A,$A40,AtractivoSitios!$B:$B,S$2)</f>
        <v>0.535165104000058</v>
      </c>
      <c r="T40" s="0" t="n">
        <f aca="false">SUM(M40:S40)</f>
        <v>0.952796861305527</v>
      </c>
      <c r="U40" s="0" t="n">
        <f aca="false">C40/(AD$4+H40+$T40)</f>
        <v>0.000190551223034218</v>
      </c>
      <c r="V40" s="0" t="n">
        <f aca="false">D40/(AE$4+I40+$T40)</f>
        <v>5.51925720679126E-005</v>
      </c>
      <c r="W40" s="0" t="n">
        <f aca="false">E40/(AF$4+J40+$T40)</f>
        <v>0.000311787268347104</v>
      </c>
      <c r="X40" s="0" t="n">
        <f aca="false">F40/(AG$4+K40+$T40)</f>
        <v>1.73875040646955E-005</v>
      </c>
      <c r="Y40" s="0" t="n">
        <f aca="false">G40/(AH$4+L40+$T40)</f>
        <v>1.07886712597491E-005</v>
      </c>
    </row>
    <row r="41" customFormat="false" ht="15" hidden="false" customHeight="false" outlineLevel="0" collapsed="false">
      <c r="A41" s="0" t="s">
        <v>86</v>
      </c>
      <c r="B41" s="0" t="n">
        <f aca="false">SUMIFS(Sectores!$C:$C,Sectores!$A:$A,$A41)</f>
        <v>7345</v>
      </c>
      <c r="C41" s="0" t="n">
        <f aca="false">SUMIFS(Generacion!$C:$C,Generacion!$A:$A,$A41,Generacion!$B:$B,C$2)</f>
        <v>0.0435338767065874</v>
      </c>
      <c r="D41" s="0" t="n">
        <f aca="false">SUMIFS(Generacion!$C:$C,Generacion!$A:$A,$A41,Generacion!$B:$B,D$2)</f>
        <v>0.0378709333951614</v>
      </c>
      <c r="E41" s="0" t="n">
        <f aca="false">SUMIFS(Generacion!$C:$C,Generacion!$A:$A,$A41,Generacion!$B:$B,E$2)</f>
        <v>0.0134494903646368</v>
      </c>
      <c r="F41" s="0" t="n">
        <f aca="false">SUMIFS(Generacion!$C:$C,Generacion!$A:$A,$A41,Generacion!$B:$B,F$2)</f>
        <v>0.00353933956964125</v>
      </c>
      <c r="G41" s="0" t="n">
        <f aca="false">SUMIFS(Generacion!$C:$C,Generacion!$A:$A,$A41,Generacion!$B:$B,G$2)</f>
        <v>0.00247753769874887</v>
      </c>
      <c r="H41" s="0" t="n">
        <f aca="false">SUMPRODUCT((AtractivoAlternativas!$A$2:$A$931=$A41)*AtractivoAlternativas!$C$2:$C$931*COUNTIFS(Alternativas!$A$2:$A$51,AtractivoAlternativas!$B$2:$B$931,Alternativas!$B$2:$B$51,H$2))</f>
        <v>1.89984299763159</v>
      </c>
      <c r="I41" s="0" t="n">
        <f aca="false">SUMPRODUCT((AtractivoAlternativas!$A$2:$A$931=$A41)*AtractivoAlternativas!$C$2:$C$931*COUNTIFS(Alternativas!$A$2:$A$51,AtractivoAlternativas!$B$2:$B$931,Alternativas!$B$2:$B$51,I$2))</f>
        <v>5.02329911697949</v>
      </c>
      <c r="J41" s="0" t="n">
        <f aca="false">SUMPRODUCT((AtractivoAlternativas!$A$2:$A$931=$A41)*AtractivoAlternativas!$C$2:$C$931*COUNTIFS(Alternativas!$A$2:$A$51,AtractivoAlternativas!$B$2:$B$931,Alternativas!$B$2:$B$51,J$2))</f>
        <v>1.10577818115841</v>
      </c>
      <c r="K41" s="0" t="n">
        <f aca="false">SUMPRODUCT((AtractivoAlternativas!$A$2:$A$931=$A41)*AtractivoAlternativas!$C$2:$C$931*COUNTIFS(Alternativas!$A$2:$A$51,AtractivoAlternativas!$B$2:$B$931,Alternativas!$B$2:$B$51,K$2))</f>
        <v>0</v>
      </c>
      <c r="L41" s="0" t="n">
        <f aca="false">SUMPRODUCT((AtractivoAlternativas!$A$2:$A$931=$A41)*AtractivoAlternativas!$C$2:$C$931*COUNTIFS(Alternativas!$A$2:$A$51,AtractivoAlternativas!$B$2:$B$931,Alternativas!$B$2:$B$51,L$2))</f>
        <v>0</v>
      </c>
      <c r="M41" s="0" t="n">
        <f aca="false">SUMIFS(AtractivoSitios!$C:$C,AtractivoSitios!$A:$A,$A41,AtractivoSitios!$B:$B,M$2)</f>
        <v>0</v>
      </c>
      <c r="N41" s="0" t="n">
        <f aca="false">SUMIFS(AtractivoSitios!$C:$C,AtractivoSitios!$A:$A,$A41,AtractivoSitios!$B:$B,N$2)</f>
        <v>0</v>
      </c>
      <c r="O41" s="0" t="n">
        <f aca="false">SUMIFS(AtractivoSitios!$C:$C,AtractivoSitios!$A:$A,$A41,AtractivoSitios!$B:$B,O$2)</f>
        <v>0</v>
      </c>
      <c r="P41" s="0" t="n">
        <f aca="false">SUMIFS(AtractivoSitios!$C:$C,AtractivoSitios!$A:$A,$A41,AtractivoSitios!$B:$B,P$2)</f>
        <v>0</v>
      </c>
      <c r="Q41" s="0" t="n">
        <f aca="false">SUMIFS(AtractivoSitios!$C:$C,AtractivoSitios!$A:$A,$A41,AtractivoSitios!$B:$B,Q$2)</f>
        <v>0</v>
      </c>
      <c r="R41" s="0" t="n">
        <f aca="false">SUMIFS(AtractivoSitios!$C:$C,AtractivoSitios!$A:$A,$A41,AtractivoSitios!$B:$B,R$2)</f>
        <v>0.473780706228478</v>
      </c>
      <c r="S41" s="0" t="n">
        <f aca="false">SUMIFS(AtractivoSitios!$C:$C,AtractivoSitios!$A:$A,$A41,AtractivoSitios!$B:$B,S$2)</f>
        <v>0.640608385972664</v>
      </c>
      <c r="T41" s="0" t="n">
        <f aca="false">SUM(M41:S41)</f>
        <v>1.11438909220114</v>
      </c>
      <c r="U41" s="0" t="n">
        <f aca="false">C41/(AD$4+H41+$T41)</f>
        <v>0.000190614631885877</v>
      </c>
      <c r="V41" s="0" t="n">
        <f aca="false">D41/(AE$4+I41+$T41)</f>
        <v>5.52111183284827E-005</v>
      </c>
      <c r="W41" s="0" t="n">
        <f aca="false">E41/(AF$4+J41+$T41)</f>
        <v>0.000311668337132064</v>
      </c>
      <c r="X41" s="0" t="n">
        <f aca="false">F41/(AG$4+K41+$T41)</f>
        <v>1.73737120373766E-005</v>
      </c>
      <c r="Y41" s="0" t="n">
        <f aca="false">G41/(AH$4+L41+$T41)</f>
        <v>1.07810849489126E-005</v>
      </c>
    </row>
    <row r="42" customFormat="false" ht="15" hidden="false" customHeight="false" outlineLevel="0" collapsed="false">
      <c r="A42" s="0" t="s">
        <v>87</v>
      </c>
      <c r="B42" s="0" t="n">
        <f aca="false">SUMIFS(Sectores!$C:$C,Sectores!$A:$A,$A42)</f>
        <v>3603</v>
      </c>
      <c r="C42" s="0" t="n">
        <f aca="false">SUMIFS(Generacion!$C:$C,Generacion!$A:$A,$A42,Generacion!$B:$B,C$2)</f>
        <v>0.0435338767065874</v>
      </c>
      <c r="D42" s="0" t="n">
        <f aca="false">SUMIFS(Generacion!$C:$C,Generacion!$A:$A,$A42,Generacion!$B:$B,D$2)</f>
        <v>0.0378709333951614</v>
      </c>
      <c r="E42" s="0" t="n">
        <f aca="false">SUMIFS(Generacion!$C:$C,Generacion!$A:$A,$A42,Generacion!$B:$B,E$2)</f>
        <v>0.0134494903646368</v>
      </c>
      <c r="F42" s="0" t="n">
        <f aca="false">SUMIFS(Generacion!$C:$C,Generacion!$A:$A,$A42,Generacion!$B:$B,F$2)</f>
        <v>0.00353933956964125</v>
      </c>
      <c r="G42" s="0" t="n">
        <f aca="false">SUMIFS(Generacion!$C:$C,Generacion!$A:$A,$A42,Generacion!$B:$B,G$2)</f>
        <v>0.00247753769874887</v>
      </c>
      <c r="H42" s="0" t="n">
        <f aca="false">SUMPRODUCT((AtractivoAlternativas!$A$2:$A$931=$A42)*AtractivoAlternativas!$C$2:$C$931*COUNTIFS(Alternativas!$A$2:$A$51,AtractivoAlternativas!$B$2:$B$931,Alternativas!$B$2:$B$51,H$2))</f>
        <v>2.07412808749218</v>
      </c>
      <c r="I42" s="0" t="n">
        <f aca="false">SUMPRODUCT((AtractivoAlternativas!$A$2:$A$931=$A42)*AtractivoAlternativas!$C$2:$C$931*COUNTIFS(Alternativas!$A$2:$A$51,AtractivoAlternativas!$B$2:$B$931,Alternativas!$B$2:$B$51,I$2))</f>
        <v>4.9571775980213</v>
      </c>
      <c r="J42" s="0" t="n">
        <f aca="false">SUMPRODUCT((AtractivoAlternativas!$A$2:$A$931=$A42)*AtractivoAlternativas!$C$2:$C$931*COUNTIFS(Alternativas!$A$2:$A$51,AtractivoAlternativas!$B$2:$B$931,Alternativas!$B$2:$B$51,J$2))</f>
        <v>0.723866299650305</v>
      </c>
      <c r="K42" s="0" t="n">
        <f aca="false">SUMPRODUCT((AtractivoAlternativas!$A$2:$A$931=$A42)*AtractivoAlternativas!$C$2:$C$931*COUNTIFS(Alternativas!$A$2:$A$51,AtractivoAlternativas!$B$2:$B$931,Alternativas!$B$2:$B$51,K$2))</f>
        <v>0</v>
      </c>
      <c r="L42" s="0" t="n">
        <f aca="false">SUMPRODUCT((AtractivoAlternativas!$A$2:$A$931=$A42)*AtractivoAlternativas!$C$2:$C$931*COUNTIFS(Alternativas!$A$2:$A$51,AtractivoAlternativas!$B$2:$B$931,Alternativas!$B$2:$B$51,L$2))</f>
        <v>0</v>
      </c>
      <c r="M42" s="0" t="n">
        <f aca="false">SUMIFS(AtractivoSitios!$C:$C,AtractivoSitios!$A:$A,$A42,AtractivoSitios!$B:$B,M$2)</f>
        <v>0</v>
      </c>
      <c r="N42" s="0" t="n">
        <f aca="false">SUMIFS(AtractivoSitios!$C:$C,AtractivoSitios!$A:$A,$A42,AtractivoSitios!$B:$B,N$2)</f>
        <v>0</v>
      </c>
      <c r="O42" s="0" t="n">
        <f aca="false">SUMIFS(AtractivoSitios!$C:$C,AtractivoSitios!$A:$A,$A42,AtractivoSitios!$B:$B,O$2)</f>
        <v>0</v>
      </c>
      <c r="P42" s="0" t="n">
        <f aca="false">SUMIFS(AtractivoSitios!$C:$C,AtractivoSitios!$A:$A,$A42,AtractivoSitios!$B:$B,P$2)</f>
        <v>0.478634758494143</v>
      </c>
      <c r="Q42" s="0" t="n">
        <f aca="false">SUMIFS(AtractivoSitios!$C:$C,AtractivoSitios!$A:$A,$A42,AtractivoSitios!$B:$B,Q$2)</f>
        <v>0</v>
      </c>
      <c r="R42" s="0" t="n">
        <f aca="false">SUMIFS(AtractivoSitios!$C:$C,AtractivoSitios!$A:$A,$A42,AtractivoSitios!$B:$B,R$2)</f>
        <v>0.376752815079205</v>
      </c>
      <c r="S42" s="0" t="n">
        <f aca="false">SUMIFS(AtractivoSitios!$C:$C,AtractivoSitios!$A:$A,$A42,AtractivoSitios!$B:$B,S$2)</f>
        <v>0.473963131041036</v>
      </c>
      <c r="T42" s="0" t="n">
        <f aca="false">SUM(M42:S42)</f>
        <v>1.32935070461438</v>
      </c>
      <c r="U42" s="0" t="n">
        <f aca="false">C42/(AD$4+H42+$T42)</f>
        <v>0.000190290314286217</v>
      </c>
      <c r="V42" s="0" t="n">
        <f aca="false">D42/(AE$4+I42+$T42)</f>
        <v>5.51991406462939E-005</v>
      </c>
      <c r="W42" s="0" t="n">
        <f aca="false">E42/(AF$4+J42+$T42)</f>
        <v>0.000312878796208178</v>
      </c>
      <c r="X42" s="0" t="n">
        <f aca="false">F42/(AG$4+K42+$T42)</f>
        <v>1.73553987675116E-005</v>
      </c>
      <c r="Y42" s="0" t="n">
        <f aca="false">G42/(AH$4+L42+$T42)</f>
        <v>1.07710096133106E-005</v>
      </c>
    </row>
    <row r="43" customFormat="false" ht="15" hidden="false" customHeight="false" outlineLevel="0" collapsed="false">
      <c r="A43" s="0" t="s">
        <v>88</v>
      </c>
      <c r="B43" s="0" t="n">
        <f aca="false">SUMIFS(Sectores!$C:$C,Sectores!$A:$A,$A43)</f>
        <v>3128</v>
      </c>
      <c r="C43" s="0" t="n">
        <f aca="false">SUMIFS(Generacion!$C:$C,Generacion!$A:$A,$A43,Generacion!$B:$B,C$2)</f>
        <v>0.0435338767065874</v>
      </c>
      <c r="D43" s="0" t="n">
        <f aca="false">SUMIFS(Generacion!$C:$C,Generacion!$A:$A,$A43,Generacion!$B:$B,D$2)</f>
        <v>0.0378709333951614</v>
      </c>
      <c r="E43" s="0" t="n">
        <f aca="false">SUMIFS(Generacion!$C:$C,Generacion!$A:$A,$A43,Generacion!$B:$B,E$2)</f>
        <v>0.0134494903646368</v>
      </c>
      <c r="F43" s="0" t="n">
        <f aca="false">SUMIFS(Generacion!$C:$C,Generacion!$A:$A,$A43,Generacion!$B:$B,F$2)</f>
        <v>0.00353933956964125</v>
      </c>
      <c r="G43" s="0" t="n">
        <f aca="false">SUMIFS(Generacion!$C:$C,Generacion!$A:$A,$A43,Generacion!$B:$B,G$2)</f>
        <v>0.00247753769874887</v>
      </c>
      <c r="H43" s="0" t="n">
        <f aca="false">SUMPRODUCT((AtractivoAlternativas!$A$2:$A$931=$A43)*AtractivoAlternativas!$C$2:$C$931*COUNTIFS(Alternativas!$A$2:$A$51,AtractivoAlternativas!$B$2:$B$931,Alternativas!$B$2:$B$51,H$2))</f>
        <v>1.84957573499691</v>
      </c>
      <c r="I43" s="0" t="n">
        <f aca="false">SUMPRODUCT((AtractivoAlternativas!$A$2:$A$931=$A43)*AtractivoAlternativas!$C$2:$C$931*COUNTIFS(Alternativas!$A$2:$A$51,AtractivoAlternativas!$B$2:$B$931,Alternativas!$B$2:$B$51,I$2))</f>
        <v>4.8721249996317</v>
      </c>
      <c r="J43" s="0" t="n">
        <f aca="false">SUMPRODUCT((AtractivoAlternativas!$A$2:$A$931=$A43)*AtractivoAlternativas!$C$2:$C$931*COUNTIFS(Alternativas!$A$2:$A$51,AtractivoAlternativas!$B$2:$B$931,Alternativas!$B$2:$B$51,J$2))</f>
        <v>0.924355100305797</v>
      </c>
      <c r="K43" s="0" t="n">
        <f aca="false">SUMPRODUCT((AtractivoAlternativas!$A$2:$A$931=$A43)*AtractivoAlternativas!$C$2:$C$931*COUNTIFS(Alternativas!$A$2:$A$51,AtractivoAlternativas!$B$2:$B$931,Alternativas!$B$2:$B$51,K$2))</f>
        <v>0</v>
      </c>
      <c r="L43" s="0" t="n">
        <f aca="false">SUMPRODUCT((AtractivoAlternativas!$A$2:$A$931=$A43)*AtractivoAlternativas!$C$2:$C$931*COUNTIFS(Alternativas!$A$2:$A$51,AtractivoAlternativas!$B$2:$B$931,Alternativas!$B$2:$B$51,L$2))</f>
        <v>0</v>
      </c>
      <c r="M43" s="0" t="n">
        <f aca="false">SUMIFS(AtractivoSitios!$C:$C,AtractivoSitios!$A:$A,$A43,AtractivoSitios!$B:$B,M$2)</f>
        <v>0</v>
      </c>
      <c r="N43" s="0" t="n">
        <f aca="false">SUMIFS(AtractivoSitios!$C:$C,AtractivoSitios!$A:$A,$A43,AtractivoSitios!$B:$B,N$2)</f>
        <v>0</v>
      </c>
      <c r="O43" s="0" t="n">
        <f aca="false">SUMIFS(AtractivoSitios!$C:$C,AtractivoSitios!$A:$A,$A43,AtractivoSitios!$B:$B,O$2)</f>
        <v>0</v>
      </c>
      <c r="P43" s="0" t="n">
        <f aca="false">SUMIFS(AtractivoSitios!$C:$C,AtractivoSitios!$A:$A,$A43,AtractivoSitios!$B:$B,P$2)</f>
        <v>0.384404605260367</v>
      </c>
      <c r="Q43" s="0" t="n">
        <f aca="false">SUMIFS(AtractivoSitios!$C:$C,AtractivoSitios!$A:$A,$A43,AtractivoSitios!$B:$B,Q$2)</f>
        <v>0</v>
      </c>
      <c r="R43" s="0" t="n">
        <f aca="false">SUMIFS(AtractivoSitios!$C:$C,AtractivoSitios!$A:$A,$A43,AtractivoSitios!$B:$B,R$2)</f>
        <v>0.517459141215092</v>
      </c>
      <c r="S43" s="0" t="n">
        <f aca="false">SUMIFS(AtractivoSitios!$C:$C,AtractivoSitios!$A:$A,$A43,AtractivoSitios!$B:$B,S$2)</f>
        <v>0.506915219112893</v>
      </c>
      <c r="T43" s="0" t="n">
        <f aca="false">SUM(M43:S43)</f>
        <v>1.40877896558835</v>
      </c>
      <c r="U43" s="0" t="n">
        <f aca="false">C43/(AD$4+H43+$T43)</f>
        <v>0.000190411101543538</v>
      </c>
      <c r="V43" s="0" t="n">
        <f aca="false">D43/(AE$4+I43+$T43)</f>
        <v>5.51995931618893E-005</v>
      </c>
      <c r="W43" s="0" t="n">
        <f aca="false">E43/(AF$4+J43+$T43)</f>
        <v>0.00031085457978264</v>
      </c>
      <c r="X43" s="0" t="n">
        <f aca="false">F43/(AG$4+K43+$T43)</f>
        <v>1.73486417833795E-005</v>
      </c>
      <c r="Y43" s="0" t="n">
        <f aca="false">G43/(AH$4+L43+$T43)</f>
        <v>1.07672915423984E-005</v>
      </c>
    </row>
    <row r="44" customFormat="false" ht="15" hidden="false" customHeight="false" outlineLevel="0" collapsed="false">
      <c r="A44" s="0" t="s">
        <v>89</v>
      </c>
      <c r="B44" s="0" t="n">
        <f aca="false">SUMIFS(Sectores!$C:$C,Sectores!$A:$A,$A44)</f>
        <v>4065</v>
      </c>
      <c r="C44" s="0" t="n">
        <f aca="false">SUMIFS(Generacion!$C:$C,Generacion!$A:$A,$A44,Generacion!$B:$B,C$2)</f>
        <v>0.0435338767065874</v>
      </c>
      <c r="D44" s="0" t="n">
        <f aca="false">SUMIFS(Generacion!$C:$C,Generacion!$A:$A,$A44,Generacion!$B:$B,D$2)</f>
        <v>0.0378709333951614</v>
      </c>
      <c r="E44" s="0" t="n">
        <f aca="false">SUMIFS(Generacion!$C:$C,Generacion!$A:$A,$A44,Generacion!$B:$B,E$2)</f>
        <v>0.0134494903646368</v>
      </c>
      <c r="F44" s="0" t="n">
        <f aca="false">SUMIFS(Generacion!$C:$C,Generacion!$A:$A,$A44,Generacion!$B:$B,F$2)</f>
        <v>0.00353933956964125</v>
      </c>
      <c r="G44" s="0" t="n">
        <f aca="false">SUMIFS(Generacion!$C:$C,Generacion!$A:$A,$A44,Generacion!$B:$B,G$2)</f>
        <v>0.00247753769874887</v>
      </c>
      <c r="H44" s="0" t="n">
        <f aca="false">SUMPRODUCT((AtractivoAlternativas!$A$2:$A$931=$A44)*AtractivoAlternativas!$C$2:$C$931*COUNTIFS(Alternativas!$A$2:$A$51,AtractivoAlternativas!$B$2:$B$931,Alternativas!$B$2:$B$51,H$2))</f>
        <v>1.81663567100632</v>
      </c>
      <c r="I44" s="0" t="n">
        <f aca="false">SUMPRODUCT((AtractivoAlternativas!$A$2:$A$931=$A44)*AtractivoAlternativas!$C$2:$C$931*COUNTIFS(Alternativas!$A$2:$A$51,AtractivoAlternativas!$B$2:$B$931,Alternativas!$B$2:$B$51,I$2))</f>
        <v>4.36900838308449</v>
      </c>
      <c r="J44" s="0" t="n">
        <f aca="false">SUMPRODUCT((AtractivoAlternativas!$A$2:$A$931=$A44)*AtractivoAlternativas!$C$2:$C$931*COUNTIFS(Alternativas!$A$2:$A$51,AtractivoAlternativas!$B$2:$B$931,Alternativas!$B$2:$B$51,J$2))</f>
        <v>0.571898733370394</v>
      </c>
      <c r="K44" s="0" t="n">
        <f aca="false">SUMPRODUCT((AtractivoAlternativas!$A$2:$A$931=$A44)*AtractivoAlternativas!$C$2:$C$931*COUNTIFS(Alternativas!$A$2:$A$51,AtractivoAlternativas!$B$2:$B$931,Alternativas!$B$2:$B$51,K$2))</f>
        <v>0</v>
      </c>
      <c r="L44" s="0" t="n">
        <f aca="false">SUMPRODUCT((AtractivoAlternativas!$A$2:$A$931=$A44)*AtractivoAlternativas!$C$2:$C$931*COUNTIFS(Alternativas!$A$2:$A$51,AtractivoAlternativas!$B$2:$B$931,Alternativas!$B$2:$B$51,L$2))</f>
        <v>0</v>
      </c>
      <c r="M44" s="0" t="n">
        <f aca="false">SUMIFS(AtractivoSitios!$C:$C,AtractivoSitios!$A:$A,$A44,AtractivoSitios!$B:$B,M$2)</f>
        <v>0</v>
      </c>
      <c r="N44" s="0" t="n">
        <f aca="false">SUMIFS(AtractivoSitios!$C:$C,AtractivoSitios!$A:$A,$A44,AtractivoSitios!$B:$B,N$2)</f>
        <v>0</v>
      </c>
      <c r="O44" s="0" t="n">
        <f aca="false">SUMIFS(AtractivoSitios!$C:$C,AtractivoSitios!$A:$A,$A44,AtractivoSitios!$B:$B,O$2)</f>
        <v>0</v>
      </c>
      <c r="P44" s="0" t="n">
        <f aca="false">SUMIFS(AtractivoSitios!$C:$C,AtractivoSitios!$A:$A,$A44,AtractivoSitios!$B:$B,P$2)</f>
        <v>0.485429819580705</v>
      </c>
      <c r="Q44" s="0" t="n">
        <f aca="false">SUMIFS(AtractivoSitios!$C:$C,AtractivoSitios!$A:$A,$A44,AtractivoSitios!$B:$B,Q$2)</f>
        <v>0</v>
      </c>
      <c r="R44" s="0" t="n">
        <f aca="false">SUMIFS(AtractivoSitios!$C:$C,AtractivoSitios!$A:$A,$A44,AtractivoSitios!$B:$B,R$2)</f>
        <v>0.418849245981121</v>
      </c>
      <c r="S44" s="0" t="n">
        <f aca="false">SUMIFS(AtractivoSitios!$C:$C,AtractivoSitios!$A:$A,$A44,AtractivoSitios!$B:$B,S$2)</f>
        <v>0.422394762803294</v>
      </c>
      <c r="T44" s="0" t="n">
        <f aca="false">SUM(M44:S44)</f>
        <v>1.32667382836512</v>
      </c>
      <c r="U44" s="0" t="n">
        <f aca="false">C44/(AD$4+H44+$T44)</f>
        <v>0.000190506963057664</v>
      </c>
      <c r="V44" s="0" t="n">
        <f aca="false">D44/(AE$4+I44+$T44)</f>
        <v>5.52467187538081E-005</v>
      </c>
      <c r="W44" s="0" t="n">
        <f aca="false">E44/(AF$4+J44+$T44)</f>
        <v>0.000314008451545275</v>
      </c>
      <c r="X44" s="0" t="n">
        <f aca="false">F44/(AG$4+K44+$T44)</f>
        <v>1.73556265817988E-005</v>
      </c>
      <c r="Y44" s="0" t="n">
        <f aca="false">G44/(AH$4+L44+$T44)</f>
        <v>1.07711349637626E-005</v>
      </c>
    </row>
    <row r="45" customFormat="false" ht="15" hidden="false" customHeight="false" outlineLevel="0" collapsed="false">
      <c r="A45" s="0" t="s">
        <v>90</v>
      </c>
      <c r="B45" s="0" t="n">
        <f aca="false">SUMIFS(Sectores!$C:$C,Sectores!$A:$A,$A45)</f>
        <v>3988</v>
      </c>
      <c r="C45" s="0" t="n">
        <f aca="false">SUMIFS(Generacion!$C:$C,Generacion!$A:$A,$A45,Generacion!$B:$B,C$2)</f>
        <v>0.0435338767065874</v>
      </c>
      <c r="D45" s="0" t="n">
        <f aca="false">SUMIFS(Generacion!$C:$C,Generacion!$A:$A,$A45,Generacion!$B:$B,D$2)</f>
        <v>0.0378709333951614</v>
      </c>
      <c r="E45" s="0" t="n">
        <f aca="false">SUMIFS(Generacion!$C:$C,Generacion!$A:$A,$A45,Generacion!$B:$B,E$2)</f>
        <v>0.0134494903646368</v>
      </c>
      <c r="F45" s="0" t="n">
        <f aca="false">SUMIFS(Generacion!$C:$C,Generacion!$A:$A,$A45,Generacion!$B:$B,F$2)</f>
        <v>0.00353933956964125</v>
      </c>
      <c r="G45" s="0" t="n">
        <f aca="false">SUMIFS(Generacion!$C:$C,Generacion!$A:$A,$A45,Generacion!$B:$B,G$2)</f>
        <v>0.00247753769874887</v>
      </c>
      <c r="H45" s="0" t="n">
        <f aca="false">SUMPRODUCT((AtractivoAlternativas!$A$2:$A$931=$A45)*AtractivoAlternativas!$C$2:$C$931*COUNTIFS(Alternativas!$A$2:$A$51,AtractivoAlternativas!$B$2:$B$931,Alternativas!$B$2:$B$51,H$2))</f>
        <v>1.73754065408033</v>
      </c>
      <c r="I45" s="0" t="n">
        <f aca="false">SUMPRODUCT((AtractivoAlternativas!$A$2:$A$931=$A45)*AtractivoAlternativas!$C$2:$C$931*COUNTIFS(Alternativas!$A$2:$A$51,AtractivoAlternativas!$B$2:$B$931,Alternativas!$B$2:$B$51,I$2))</f>
        <v>4.57026068421613</v>
      </c>
      <c r="J45" s="0" t="n">
        <f aca="false">SUMPRODUCT((AtractivoAlternativas!$A$2:$A$931=$A45)*AtractivoAlternativas!$C$2:$C$931*COUNTIFS(Alternativas!$A$2:$A$51,AtractivoAlternativas!$B$2:$B$931,Alternativas!$B$2:$B$51,J$2))</f>
        <v>0.5676446582214</v>
      </c>
      <c r="K45" s="0" t="n">
        <f aca="false">SUMPRODUCT((AtractivoAlternativas!$A$2:$A$931=$A45)*AtractivoAlternativas!$C$2:$C$931*COUNTIFS(Alternativas!$A$2:$A$51,AtractivoAlternativas!$B$2:$B$931,Alternativas!$B$2:$B$51,K$2))</f>
        <v>0</v>
      </c>
      <c r="L45" s="0" t="n">
        <f aca="false">SUMPRODUCT((AtractivoAlternativas!$A$2:$A$931=$A45)*AtractivoAlternativas!$C$2:$C$931*COUNTIFS(Alternativas!$A$2:$A$51,AtractivoAlternativas!$B$2:$B$931,Alternativas!$B$2:$B$51,L$2))</f>
        <v>0</v>
      </c>
      <c r="M45" s="0" t="n">
        <f aca="false">SUMIFS(AtractivoSitios!$C:$C,AtractivoSitios!$A:$A,$A45,AtractivoSitios!$B:$B,M$2)</f>
        <v>0</v>
      </c>
      <c r="N45" s="0" t="n">
        <f aca="false">SUMIFS(AtractivoSitios!$C:$C,AtractivoSitios!$A:$A,$A45,AtractivoSitios!$B:$B,N$2)</f>
        <v>0</v>
      </c>
      <c r="O45" s="0" t="n">
        <f aca="false">SUMIFS(AtractivoSitios!$C:$C,AtractivoSitios!$A:$A,$A45,AtractivoSitios!$B:$B,O$2)</f>
        <v>0</v>
      </c>
      <c r="P45" s="0" t="n">
        <f aca="false">SUMIFS(AtractivoSitios!$C:$C,AtractivoSitios!$A:$A,$A45,AtractivoSitios!$B:$B,P$2)</f>
        <v>0.603147374232497</v>
      </c>
      <c r="Q45" s="0" t="n">
        <f aca="false">SUMIFS(AtractivoSitios!$C:$C,AtractivoSitios!$A:$A,$A45,AtractivoSitios!$B:$B,Q$2)</f>
        <v>0</v>
      </c>
      <c r="R45" s="0" t="n">
        <f aca="false">SUMIFS(AtractivoSitios!$C:$C,AtractivoSitios!$A:$A,$A45,AtractivoSitios!$B:$B,R$2)</f>
        <v>0</v>
      </c>
      <c r="S45" s="0" t="n">
        <f aca="false">SUMIFS(AtractivoSitios!$C:$C,AtractivoSitios!$A:$A,$A45,AtractivoSitios!$B:$B,S$2)</f>
        <v>0</v>
      </c>
      <c r="T45" s="0" t="n">
        <f aca="false">SUM(M45:S45)</f>
        <v>0.603147374232497</v>
      </c>
      <c r="U45" s="0" t="n">
        <f aca="false">C45/(AD$4+H45+$T45)</f>
        <v>0.000191178443248482</v>
      </c>
      <c r="V45" s="0" t="n">
        <f aca="false">D45/(AE$4+I45+$T45)</f>
        <v>5.52888434244788E-005</v>
      </c>
      <c r="W45" s="0" t="n">
        <f aca="false">E45/(AF$4+J45+$T45)</f>
        <v>0.000319436204578584</v>
      </c>
      <c r="X45" s="0" t="n">
        <f aca="false">F45/(AG$4+K45+$T45)</f>
        <v>1.74174220113241E-005</v>
      </c>
      <c r="Y45" s="0" t="n">
        <f aca="false">G45/(AH$4+L45+$T45)</f>
        <v>1.08051229413816E-005</v>
      </c>
    </row>
    <row r="46" customFormat="false" ht="15" hidden="false" customHeight="false" outlineLevel="0" collapsed="false">
      <c r="A46" s="0" t="s">
        <v>91</v>
      </c>
      <c r="B46" s="0" t="n">
        <f aca="false">SUMIFS(Sectores!$C:$C,Sectores!$A:$A,$A46)</f>
        <v>5003</v>
      </c>
      <c r="C46" s="0" t="n">
        <f aca="false">SUMIFS(Generacion!$C:$C,Generacion!$A:$A,$A46,Generacion!$B:$B,C$2)</f>
        <v>0.0435338767065874</v>
      </c>
      <c r="D46" s="0" t="n">
        <f aca="false">SUMIFS(Generacion!$C:$C,Generacion!$A:$A,$A46,Generacion!$B:$B,D$2)</f>
        <v>0.0378709333951614</v>
      </c>
      <c r="E46" s="0" t="n">
        <f aca="false">SUMIFS(Generacion!$C:$C,Generacion!$A:$A,$A46,Generacion!$B:$B,E$2)</f>
        <v>0.0134494903646368</v>
      </c>
      <c r="F46" s="0" t="n">
        <f aca="false">SUMIFS(Generacion!$C:$C,Generacion!$A:$A,$A46,Generacion!$B:$B,F$2)</f>
        <v>0.00353933956964125</v>
      </c>
      <c r="G46" s="0" t="n">
        <f aca="false">SUMIFS(Generacion!$C:$C,Generacion!$A:$A,$A46,Generacion!$B:$B,G$2)</f>
        <v>0.00247753769874887</v>
      </c>
      <c r="H46" s="0" t="n">
        <f aca="false">SUMPRODUCT((AtractivoAlternativas!$A$2:$A$931=$A46)*AtractivoAlternativas!$C$2:$C$931*COUNTIFS(Alternativas!$A$2:$A$51,AtractivoAlternativas!$B$2:$B$931,Alternativas!$B$2:$B$51,H$2))</f>
        <v>0.454881549936702</v>
      </c>
      <c r="I46" s="0" t="n">
        <f aca="false">SUMPRODUCT((AtractivoAlternativas!$A$2:$A$931=$A46)*AtractivoAlternativas!$C$2:$C$931*COUNTIFS(Alternativas!$A$2:$A$51,AtractivoAlternativas!$B$2:$B$931,Alternativas!$B$2:$B$51,I$2))</f>
        <v>2.05482874796119</v>
      </c>
      <c r="J46" s="0" t="n">
        <f aca="false">SUMPRODUCT((AtractivoAlternativas!$A$2:$A$931=$A46)*AtractivoAlternativas!$C$2:$C$931*COUNTIFS(Alternativas!$A$2:$A$51,AtractivoAlternativas!$B$2:$B$931,Alternativas!$B$2:$B$51,J$2))</f>
        <v>0</v>
      </c>
      <c r="K46" s="0" t="n">
        <f aca="false">SUMPRODUCT((AtractivoAlternativas!$A$2:$A$931=$A46)*AtractivoAlternativas!$C$2:$C$931*COUNTIFS(Alternativas!$A$2:$A$51,AtractivoAlternativas!$B$2:$B$931,Alternativas!$B$2:$B$51,K$2))</f>
        <v>0</v>
      </c>
      <c r="L46" s="0" t="n">
        <f aca="false">SUMPRODUCT((AtractivoAlternativas!$A$2:$A$931=$A46)*AtractivoAlternativas!$C$2:$C$931*COUNTIFS(Alternativas!$A$2:$A$51,AtractivoAlternativas!$B$2:$B$931,Alternativas!$B$2:$B$51,L$2))</f>
        <v>0</v>
      </c>
      <c r="M46" s="0" t="n">
        <f aca="false">SUMIFS(AtractivoSitios!$C:$C,AtractivoSitios!$A:$A,$A46,AtractivoSitios!$B:$B,M$2)</f>
        <v>0</v>
      </c>
      <c r="N46" s="0" t="n">
        <f aca="false">SUMIFS(AtractivoSitios!$C:$C,AtractivoSitios!$A:$A,$A46,AtractivoSitios!$B:$B,N$2)</f>
        <v>0</v>
      </c>
      <c r="O46" s="0" t="n">
        <f aca="false">SUMIFS(AtractivoSitios!$C:$C,AtractivoSitios!$A:$A,$A46,AtractivoSitios!$B:$B,O$2)</f>
        <v>0</v>
      </c>
      <c r="P46" s="0" t="n">
        <f aca="false">SUMIFS(AtractivoSitios!$C:$C,AtractivoSitios!$A:$A,$A46,AtractivoSitios!$B:$B,P$2)</f>
        <v>0.612360889386249</v>
      </c>
      <c r="Q46" s="0" t="n">
        <f aca="false">SUMIFS(AtractivoSitios!$C:$C,AtractivoSitios!$A:$A,$A46,AtractivoSitios!$B:$B,Q$2)</f>
        <v>0</v>
      </c>
      <c r="R46" s="0" t="n">
        <f aca="false">SUMIFS(AtractivoSitios!$C:$C,AtractivoSitios!$A:$A,$A46,AtractivoSitios!$B:$B,R$2)</f>
        <v>0</v>
      </c>
      <c r="S46" s="0" t="n">
        <f aca="false">SUMIFS(AtractivoSitios!$C:$C,AtractivoSitios!$A:$A,$A46,AtractivoSitios!$B:$B,S$2)</f>
        <v>0</v>
      </c>
      <c r="T46" s="0" t="n">
        <f aca="false">SUM(M46:S46)</f>
        <v>0.612360889386249</v>
      </c>
      <c r="U46" s="0" t="n">
        <f aca="false">C46/(AD$4+H46+$T46)</f>
        <v>0.000192253586720054</v>
      </c>
      <c r="V46" s="0" t="n">
        <f aca="false">D46/(AE$4+I46+$T46)</f>
        <v>5.54918826146859E-005</v>
      </c>
      <c r="W46" s="0" t="n">
        <f aca="false">E46/(AF$4+J46+$T46)</f>
        <v>0.000323729895175505</v>
      </c>
      <c r="X46" s="0" t="n">
        <f aca="false">F46/(AG$4+K46+$T46)</f>
        <v>1.74166323312467E-005</v>
      </c>
      <c r="Y46" s="0" t="n">
        <f aca="false">G46/(AH$4+L46+$T46)</f>
        <v>1.08046887841316E-005</v>
      </c>
    </row>
    <row r="47" customFormat="false" ht="15" hidden="false" customHeight="false" outlineLevel="0" collapsed="false">
      <c r="A47" s="0" t="s">
        <v>92</v>
      </c>
      <c r="B47" s="0" t="n">
        <f aca="false">SUMIFS(Sectores!$C:$C,Sectores!$A:$A,$A47)</f>
        <v>4481</v>
      </c>
      <c r="C47" s="0" t="n">
        <f aca="false">SUMIFS(Generacion!$C:$C,Generacion!$A:$A,$A47,Generacion!$B:$B,C$2)</f>
        <v>0.0435338767065874</v>
      </c>
      <c r="D47" s="0" t="n">
        <f aca="false">SUMIFS(Generacion!$C:$C,Generacion!$A:$A,$A47,Generacion!$B:$B,D$2)</f>
        <v>0.0378709333951614</v>
      </c>
      <c r="E47" s="0" t="n">
        <f aca="false">SUMIFS(Generacion!$C:$C,Generacion!$A:$A,$A47,Generacion!$B:$B,E$2)</f>
        <v>0.0134494903646368</v>
      </c>
      <c r="F47" s="0" t="n">
        <f aca="false">SUMIFS(Generacion!$C:$C,Generacion!$A:$A,$A47,Generacion!$B:$B,F$2)</f>
        <v>0.00353933956964125</v>
      </c>
      <c r="G47" s="0" t="n">
        <f aca="false">SUMIFS(Generacion!$C:$C,Generacion!$A:$A,$A47,Generacion!$B:$B,G$2)</f>
        <v>0.00247753769874887</v>
      </c>
      <c r="H47" s="0" t="n">
        <f aca="false">SUMPRODUCT((AtractivoAlternativas!$A$2:$A$931=$A47)*AtractivoAlternativas!$C$2:$C$931*COUNTIFS(Alternativas!$A$2:$A$51,AtractivoAlternativas!$B$2:$B$931,Alternativas!$B$2:$B$51,H$2))</f>
        <v>1.64522796135535</v>
      </c>
      <c r="I47" s="0" t="n">
        <f aca="false">SUMPRODUCT((AtractivoAlternativas!$A$2:$A$931=$A47)*AtractivoAlternativas!$C$2:$C$931*COUNTIFS(Alternativas!$A$2:$A$51,AtractivoAlternativas!$B$2:$B$931,Alternativas!$B$2:$B$51,I$2))</f>
        <v>3.14219224076233</v>
      </c>
      <c r="J47" s="0" t="n">
        <f aca="false">SUMPRODUCT((AtractivoAlternativas!$A$2:$A$931=$A47)*AtractivoAlternativas!$C$2:$C$931*COUNTIFS(Alternativas!$A$2:$A$51,AtractivoAlternativas!$B$2:$B$931,Alternativas!$B$2:$B$51,J$2))</f>
        <v>0.408402262765221</v>
      </c>
      <c r="K47" s="0" t="n">
        <f aca="false">SUMPRODUCT((AtractivoAlternativas!$A$2:$A$931=$A47)*AtractivoAlternativas!$C$2:$C$931*COUNTIFS(Alternativas!$A$2:$A$51,AtractivoAlternativas!$B$2:$B$931,Alternativas!$B$2:$B$51,K$2))</f>
        <v>0</v>
      </c>
      <c r="L47" s="0" t="n">
        <f aca="false">SUMPRODUCT((AtractivoAlternativas!$A$2:$A$931=$A47)*AtractivoAlternativas!$C$2:$C$931*COUNTIFS(Alternativas!$A$2:$A$51,AtractivoAlternativas!$B$2:$B$931,Alternativas!$B$2:$B$51,L$2))</f>
        <v>0</v>
      </c>
      <c r="M47" s="0" t="n">
        <f aca="false">SUMIFS(AtractivoSitios!$C:$C,AtractivoSitios!$A:$A,$A47,AtractivoSitios!$B:$B,M$2)</f>
        <v>0.605728599396183</v>
      </c>
      <c r="N47" s="0" t="n">
        <f aca="false">SUMIFS(AtractivoSitios!$C:$C,AtractivoSitios!$A:$A,$A47,AtractivoSitios!$B:$B,N$2)</f>
        <v>0</v>
      </c>
      <c r="O47" s="0" t="n">
        <f aca="false">SUMIFS(AtractivoSitios!$C:$C,AtractivoSitios!$A:$A,$A47,AtractivoSitios!$B:$B,O$2)</f>
        <v>0</v>
      </c>
      <c r="P47" s="0" t="n">
        <f aca="false">SUMIFS(AtractivoSitios!$C:$C,AtractivoSitios!$A:$A,$A47,AtractivoSitios!$B:$B,P$2)</f>
        <v>0</v>
      </c>
      <c r="Q47" s="0" t="n">
        <f aca="false">SUMIFS(AtractivoSitios!$C:$C,AtractivoSitios!$A:$A,$A47,AtractivoSitios!$B:$B,Q$2)</f>
        <v>0</v>
      </c>
      <c r="R47" s="0" t="n">
        <f aca="false">SUMIFS(AtractivoSitios!$C:$C,AtractivoSitios!$A:$A,$A47,AtractivoSitios!$B:$B,R$2)</f>
        <v>0.775678060076146</v>
      </c>
      <c r="S47" s="0" t="n">
        <f aca="false">SUMIFS(AtractivoSitios!$C:$C,AtractivoSitios!$A:$A,$A47,AtractivoSitios!$B:$B,S$2)</f>
        <v>0</v>
      </c>
      <c r="T47" s="0" t="n">
        <f aca="false">SUM(M47:S47)</f>
        <v>1.38140665947233</v>
      </c>
      <c r="U47" s="0" t="n">
        <f aca="false">C47/(AD$4+H47+$T47)</f>
        <v>0.000190604281134815</v>
      </c>
      <c r="V47" s="0" t="n">
        <f aca="false">D47/(AE$4+I47+$T47)</f>
        <v>5.53413443583595E-005</v>
      </c>
      <c r="W47" s="0" t="n">
        <f aca="false">E47/(AF$4+J47+$T47)</f>
        <v>0.000314807852749187</v>
      </c>
      <c r="X47" s="0" t="n">
        <f aca="false">F47/(AG$4+K47+$T47)</f>
        <v>1.73509697587934E-005</v>
      </c>
      <c r="Y47" s="0" t="n">
        <f aca="false">G47/(AH$4+L47+$T47)</f>
        <v>1.07685725618608E-005</v>
      </c>
    </row>
    <row r="48" customFormat="false" ht="15" hidden="false" customHeight="false" outlineLevel="0" collapsed="false">
      <c r="A48" s="0" t="s">
        <v>93</v>
      </c>
      <c r="B48" s="0" t="n">
        <f aca="false">SUMIFS(Sectores!$C:$C,Sectores!$A:$A,$A48)</f>
        <v>2988</v>
      </c>
      <c r="C48" s="0" t="n">
        <f aca="false">SUMIFS(Generacion!$C:$C,Generacion!$A:$A,$A48,Generacion!$B:$B,C$2)</f>
        <v>0.0435338767065874</v>
      </c>
      <c r="D48" s="0" t="n">
        <f aca="false">SUMIFS(Generacion!$C:$C,Generacion!$A:$A,$A48,Generacion!$B:$B,D$2)</f>
        <v>0.0378709333951614</v>
      </c>
      <c r="E48" s="0" t="n">
        <f aca="false">SUMIFS(Generacion!$C:$C,Generacion!$A:$A,$A48,Generacion!$B:$B,E$2)</f>
        <v>0.0134494903646368</v>
      </c>
      <c r="F48" s="0" t="n">
        <f aca="false">SUMIFS(Generacion!$C:$C,Generacion!$A:$A,$A48,Generacion!$B:$B,F$2)</f>
        <v>0.00353933956964125</v>
      </c>
      <c r="G48" s="0" t="n">
        <f aca="false">SUMIFS(Generacion!$C:$C,Generacion!$A:$A,$A48,Generacion!$B:$B,G$2)</f>
        <v>0.00247753769874887</v>
      </c>
      <c r="H48" s="0" t="n">
        <f aca="false">SUMPRODUCT((AtractivoAlternativas!$A$2:$A$931=$A48)*AtractivoAlternativas!$C$2:$C$931*COUNTIFS(Alternativas!$A$2:$A$51,AtractivoAlternativas!$B$2:$B$931,Alternativas!$B$2:$B$51,H$2))</f>
        <v>1.71115618606879</v>
      </c>
      <c r="I48" s="0" t="n">
        <f aca="false">SUMPRODUCT((AtractivoAlternativas!$A$2:$A$931=$A48)*AtractivoAlternativas!$C$2:$C$931*COUNTIFS(Alternativas!$A$2:$A$51,AtractivoAlternativas!$B$2:$B$931,Alternativas!$B$2:$B$51,I$2))</f>
        <v>3.26982678854424</v>
      </c>
      <c r="J48" s="0" t="n">
        <f aca="false">SUMPRODUCT((AtractivoAlternativas!$A$2:$A$931=$A48)*AtractivoAlternativas!$C$2:$C$931*COUNTIFS(Alternativas!$A$2:$A$51,AtractivoAlternativas!$B$2:$B$931,Alternativas!$B$2:$B$51,J$2))</f>
        <v>0.410580788004299</v>
      </c>
      <c r="K48" s="0" t="n">
        <f aca="false">SUMPRODUCT((AtractivoAlternativas!$A$2:$A$931=$A48)*AtractivoAlternativas!$C$2:$C$931*COUNTIFS(Alternativas!$A$2:$A$51,AtractivoAlternativas!$B$2:$B$931,Alternativas!$B$2:$B$51,K$2))</f>
        <v>0</v>
      </c>
      <c r="L48" s="0" t="n">
        <f aca="false">SUMPRODUCT((AtractivoAlternativas!$A$2:$A$931=$A48)*AtractivoAlternativas!$C$2:$C$931*COUNTIFS(Alternativas!$A$2:$A$51,AtractivoAlternativas!$B$2:$B$931,Alternativas!$B$2:$B$51,L$2))</f>
        <v>0</v>
      </c>
      <c r="M48" s="0" t="n">
        <f aca="false">SUMIFS(AtractivoSitios!$C:$C,AtractivoSitios!$A:$A,$A48,AtractivoSitios!$B:$B,M$2)</f>
        <v>0.707401077793577</v>
      </c>
      <c r="N48" s="0" t="n">
        <f aca="false">SUMIFS(AtractivoSitios!$C:$C,AtractivoSitios!$A:$A,$A48,AtractivoSitios!$B:$B,N$2)</f>
        <v>0</v>
      </c>
      <c r="O48" s="0" t="n">
        <f aca="false">SUMIFS(AtractivoSitios!$C:$C,AtractivoSitios!$A:$A,$A48,AtractivoSitios!$B:$B,O$2)</f>
        <v>0</v>
      </c>
      <c r="P48" s="0" t="n">
        <f aca="false">SUMIFS(AtractivoSitios!$C:$C,AtractivoSitios!$A:$A,$A48,AtractivoSitios!$B:$B,P$2)</f>
        <v>0</v>
      </c>
      <c r="Q48" s="0" t="n">
        <f aca="false">SUMIFS(AtractivoSitios!$C:$C,AtractivoSitios!$A:$A,$A48,AtractivoSitios!$B:$B,Q$2)</f>
        <v>0</v>
      </c>
      <c r="R48" s="0" t="n">
        <f aca="false">SUMIFS(AtractivoSitios!$C:$C,AtractivoSitios!$A:$A,$A48,AtractivoSitios!$B:$B,R$2)</f>
        <v>0.695341320053691</v>
      </c>
      <c r="S48" s="0" t="n">
        <f aca="false">SUMIFS(AtractivoSitios!$C:$C,AtractivoSitios!$A:$A,$A48,AtractivoSitios!$B:$B,S$2)</f>
        <v>0</v>
      </c>
      <c r="T48" s="0" t="n">
        <f aca="false">SUM(M48:S48)</f>
        <v>1.40274239784727</v>
      </c>
      <c r="U48" s="0" t="n">
        <f aca="false">C48/(AD$4+H48+$T48)</f>
        <v>0.000190531485222448</v>
      </c>
      <c r="V48" s="0" t="n">
        <f aca="false">D48/(AE$4+I48+$T48)</f>
        <v>5.53292995881147E-005</v>
      </c>
      <c r="W48" s="0" t="n">
        <f aca="false">E48/(AF$4+J48+$T48)</f>
        <v>0.000314634680737166</v>
      </c>
      <c r="X48" s="0" t="n">
        <f aca="false">F48/(AG$4+K48+$T48)</f>
        <v>1.73491551311228E-005</v>
      </c>
      <c r="Y48" s="0" t="n">
        <f aca="false">G48/(AH$4+L48+$T48)</f>
        <v>1.07675740265879E-005</v>
      </c>
    </row>
    <row r="49" customFormat="false" ht="15" hidden="false" customHeight="false" outlineLevel="0" collapsed="false">
      <c r="A49" s="0" t="s">
        <v>94</v>
      </c>
      <c r="B49" s="0" t="n">
        <f aca="false">SUMIFS(Sectores!$C:$C,Sectores!$A:$A,$A49)</f>
        <v>4219</v>
      </c>
      <c r="C49" s="0" t="n">
        <f aca="false">SUMIFS(Generacion!$C:$C,Generacion!$A:$A,$A49,Generacion!$B:$B,C$2)</f>
        <v>0.0435338767065874</v>
      </c>
      <c r="D49" s="0" t="n">
        <f aca="false">SUMIFS(Generacion!$C:$C,Generacion!$A:$A,$A49,Generacion!$B:$B,D$2)</f>
        <v>0.0378709333951614</v>
      </c>
      <c r="E49" s="0" t="n">
        <f aca="false">SUMIFS(Generacion!$C:$C,Generacion!$A:$A,$A49,Generacion!$B:$B,E$2)</f>
        <v>0.0134494903646368</v>
      </c>
      <c r="F49" s="0" t="n">
        <f aca="false">SUMIFS(Generacion!$C:$C,Generacion!$A:$A,$A49,Generacion!$B:$B,F$2)</f>
        <v>0.00353933956964125</v>
      </c>
      <c r="G49" s="0" t="n">
        <f aca="false">SUMIFS(Generacion!$C:$C,Generacion!$A:$A,$A49,Generacion!$B:$B,G$2)</f>
        <v>0.00247753769874887</v>
      </c>
      <c r="H49" s="0" t="n">
        <f aca="false">SUMPRODUCT((AtractivoAlternativas!$A$2:$A$931=$A49)*AtractivoAlternativas!$C$2:$C$931*COUNTIFS(Alternativas!$A$2:$A$51,AtractivoAlternativas!$B$2:$B$931,Alternativas!$B$2:$B$51,H$2))</f>
        <v>1.6893451503734</v>
      </c>
      <c r="I49" s="0" t="n">
        <f aca="false">SUMPRODUCT((AtractivoAlternativas!$A$2:$A$931=$A49)*AtractivoAlternativas!$C$2:$C$931*COUNTIFS(Alternativas!$A$2:$A$51,AtractivoAlternativas!$B$2:$B$931,Alternativas!$B$2:$B$51,I$2))</f>
        <v>3.0166500062533</v>
      </c>
      <c r="J49" s="0" t="n">
        <f aca="false">SUMPRODUCT((AtractivoAlternativas!$A$2:$A$931=$A49)*AtractivoAlternativas!$C$2:$C$931*COUNTIFS(Alternativas!$A$2:$A$51,AtractivoAlternativas!$B$2:$B$931,Alternativas!$B$2:$B$51,J$2))</f>
        <v>0.399686754725111</v>
      </c>
      <c r="K49" s="0" t="n">
        <f aca="false">SUMPRODUCT((AtractivoAlternativas!$A$2:$A$931=$A49)*AtractivoAlternativas!$C$2:$C$931*COUNTIFS(Alternativas!$A$2:$A$51,AtractivoAlternativas!$B$2:$B$931,Alternativas!$B$2:$B$51,K$2))</f>
        <v>0</v>
      </c>
      <c r="L49" s="0" t="n">
        <f aca="false">SUMPRODUCT((AtractivoAlternativas!$A$2:$A$931=$A49)*AtractivoAlternativas!$C$2:$C$931*COUNTIFS(Alternativas!$A$2:$A$51,AtractivoAlternativas!$B$2:$B$931,Alternativas!$B$2:$B$51,L$2))</f>
        <v>0</v>
      </c>
      <c r="M49" s="0" t="n">
        <f aca="false">SUMIFS(AtractivoSitios!$C:$C,AtractivoSitios!$A:$A,$A49,AtractivoSitios!$B:$B,M$2)</f>
        <v>0.542639508217093</v>
      </c>
      <c r="N49" s="0" t="n">
        <f aca="false">SUMIFS(AtractivoSitios!$C:$C,AtractivoSitios!$A:$A,$A49,AtractivoSitios!$B:$B,N$2)</f>
        <v>0</v>
      </c>
      <c r="O49" s="0" t="n">
        <f aca="false">SUMIFS(AtractivoSitios!$C:$C,AtractivoSitios!$A:$A,$A49,AtractivoSitios!$B:$B,O$2)</f>
        <v>0</v>
      </c>
      <c r="P49" s="0" t="n">
        <f aca="false">SUMIFS(AtractivoSitios!$C:$C,AtractivoSitios!$A:$A,$A49,AtractivoSitios!$B:$B,P$2)</f>
        <v>0</v>
      </c>
      <c r="Q49" s="0" t="n">
        <f aca="false">SUMIFS(AtractivoSitios!$C:$C,AtractivoSitios!$A:$A,$A49,AtractivoSitios!$B:$B,Q$2)</f>
        <v>0</v>
      </c>
      <c r="R49" s="0" t="n">
        <f aca="false">SUMIFS(AtractivoSitios!$C:$C,AtractivoSitios!$A:$A,$A49,AtractivoSitios!$B:$B,R$2)</f>
        <v>0.886184190759102</v>
      </c>
      <c r="S49" s="0" t="n">
        <f aca="false">SUMIFS(AtractivoSitios!$C:$C,AtractivoSitios!$A:$A,$A49,AtractivoSitios!$B:$B,S$2)</f>
        <v>0.414535613541245</v>
      </c>
      <c r="T49" s="0" t="n">
        <f aca="false">SUM(M49:S49)</f>
        <v>1.84335931251744</v>
      </c>
      <c r="U49" s="0" t="n">
        <f aca="false">C49/(AD$4+H49+$T49)</f>
        <v>0.000190182888244383</v>
      </c>
      <c r="V49" s="0" t="n">
        <f aca="false">D49/(AE$4+I49+$T49)</f>
        <v>5.53141518424986E-005</v>
      </c>
      <c r="W49" s="0" t="n">
        <f aca="false">E49/(AF$4+J49+$T49)</f>
        <v>0.000311503185650571</v>
      </c>
      <c r="X49" s="0" t="n">
        <f aca="false">F49/(AG$4+K49+$T49)</f>
        <v>1.73117648604945E-005</v>
      </c>
      <c r="Y49" s="0" t="n">
        <f aca="false">G49/(AH$4+L49+$T49)</f>
        <v>1.07469940078192E-005</v>
      </c>
    </row>
    <row r="50" customFormat="false" ht="15" hidden="false" customHeight="false" outlineLevel="0" collapsed="false">
      <c r="A50" s="0" t="s">
        <v>95</v>
      </c>
      <c r="B50" s="0" t="n">
        <f aca="false">SUMIFS(Sectores!$C:$C,Sectores!$A:$A,$A50)</f>
        <v>4001</v>
      </c>
      <c r="C50" s="0" t="n">
        <f aca="false">SUMIFS(Generacion!$C:$C,Generacion!$A:$A,$A50,Generacion!$B:$B,C$2)</f>
        <v>0.0435338767065874</v>
      </c>
      <c r="D50" s="0" t="n">
        <f aca="false">SUMIFS(Generacion!$C:$C,Generacion!$A:$A,$A50,Generacion!$B:$B,D$2)</f>
        <v>0.0378709333951614</v>
      </c>
      <c r="E50" s="0" t="n">
        <f aca="false">SUMIFS(Generacion!$C:$C,Generacion!$A:$A,$A50,Generacion!$B:$B,E$2)</f>
        <v>0.0134494903646368</v>
      </c>
      <c r="F50" s="0" t="n">
        <f aca="false">SUMIFS(Generacion!$C:$C,Generacion!$A:$A,$A50,Generacion!$B:$B,F$2)</f>
        <v>0.00353933956964125</v>
      </c>
      <c r="G50" s="0" t="n">
        <f aca="false">SUMIFS(Generacion!$C:$C,Generacion!$A:$A,$A50,Generacion!$B:$B,G$2)</f>
        <v>0.00247753769874887</v>
      </c>
      <c r="H50" s="0" t="n">
        <f aca="false">SUMPRODUCT((AtractivoAlternativas!$A$2:$A$931=$A50)*AtractivoAlternativas!$C$2:$C$931*COUNTIFS(Alternativas!$A$2:$A$51,AtractivoAlternativas!$B$2:$B$931,Alternativas!$B$2:$B$51,H$2))</f>
        <v>0.880626060216664</v>
      </c>
      <c r="I50" s="0" t="n">
        <f aca="false">SUMPRODUCT((AtractivoAlternativas!$A$2:$A$931=$A50)*AtractivoAlternativas!$C$2:$C$931*COUNTIFS(Alternativas!$A$2:$A$51,AtractivoAlternativas!$B$2:$B$931,Alternativas!$B$2:$B$51,I$2))</f>
        <v>3.02439785791474</v>
      </c>
      <c r="J50" s="0" t="n">
        <f aca="false">SUMPRODUCT((AtractivoAlternativas!$A$2:$A$931=$A50)*AtractivoAlternativas!$C$2:$C$931*COUNTIFS(Alternativas!$A$2:$A$51,AtractivoAlternativas!$B$2:$B$931,Alternativas!$B$2:$B$51,J$2))</f>
        <v>0.383907699222985</v>
      </c>
      <c r="K50" s="0" t="n">
        <f aca="false">SUMPRODUCT((AtractivoAlternativas!$A$2:$A$931=$A50)*AtractivoAlternativas!$C$2:$C$931*COUNTIFS(Alternativas!$A$2:$A$51,AtractivoAlternativas!$B$2:$B$931,Alternativas!$B$2:$B$51,K$2))</f>
        <v>0</v>
      </c>
      <c r="L50" s="0" t="n">
        <f aca="false">SUMPRODUCT((AtractivoAlternativas!$A$2:$A$931=$A50)*AtractivoAlternativas!$C$2:$C$931*COUNTIFS(Alternativas!$A$2:$A$51,AtractivoAlternativas!$B$2:$B$931,Alternativas!$B$2:$B$51,L$2))</f>
        <v>0</v>
      </c>
      <c r="M50" s="0" t="n">
        <f aca="false">SUMIFS(AtractivoSitios!$C:$C,AtractivoSitios!$A:$A,$A50,AtractivoSitios!$B:$B,M$2)</f>
        <v>0</v>
      </c>
      <c r="N50" s="0" t="n">
        <f aca="false">SUMIFS(AtractivoSitios!$C:$C,AtractivoSitios!$A:$A,$A50,AtractivoSitios!$B:$B,N$2)</f>
        <v>0</v>
      </c>
      <c r="O50" s="0" t="n">
        <f aca="false">SUMIFS(AtractivoSitios!$C:$C,AtractivoSitios!$A:$A,$A50,AtractivoSitios!$B:$B,O$2)</f>
        <v>0</v>
      </c>
      <c r="P50" s="0" t="n">
        <f aca="false">SUMIFS(AtractivoSitios!$C:$C,AtractivoSitios!$A:$A,$A50,AtractivoSitios!$B:$B,P$2)</f>
        <v>0.686671736539277</v>
      </c>
      <c r="Q50" s="0" t="n">
        <f aca="false">SUMIFS(AtractivoSitios!$C:$C,AtractivoSitios!$A:$A,$A50,AtractivoSitios!$B:$B,Q$2)</f>
        <v>0</v>
      </c>
      <c r="R50" s="0" t="n">
        <f aca="false">SUMIFS(AtractivoSitios!$C:$C,AtractivoSitios!$A:$A,$A50,AtractivoSitios!$B:$B,R$2)</f>
        <v>0</v>
      </c>
      <c r="S50" s="0" t="n">
        <f aca="false">SUMIFS(AtractivoSitios!$C:$C,AtractivoSitios!$A:$A,$A50,AtractivoSitios!$B:$B,S$2)</f>
        <v>0</v>
      </c>
      <c r="T50" s="0" t="n">
        <f aca="false">SUM(M50:S50)</f>
        <v>0.686671736539277</v>
      </c>
      <c r="U50" s="0" t="n">
        <f aca="false">C50/(AD$4+H50+$T50)</f>
        <v>0.000191829961670713</v>
      </c>
      <c r="V50" s="0" t="n">
        <f aca="false">D50/(AE$4+I50+$T50)</f>
        <v>5.54071326190948E-005</v>
      </c>
      <c r="W50" s="0" t="n">
        <f aca="false">E50/(AF$4+J50+$T50)</f>
        <v>0.000320198318107101</v>
      </c>
      <c r="X50" s="0" t="n">
        <f aca="false">F50/(AG$4+K50+$T50)</f>
        <v>1.74102658484862E-005</v>
      </c>
      <c r="Y50" s="0" t="n">
        <f aca="false">G50/(AH$4+L50+$T50)</f>
        <v>1.08011883996949E-005</v>
      </c>
    </row>
    <row r="51" customFormat="false" ht="15" hidden="false" customHeight="false" outlineLevel="0" collapsed="false">
      <c r="A51" s="0" t="s">
        <v>96</v>
      </c>
      <c r="B51" s="0" t="n">
        <f aca="false">SUMIFS(Sectores!$C:$C,Sectores!$A:$A,$A51)</f>
        <v>5507</v>
      </c>
      <c r="C51" s="0" t="n">
        <f aca="false">SUMIFS(Generacion!$C:$C,Generacion!$A:$A,$A51,Generacion!$B:$B,C$2)</f>
        <v>0.0435338767065874</v>
      </c>
      <c r="D51" s="0" t="n">
        <f aca="false">SUMIFS(Generacion!$C:$C,Generacion!$A:$A,$A51,Generacion!$B:$B,D$2)</f>
        <v>0.0378709333951614</v>
      </c>
      <c r="E51" s="0" t="n">
        <f aca="false">SUMIFS(Generacion!$C:$C,Generacion!$A:$A,$A51,Generacion!$B:$B,E$2)</f>
        <v>0.0134494903646368</v>
      </c>
      <c r="F51" s="0" t="n">
        <f aca="false">SUMIFS(Generacion!$C:$C,Generacion!$A:$A,$A51,Generacion!$B:$B,F$2)</f>
        <v>0.00353933956964125</v>
      </c>
      <c r="G51" s="0" t="n">
        <f aca="false">SUMIFS(Generacion!$C:$C,Generacion!$A:$A,$A51,Generacion!$B:$B,G$2)</f>
        <v>0.00247753769874887</v>
      </c>
      <c r="H51" s="0" t="n">
        <f aca="false">SUMPRODUCT((AtractivoAlternativas!$A$2:$A$931=$A51)*AtractivoAlternativas!$C$2:$C$931*COUNTIFS(Alternativas!$A$2:$A$51,AtractivoAlternativas!$B$2:$B$931,Alternativas!$B$2:$B$51,H$2))</f>
        <v>1.57133441579621</v>
      </c>
      <c r="I51" s="0" t="n">
        <f aca="false">SUMPRODUCT((AtractivoAlternativas!$A$2:$A$931=$A51)*AtractivoAlternativas!$C$2:$C$931*COUNTIFS(Alternativas!$A$2:$A$51,AtractivoAlternativas!$B$2:$B$931,Alternativas!$B$2:$B$51,I$2))</f>
        <v>2.58342715973441</v>
      </c>
      <c r="J51" s="0" t="n">
        <f aca="false">SUMPRODUCT((AtractivoAlternativas!$A$2:$A$931=$A51)*AtractivoAlternativas!$C$2:$C$931*COUNTIFS(Alternativas!$A$2:$A$51,AtractivoAlternativas!$B$2:$B$931,Alternativas!$B$2:$B$51,J$2))</f>
        <v>0.410217908470177</v>
      </c>
      <c r="K51" s="0" t="n">
        <f aca="false">SUMPRODUCT((AtractivoAlternativas!$A$2:$A$931=$A51)*AtractivoAlternativas!$C$2:$C$931*COUNTIFS(Alternativas!$A$2:$A$51,AtractivoAlternativas!$B$2:$B$931,Alternativas!$B$2:$B$51,K$2))</f>
        <v>0</v>
      </c>
      <c r="L51" s="0" t="n">
        <f aca="false">SUMPRODUCT((AtractivoAlternativas!$A$2:$A$931=$A51)*AtractivoAlternativas!$C$2:$C$931*COUNTIFS(Alternativas!$A$2:$A$51,AtractivoAlternativas!$B$2:$B$931,Alternativas!$B$2:$B$51,L$2))</f>
        <v>0</v>
      </c>
      <c r="M51" s="0" t="n">
        <f aca="false">SUMIFS(AtractivoSitios!$C:$C,AtractivoSitios!$A:$A,$A51,AtractivoSitios!$B:$B,M$2)</f>
        <v>0.541687471362115</v>
      </c>
      <c r="N51" s="0" t="n">
        <f aca="false">SUMIFS(AtractivoSitios!$C:$C,AtractivoSitios!$A:$A,$A51,AtractivoSitios!$B:$B,N$2)</f>
        <v>0</v>
      </c>
      <c r="O51" s="0" t="n">
        <f aca="false">SUMIFS(AtractivoSitios!$C:$C,AtractivoSitios!$A:$A,$A51,AtractivoSitios!$B:$B,O$2)</f>
        <v>0</v>
      </c>
      <c r="P51" s="0" t="n">
        <f aca="false">SUMIFS(AtractivoSitios!$C:$C,AtractivoSitios!$A:$A,$A51,AtractivoSitios!$B:$B,P$2)</f>
        <v>0</v>
      </c>
      <c r="Q51" s="0" t="n">
        <f aca="false">SUMIFS(AtractivoSitios!$C:$C,AtractivoSitios!$A:$A,$A51,AtractivoSitios!$B:$B,Q$2)</f>
        <v>0</v>
      </c>
      <c r="R51" s="0" t="n">
        <f aca="false">SUMIFS(AtractivoSitios!$C:$C,AtractivoSitios!$A:$A,$A51,AtractivoSitios!$B:$B,R$2)</f>
        <v>0.710882793180616</v>
      </c>
      <c r="S51" s="0" t="n">
        <f aca="false">SUMIFS(AtractivoSitios!$C:$C,AtractivoSitios!$A:$A,$A51,AtractivoSitios!$B:$B,S$2)</f>
        <v>0</v>
      </c>
      <c r="T51" s="0" t="n">
        <f aca="false">SUM(M51:S51)</f>
        <v>1.25257026454273</v>
      </c>
      <c r="U51" s="0" t="n">
        <f aca="false">C51/(AD$4+H51+$T51)</f>
        <v>0.000190773614097995</v>
      </c>
      <c r="V51" s="0" t="n">
        <f aca="false">D51/(AE$4+I51+$T51)</f>
        <v>5.53970073828226E-005</v>
      </c>
      <c r="W51" s="0" t="n">
        <f aca="false">E51/(AF$4+J51+$T51)</f>
        <v>0.000315746609547056</v>
      </c>
      <c r="X51" s="0" t="n">
        <f aca="false">F51/(AG$4+K51+$T51)</f>
        <v>1.73619355058504E-005</v>
      </c>
      <c r="Y51" s="0" t="n">
        <f aca="false">G51/(AH$4+L51+$T51)</f>
        <v>1.07746061802209E-005</v>
      </c>
    </row>
    <row r="52" customFormat="false" ht="15" hidden="false" customHeight="false" outlineLevel="0" collapsed="false">
      <c r="A52" s="0" t="s">
        <v>97</v>
      </c>
      <c r="B52" s="0" t="n">
        <f aca="false">SUMIFS(Sectores!$C:$C,Sectores!$A:$A,$A52)</f>
        <v>3798</v>
      </c>
      <c r="C52" s="0" t="n">
        <f aca="false">SUMIFS(Generacion!$C:$C,Generacion!$A:$A,$A52,Generacion!$B:$B,C$2)</f>
        <v>0.0435338767065874</v>
      </c>
      <c r="D52" s="0" t="n">
        <f aca="false">SUMIFS(Generacion!$C:$C,Generacion!$A:$A,$A52,Generacion!$B:$B,D$2)</f>
        <v>0.0378709333951614</v>
      </c>
      <c r="E52" s="0" t="n">
        <f aca="false">SUMIFS(Generacion!$C:$C,Generacion!$A:$A,$A52,Generacion!$B:$B,E$2)</f>
        <v>0.0134494903646368</v>
      </c>
      <c r="F52" s="0" t="n">
        <f aca="false">SUMIFS(Generacion!$C:$C,Generacion!$A:$A,$A52,Generacion!$B:$B,F$2)</f>
        <v>0.00353933956964125</v>
      </c>
      <c r="G52" s="0" t="n">
        <f aca="false">SUMIFS(Generacion!$C:$C,Generacion!$A:$A,$A52,Generacion!$B:$B,G$2)</f>
        <v>0.00247753769874887</v>
      </c>
      <c r="H52" s="0" t="n">
        <f aca="false">SUMPRODUCT((AtractivoAlternativas!$A$2:$A$931=$A52)*AtractivoAlternativas!$C$2:$C$931*COUNTIFS(Alternativas!$A$2:$A$51,AtractivoAlternativas!$B$2:$B$931,Alternativas!$B$2:$B$51,H$2))</f>
        <v>1.34840239137612</v>
      </c>
      <c r="I52" s="0" t="n">
        <f aca="false">SUMPRODUCT((AtractivoAlternativas!$A$2:$A$931=$A52)*AtractivoAlternativas!$C$2:$C$931*COUNTIFS(Alternativas!$A$2:$A$51,AtractivoAlternativas!$B$2:$B$931,Alternativas!$B$2:$B$51,I$2))</f>
        <v>2.14618999463647</v>
      </c>
      <c r="J52" s="0" t="n">
        <f aca="false">SUMPRODUCT((AtractivoAlternativas!$A$2:$A$931=$A52)*AtractivoAlternativas!$C$2:$C$931*COUNTIFS(Alternativas!$A$2:$A$51,AtractivoAlternativas!$B$2:$B$931,Alternativas!$B$2:$B$51,J$2))</f>
        <v>0.391497313417309</v>
      </c>
      <c r="K52" s="0" t="n">
        <f aca="false">SUMPRODUCT((AtractivoAlternativas!$A$2:$A$931=$A52)*AtractivoAlternativas!$C$2:$C$931*COUNTIFS(Alternativas!$A$2:$A$51,AtractivoAlternativas!$B$2:$B$931,Alternativas!$B$2:$B$51,K$2))</f>
        <v>0</v>
      </c>
      <c r="L52" s="0" t="n">
        <f aca="false">SUMPRODUCT((AtractivoAlternativas!$A$2:$A$931=$A52)*AtractivoAlternativas!$C$2:$C$931*COUNTIFS(Alternativas!$A$2:$A$51,AtractivoAlternativas!$B$2:$B$931,Alternativas!$B$2:$B$51,L$2))</f>
        <v>0</v>
      </c>
      <c r="M52" s="0" t="n">
        <f aca="false">SUMIFS(AtractivoSitios!$C:$C,AtractivoSitios!$A:$A,$A52,AtractivoSitios!$B:$B,M$2)</f>
        <v>0.456636042434358</v>
      </c>
      <c r="N52" s="0" t="n">
        <f aca="false">SUMIFS(AtractivoSitios!$C:$C,AtractivoSitios!$A:$A,$A52,AtractivoSitios!$B:$B,N$2)</f>
        <v>0</v>
      </c>
      <c r="O52" s="0" t="n">
        <f aca="false">SUMIFS(AtractivoSitios!$C:$C,AtractivoSitios!$A:$A,$A52,AtractivoSitios!$B:$B,O$2)</f>
        <v>0</v>
      </c>
      <c r="P52" s="0" t="n">
        <f aca="false">SUMIFS(AtractivoSitios!$C:$C,AtractivoSitios!$A:$A,$A52,AtractivoSitios!$B:$B,P$2)</f>
        <v>0</v>
      </c>
      <c r="Q52" s="0" t="n">
        <f aca="false">SUMIFS(AtractivoSitios!$C:$C,AtractivoSitios!$A:$A,$A52,AtractivoSitios!$B:$B,Q$2)</f>
        <v>0</v>
      </c>
      <c r="R52" s="0" t="n">
        <f aca="false">SUMIFS(AtractivoSitios!$C:$C,AtractivoSitios!$A:$A,$A52,AtractivoSitios!$B:$B,R$2)</f>
        <v>0.863173651517865</v>
      </c>
      <c r="S52" s="0" t="n">
        <f aca="false">SUMIFS(AtractivoSitios!$C:$C,AtractivoSitios!$A:$A,$A52,AtractivoSitios!$B:$B,S$2)</f>
        <v>0.451531538760144</v>
      </c>
      <c r="T52" s="0" t="n">
        <f aca="false">SUM(M52:S52)</f>
        <v>1.77134123271237</v>
      </c>
      <c r="U52" s="0" t="n">
        <f aca="false">C52/(AD$4+H52+$T52)</f>
        <v>0.000190526611255796</v>
      </c>
      <c r="V52" s="0" t="n">
        <f aca="false">D52/(AE$4+I52+$T52)</f>
        <v>5.53904011708355E-005</v>
      </c>
      <c r="W52" s="0" t="n">
        <f aca="false">E52/(AF$4+J52+$T52)</f>
        <v>0.000312082937019852</v>
      </c>
      <c r="X52" s="0" t="n">
        <f aca="false">F52/(AG$4+K52+$T52)</f>
        <v>1.73178652140508E-005</v>
      </c>
      <c r="Y52" s="0" t="n">
        <f aca="false">G52/(AH$4+L52+$T52)</f>
        <v>1.07503523966246E-005</v>
      </c>
    </row>
    <row r="53" customFormat="false" ht="15" hidden="false" customHeight="false" outlineLevel="0" collapsed="false">
      <c r="A53" s="0" t="s">
        <v>98</v>
      </c>
      <c r="B53" s="0" t="n">
        <f aca="false">SUMIFS(Sectores!$C:$C,Sectores!$A:$A,$A53)</f>
        <v>3897</v>
      </c>
      <c r="C53" s="0" t="n">
        <f aca="false">SUMIFS(Generacion!$C:$C,Generacion!$A:$A,$A53,Generacion!$B:$B,C$2)</f>
        <v>0.0435338767065874</v>
      </c>
      <c r="D53" s="0" t="n">
        <f aca="false">SUMIFS(Generacion!$C:$C,Generacion!$A:$A,$A53,Generacion!$B:$B,D$2)</f>
        <v>0.0378709333951614</v>
      </c>
      <c r="E53" s="0" t="n">
        <f aca="false">SUMIFS(Generacion!$C:$C,Generacion!$A:$A,$A53,Generacion!$B:$B,E$2)</f>
        <v>0.0134494903646368</v>
      </c>
      <c r="F53" s="0" t="n">
        <f aca="false">SUMIFS(Generacion!$C:$C,Generacion!$A:$A,$A53,Generacion!$B:$B,F$2)</f>
        <v>0.00353933956964125</v>
      </c>
      <c r="G53" s="0" t="n">
        <f aca="false">SUMIFS(Generacion!$C:$C,Generacion!$A:$A,$A53,Generacion!$B:$B,G$2)</f>
        <v>0.00247753769874887</v>
      </c>
      <c r="H53" s="0" t="n">
        <f aca="false">SUMPRODUCT((AtractivoAlternativas!$A$2:$A$931=$A53)*AtractivoAlternativas!$C$2:$C$931*COUNTIFS(Alternativas!$A$2:$A$51,AtractivoAlternativas!$B$2:$B$931,Alternativas!$B$2:$B$51,H$2))</f>
        <v>0.547126385398027</v>
      </c>
      <c r="I53" s="0" t="n">
        <f aca="false">SUMPRODUCT((AtractivoAlternativas!$A$2:$A$931=$A53)*AtractivoAlternativas!$C$2:$C$931*COUNTIFS(Alternativas!$A$2:$A$51,AtractivoAlternativas!$B$2:$B$931,Alternativas!$B$2:$B$51,I$2))</f>
        <v>2.40557238047423</v>
      </c>
      <c r="J53" s="0" t="n">
        <f aca="false">SUMPRODUCT((AtractivoAlternativas!$A$2:$A$931=$A53)*AtractivoAlternativas!$C$2:$C$931*COUNTIFS(Alternativas!$A$2:$A$51,AtractivoAlternativas!$B$2:$B$931,Alternativas!$B$2:$B$51,J$2))</f>
        <v>0.547126385398027</v>
      </c>
      <c r="K53" s="0" t="n">
        <f aca="false">SUMPRODUCT((AtractivoAlternativas!$A$2:$A$931=$A53)*AtractivoAlternativas!$C$2:$C$931*COUNTIFS(Alternativas!$A$2:$A$51,AtractivoAlternativas!$B$2:$B$931,Alternativas!$B$2:$B$51,K$2))</f>
        <v>0</v>
      </c>
      <c r="L53" s="0" t="n">
        <f aca="false">SUMPRODUCT((AtractivoAlternativas!$A$2:$A$931=$A53)*AtractivoAlternativas!$C$2:$C$931*COUNTIFS(Alternativas!$A$2:$A$51,AtractivoAlternativas!$B$2:$B$931,Alternativas!$B$2:$B$51,L$2))</f>
        <v>0</v>
      </c>
      <c r="M53" s="0" t="n">
        <f aca="false">SUMIFS(AtractivoSitios!$C:$C,AtractivoSitios!$A:$A,$A53,AtractivoSitios!$B:$B,M$2)</f>
        <v>0</v>
      </c>
      <c r="N53" s="0" t="n">
        <f aca="false">SUMIFS(AtractivoSitios!$C:$C,AtractivoSitios!$A:$A,$A53,AtractivoSitios!$B:$B,N$2)</f>
        <v>0</v>
      </c>
      <c r="O53" s="0" t="n">
        <f aca="false">SUMIFS(AtractivoSitios!$C:$C,AtractivoSitios!$A:$A,$A53,AtractivoSitios!$B:$B,O$2)</f>
        <v>0.518246073479164</v>
      </c>
      <c r="P53" s="0" t="n">
        <f aca="false">SUMIFS(AtractivoSitios!$C:$C,AtractivoSitios!$A:$A,$A53,AtractivoSitios!$B:$B,P$2)</f>
        <v>0</v>
      </c>
      <c r="Q53" s="0" t="n">
        <f aca="false">SUMIFS(AtractivoSitios!$C:$C,AtractivoSitios!$A:$A,$A53,AtractivoSitios!$B:$B,Q$2)</f>
        <v>0</v>
      </c>
      <c r="R53" s="0" t="n">
        <f aca="false">SUMIFS(AtractivoSitios!$C:$C,AtractivoSitios!$A:$A,$A53,AtractivoSitios!$B:$B,R$2)</f>
        <v>0</v>
      </c>
      <c r="S53" s="0" t="n">
        <f aca="false">SUMIFS(AtractivoSitios!$C:$C,AtractivoSitios!$A:$A,$A53,AtractivoSitios!$B:$B,S$2)</f>
        <v>0</v>
      </c>
      <c r="T53" s="0" t="n">
        <f aca="false">SUM(M53:S53)</f>
        <v>0.518246073479164</v>
      </c>
      <c r="U53" s="0" t="n">
        <f aca="false">C53/(AD$4+H53+$T53)</f>
        <v>0.000192255174397262</v>
      </c>
      <c r="V53" s="0" t="n">
        <f aca="false">D53/(AE$4+I53+$T53)</f>
        <v>5.54710235394537E-005</v>
      </c>
      <c r="W53" s="0" t="n">
        <f aca="false">E53/(AF$4+J53+$T53)</f>
        <v>0.000320238016392992</v>
      </c>
      <c r="X53" s="0" t="n">
        <f aca="false">F53/(AG$4+K53+$T53)</f>
        <v>1.742470217848E-005</v>
      </c>
      <c r="Y53" s="0" t="n">
        <f aca="false">G53/(AH$4+L53+$T53)</f>
        <v>1.08091252846668E-005</v>
      </c>
    </row>
    <row r="54" customFormat="false" ht="15" hidden="false" customHeight="false" outlineLevel="0" collapsed="false">
      <c r="A54" s="0" t="s">
        <v>100</v>
      </c>
      <c r="B54" s="0" t="n">
        <f aca="false">SUMIFS(Sectores!$C:$C,Sectores!$A:$A,$A54)</f>
        <v>3645</v>
      </c>
      <c r="C54" s="0" t="n">
        <f aca="false">SUMIFS(Generacion!$C:$C,Generacion!$A:$A,$A54,Generacion!$B:$B,C$2)</f>
        <v>0.0435338767065874</v>
      </c>
      <c r="D54" s="0" t="n">
        <f aca="false">SUMIFS(Generacion!$C:$C,Generacion!$A:$A,$A54,Generacion!$B:$B,D$2)</f>
        <v>0.0378709333951614</v>
      </c>
      <c r="E54" s="0" t="n">
        <f aca="false">SUMIFS(Generacion!$C:$C,Generacion!$A:$A,$A54,Generacion!$B:$B,E$2)</f>
        <v>0.0134494903646368</v>
      </c>
      <c r="F54" s="0" t="n">
        <f aca="false">SUMIFS(Generacion!$C:$C,Generacion!$A:$A,$A54,Generacion!$B:$B,F$2)</f>
        <v>0.00353933956964125</v>
      </c>
      <c r="G54" s="0" t="n">
        <f aca="false">SUMIFS(Generacion!$C:$C,Generacion!$A:$A,$A54,Generacion!$B:$B,G$2)</f>
        <v>0.00247753769874887</v>
      </c>
      <c r="H54" s="0" t="n">
        <f aca="false">SUMPRODUCT((AtractivoAlternativas!$A$2:$A$931=$A54)*AtractivoAlternativas!$C$2:$C$931*COUNTIFS(Alternativas!$A$2:$A$51,AtractivoAlternativas!$B$2:$B$931,Alternativas!$B$2:$B$51,H$2))</f>
        <v>1.05373653970043</v>
      </c>
      <c r="I54" s="0" t="n">
        <f aca="false">SUMPRODUCT((AtractivoAlternativas!$A$2:$A$931=$A54)*AtractivoAlternativas!$C$2:$C$931*COUNTIFS(Alternativas!$A$2:$A$51,AtractivoAlternativas!$B$2:$B$931,Alternativas!$B$2:$B$51,I$2))</f>
        <v>3.60684888682135</v>
      </c>
      <c r="J54" s="0" t="n">
        <f aca="false">SUMPRODUCT((AtractivoAlternativas!$A$2:$A$931=$A54)*AtractivoAlternativas!$C$2:$C$931*COUNTIFS(Alternativas!$A$2:$A$51,AtractivoAlternativas!$B$2:$B$931,Alternativas!$B$2:$B$51,J$2))</f>
        <v>0.618139858526976</v>
      </c>
      <c r="K54" s="0" t="n">
        <f aca="false">SUMPRODUCT((AtractivoAlternativas!$A$2:$A$931=$A54)*AtractivoAlternativas!$C$2:$C$931*COUNTIFS(Alternativas!$A$2:$A$51,AtractivoAlternativas!$B$2:$B$931,Alternativas!$B$2:$B$51,K$2))</f>
        <v>0</v>
      </c>
      <c r="L54" s="0" t="n">
        <f aca="false">SUMPRODUCT((AtractivoAlternativas!$A$2:$A$931=$A54)*AtractivoAlternativas!$C$2:$C$931*COUNTIFS(Alternativas!$A$2:$A$51,AtractivoAlternativas!$B$2:$B$931,Alternativas!$B$2:$B$51,L$2))</f>
        <v>0</v>
      </c>
      <c r="M54" s="0" t="n">
        <f aca="false">SUMIFS(AtractivoSitios!$C:$C,AtractivoSitios!$A:$A,$A54,AtractivoSitios!$B:$B,M$2)</f>
        <v>0</v>
      </c>
      <c r="N54" s="0" t="n">
        <f aca="false">SUMIFS(AtractivoSitios!$C:$C,AtractivoSitios!$A:$A,$A54,AtractivoSitios!$B:$B,N$2)</f>
        <v>0</v>
      </c>
      <c r="O54" s="0" t="n">
        <f aca="false">SUMIFS(AtractivoSitios!$C:$C,AtractivoSitios!$A:$A,$A54,AtractivoSitios!$B:$B,O$2)</f>
        <v>0.527436656101452</v>
      </c>
      <c r="P54" s="0" t="n">
        <f aca="false">SUMIFS(AtractivoSitios!$C:$C,AtractivoSitios!$A:$A,$A54,AtractivoSitios!$B:$B,P$2)</f>
        <v>0</v>
      </c>
      <c r="Q54" s="0" t="n">
        <f aca="false">SUMIFS(AtractivoSitios!$C:$C,AtractivoSitios!$A:$A,$A54,AtractivoSitios!$B:$B,Q$2)</f>
        <v>0</v>
      </c>
      <c r="R54" s="0" t="n">
        <f aca="false">SUMIFS(AtractivoSitios!$C:$C,AtractivoSitios!$A:$A,$A54,AtractivoSitios!$B:$B,R$2)</f>
        <v>0</v>
      </c>
      <c r="S54" s="0" t="n">
        <f aca="false">SUMIFS(AtractivoSitios!$C:$C,AtractivoSitios!$A:$A,$A54,AtractivoSitios!$B:$B,S$2)</f>
        <v>0</v>
      </c>
      <c r="T54" s="0" t="n">
        <f aca="false">SUM(M54:S54)</f>
        <v>0.527436656101452</v>
      </c>
      <c r="U54" s="0" t="n">
        <f aca="false">C54/(AD$4+H54+$T54)</f>
        <v>0.000191818233656962</v>
      </c>
      <c r="V54" s="0" t="n">
        <f aca="false">D54/(AE$4+I54+$T54)</f>
        <v>5.53728464832964E-005</v>
      </c>
      <c r="W54" s="0" t="n">
        <f aca="false">E54/(AF$4+J54+$T54)</f>
        <v>0.000319627625987894</v>
      </c>
      <c r="X54" s="0" t="n">
        <f aca="false">F54/(AG$4+K54+$T54)</f>
        <v>1.74239138052117E-005</v>
      </c>
      <c r="Y54" s="0" t="n">
        <f aca="false">G54/(AH$4+L54+$T54)</f>
        <v>1.0808691887109E-005</v>
      </c>
    </row>
    <row r="55" customFormat="false" ht="15" hidden="false" customHeight="false" outlineLevel="0" collapsed="false">
      <c r="A55" s="0" t="s">
        <v>101</v>
      </c>
      <c r="B55" s="0" t="n">
        <f aca="false">SUMIFS(Sectores!$C:$C,Sectores!$A:$A,$A55)</f>
        <v>4028</v>
      </c>
      <c r="C55" s="0" t="n">
        <f aca="false">SUMIFS(Generacion!$C:$C,Generacion!$A:$A,$A55,Generacion!$B:$B,C$2)</f>
        <v>0.0435338767065874</v>
      </c>
      <c r="D55" s="0" t="n">
        <f aca="false">SUMIFS(Generacion!$C:$C,Generacion!$A:$A,$A55,Generacion!$B:$B,D$2)</f>
        <v>0.0378709333951614</v>
      </c>
      <c r="E55" s="0" t="n">
        <f aca="false">SUMIFS(Generacion!$C:$C,Generacion!$A:$A,$A55,Generacion!$B:$B,E$2)</f>
        <v>0.0134494903646368</v>
      </c>
      <c r="F55" s="0" t="n">
        <f aca="false">SUMIFS(Generacion!$C:$C,Generacion!$A:$A,$A55,Generacion!$B:$B,F$2)</f>
        <v>0.00353933956964125</v>
      </c>
      <c r="G55" s="0" t="n">
        <f aca="false">SUMIFS(Generacion!$C:$C,Generacion!$A:$A,$A55,Generacion!$B:$B,G$2)</f>
        <v>0.00247753769874887</v>
      </c>
      <c r="H55" s="0" t="n">
        <f aca="false">SUMPRODUCT((AtractivoAlternativas!$A$2:$A$931=$A55)*AtractivoAlternativas!$C$2:$C$931*COUNTIFS(Alternativas!$A$2:$A$51,AtractivoAlternativas!$B$2:$B$931,Alternativas!$B$2:$B$51,H$2))</f>
        <v>1.12212804901141</v>
      </c>
      <c r="I55" s="0" t="n">
        <f aca="false">SUMPRODUCT((AtractivoAlternativas!$A$2:$A$931=$A55)*AtractivoAlternativas!$C$2:$C$931*COUNTIFS(Alternativas!$A$2:$A$51,AtractivoAlternativas!$B$2:$B$931,Alternativas!$B$2:$B$51,I$2))</f>
        <v>3.92149170582195</v>
      </c>
      <c r="J55" s="0" t="n">
        <f aca="false">SUMPRODUCT((AtractivoAlternativas!$A$2:$A$931=$A55)*AtractivoAlternativas!$C$2:$C$931*COUNTIFS(Alternativas!$A$2:$A$51,AtractivoAlternativas!$B$2:$B$931,Alternativas!$B$2:$B$51,J$2))</f>
        <v>0.730630735594103</v>
      </c>
      <c r="K55" s="0" t="n">
        <f aca="false">SUMPRODUCT((AtractivoAlternativas!$A$2:$A$931=$A55)*AtractivoAlternativas!$C$2:$C$931*COUNTIFS(Alternativas!$A$2:$A$51,AtractivoAlternativas!$B$2:$B$931,Alternativas!$B$2:$B$51,K$2))</f>
        <v>0</v>
      </c>
      <c r="L55" s="0" t="n">
        <f aca="false">SUMPRODUCT((AtractivoAlternativas!$A$2:$A$931=$A55)*AtractivoAlternativas!$C$2:$C$931*COUNTIFS(Alternativas!$A$2:$A$51,AtractivoAlternativas!$B$2:$B$931,Alternativas!$B$2:$B$51,L$2))</f>
        <v>0</v>
      </c>
      <c r="M55" s="0" t="n">
        <f aca="false">SUMIFS(AtractivoSitios!$C:$C,AtractivoSitios!$A:$A,$A55,AtractivoSitios!$B:$B,M$2)</f>
        <v>0.398118776031209</v>
      </c>
      <c r="N55" s="0" t="n">
        <f aca="false">SUMIFS(AtractivoSitios!$C:$C,AtractivoSitios!$A:$A,$A55,AtractivoSitios!$B:$B,N$2)</f>
        <v>0</v>
      </c>
      <c r="O55" s="0" t="n">
        <f aca="false">SUMIFS(AtractivoSitios!$C:$C,AtractivoSitios!$A:$A,$A55,AtractivoSitios!$B:$B,O$2)</f>
        <v>0.446194367833772</v>
      </c>
      <c r="P55" s="0" t="n">
        <f aca="false">SUMIFS(AtractivoSitios!$C:$C,AtractivoSitios!$A:$A,$A55,AtractivoSitios!$B:$B,P$2)</f>
        <v>0</v>
      </c>
      <c r="Q55" s="0" t="n">
        <f aca="false">SUMIFS(AtractivoSitios!$C:$C,AtractivoSitios!$A:$A,$A55,AtractivoSitios!$B:$B,Q$2)</f>
        <v>0</v>
      </c>
      <c r="R55" s="0" t="n">
        <f aca="false">SUMIFS(AtractivoSitios!$C:$C,AtractivoSitios!$A:$A,$A55,AtractivoSitios!$B:$B,R$2)</f>
        <v>0</v>
      </c>
      <c r="S55" s="0" t="n">
        <f aca="false">SUMIFS(AtractivoSitios!$C:$C,AtractivoSitios!$A:$A,$A55,AtractivoSitios!$B:$B,S$2)</f>
        <v>0</v>
      </c>
      <c r="T55" s="0" t="n">
        <f aca="false">SUM(M55:S55)</f>
        <v>0.84431314386498</v>
      </c>
      <c r="U55" s="0" t="n">
        <f aca="false">C55/(AD$4+H55+$T55)</f>
        <v>0.000191493162265161</v>
      </c>
      <c r="V55" s="0" t="n">
        <f aca="false">D55/(AE$4+I55+$T55)</f>
        <v>5.53217638248544E-005</v>
      </c>
      <c r="W55" s="0" t="n">
        <f aca="false">E55/(AF$4+J55+$T55)</f>
        <v>0.000316399111291773</v>
      </c>
      <c r="X55" s="0" t="n">
        <f aca="false">F55/(AG$4+K55+$T55)</f>
        <v>1.73967755290228E-005</v>
      </c>
      <c r="Y55" s="0" t="n">
        <f aca="false">G55/(AH$4+L55+$T55)</f>
        <v>1.07937702645112E-005</v>
      </c>
    </row>
    <row r="56" customFormat="false" ht="15" hidden="false" customHeight="false" outlineLevel="0" collapsed="false">
      <c r="A56" s="0" t="s">
        <v>102</v>
      </c>
      <c r="B56" s="0" t="n">
        <f aca="false">SUMIFS(Sectores!$C:$C,Sectores!$A:$A,$A56)</f>
        <v>4247</v>
      </c>
      <c r="C56" s="0" t="n">
        <f aca="false">SUMIFS(Generacion!$C:$C,Generacion!$A:$A,$A56,Generacion!$B:$B,C$2)</f>
        <v>0.0435338767065874</v>
      </c>
      <c r="D56" s="0" t="n">
        <f aca="false">SUMIFS(Generacion!$C:$C,Generacion!$A:$A,$A56,Generacion!$B:$B,D$2)</f>
        <v>0.0378709333951614</v>
      </c>
      <c r="E56" s="0" t="n">
        <f aca="false">SUMIFS(Generacion!$C:$C,Generacion!$A:$A,$A56,Generacion!$B:$B,E$2)</f>
        <v>0.0134494903646368</v>
      </c>
      <c r="F56" s="0" t="n">
        <f aca="false">SUMIFS(Generacion!$C:$C,Generacion!$A:$A,$A56,Generacion!$B:$B,F$2)</f>
        <v>0.00353933956964125</v>
      </c>
      <c r="G56" s="0" t="n">
        <f aca="false">SUMIFS(Generacion!$C:$C,Generacion!$A:$A,$A56,Generacion!$B:$B,G$2)</f>
        <v>0.00247753769874887</v>
      </c>
      <c r="H56" s="0" t="n">
        <f aca="false">SUMPRODUCT((AtractivoAlternativas!$A$2:$A$931=$A56)*AtractivoAlternativas!$C$2:$C$931*COUNTIFS(Alternativas!$A$2:$A$51,AtractivoAlternativas!$B$2:$B$931,Alternativas!$B$2:$B$51,H$2))</f>
        <v>0.608664745110906</v>
      </c>
      <c r="I56" s="0" t="n">
        <f aca="false">SUMPRODUCT((AtractivoAlternativas!$A$2:$A$931=$A56)*AtractivoAlternativas!$C$2:$C$931*COUNTIFS(Alternativas!$A$2:$A$51,AtractivoAlternativas!$B$2:$B$931,Alternativas!$B$2:$B$51,I$2))</f>
        <v>2.58773005330359</v>
      </c>
      <c r="J56" s="0" t="n">
        <f aca="false">SUMPRODUCT((AtractivoAlternativas!$A$2:$A$931=$A56)*AtractivoAlternativas!$C$2:$C$931*COUNTIFS(Alternativas!$A$2:$A$51,AtractivoAlternativas!$B$2:$B$931,Alternativas!$B$2:$B$51,J$2))</f>
        <v>0.608664745110906</v>
      </c>
      <c r="K56" s="0" t="n">
        <f aca="false">SUMPRODUCT((AtractivoAlternativas!$A$2:$A$931=$A56)*AtractivoAlternativas!$C$2:$C$931*COUNTIFS(Alternativas!$A$2:$A$51,AtractivoAlternativas!$B$2:$B$931,Alternativas!$B$2:$B$51,K$2))</f>
        <v>0</v>
      </c>
      <c r="L56" s="0" t="n">
        <f aca="false">SUMPRODUCT((AtractivoAlternativas!$A$2:$A$931=$A56)*AtractivoAlternativas!$C$2:$C$931*COUNTIFS(Alternativas!$A$2:$A$51,AtractivoAlternativas!$B$2:$B$931,Alternativas!$B$2:$B$51,L$2))</f>
        <v>0</v>
      </c>
      <c r="M56" s="0" t="n">
        <f aca="false">SUMIFS(AtractivoSitios!$C:$C,AtractivoSitios!$A:$A,$A56,AtractivoSitios!$B:$B,M$2)</f>
        <v>0</v>
      </c>
      <c r="N56" s="0" t="n">
        <f aca="false">SUMIFS(AtractivoSitios!$C:$C,AtractivoSitios!$A:$A,$A56,AtractivoSitios!$B:$B,N$2)</f>
        <v>0</v>
      </c>
      <c r="O56" s="0" t="n">
        <f aca="false">SUMIFS(AtractivoSitios!$C:$C,AtractivoSitios!$A:$A,$A56,AtractivoSitios!$B:$B,O$2)</f>
        <v>0.442306947062178</v>
      </c>
      <c r="P56" s="0" t="n">
        <f aca="false">SUMIFS(AtractivoSitios!$C:$C,AtractivoSitios!$A:$A,$A56,AtractivoSitios!$B:$B,P$2)</f>
        <v>0</v>
      </c>
      <c r="Q56" s="0" t="n">
        <f aca="false">SUMIFS(AtractivoSitios!$C:$C,AtractivoSitios!$A:$A,$A56,AtractivoSitios!$B:$B,Q$2)</f>
        <v>0</v>
      </c>
      <c r="R56" s="0" t="n">
        <f aca="false">SUMIFS(AtractivoSitios!$C:$C,AtractivoSitios!$A:$A,$A56,AtractivoSitios!$B:$B,R$2)</f>
        <v>0</v>
      </c>
      <c r="S56" s="0" t="n">
        <f aca="false">SUMIFS(AtractivoSitios!$C:$C,AtractivoSitios!$A:$A,$A56,AtractivoSitios!$B:$B,S$2)</f>
        <v>0</v>
      </c>
      <c r="T56" s="0" t="n">
        <f aca="false">SUM(M56:S56)</f>
        <v>0.442306947062178</v>
      </c>
      <c r="U56" s="0" t="n">
        <f aca="false">C56/(AD$4+H56+$T56)</f>
        <v>0.000192267402018207</v>
      </c>
      <c r="V56" s="0" t="n">
        <f aca="false">D56/(AE$4+I56+$T56)</f>
        <v>5.54623945658544E-005</v>
      </c>
      <c r="W56" s="0" t="n">
        <f aca="false">E56/(AF$4+J56+$T56)</f>
        <v>0.000320347859927923</v>
      </c>
      <c r="X56" s="0" t="n">
        <f aca="false">F56/(AG$4+K56+$T56)</f>
        <v>1.74312190099313E-005</v>
      </c>
      <c r="Y56" s="0" t="n">
        <f aca="false">G56/(AH$4+L56+$T56)</f>
        <v>1.08127076538222E-005</v>
      </c>
    </row>
    <row r="57" customFormat="false" ht="15" hidden="false" customHeight="false" outlineLevel="0" collapsed="false">
      <c r="A57" s="0" t="s">
        <v>103</v>
      </c>
      <c r="B57" s="0" t="n">
        <f aca="false">SUMIFS(Sectores!$C:$C,Sectores!$A:$A,$A57)</f>
        <v>4493</v>
      </c>
      <c r="C57" s="0" t="n">
        <f aca="false">SUMIFS(Generacion!$C:$C,Generacion!$A:$A,$A57,Generacion!$B:$B,C$2)</f>
        <v>0.0435338767065874</v>
      </c>
      <c r="D57" s="0" t="n">
        <f aca="false">SUMIFS(Generacion!$C:$C,Generacion!$A:$A,$A57,Generacion!$B:$B,D$2)</f>
        <v>0.0378709333951614</v>
      </c>
      <c r="E57" s="0" t="n">
        <f aca="false">SUMIFS(Generacion!$C:$C,Generacion!$A:$A,$A57,Generacion!$B:$B,E$2)</f>
        <v>0.0134494903646368</v>
      </c>
      <c r="F57" s="0" t="n">
        <f aca="false">SUMIFS(Generacion!$C:$C,Generacion!$A:$A,$A57,Generacion!$B:$B,F$2)</f>
        <v>0.00353933956964125</v>
      </c>
      <c r="G57" s="0" t="n">
        <f aca="false">SUMIFS(Generacion!$C:$C,Generacion!$A:$A,$A57,Generacion!$B:$B,G$2)</f>
        <v>0.00247753769874887</v>
      </c>
      <c r="H57" s="0" t="n">
        <f aca="false">SUMPRODUCT((AtractivoAlternativas!$A$2:$A$931=$A57)*AtractivoAlternativas!$C$2:$C$931*COUNTIFS(Alternativas!$A$2:$A$51,AtractivoAlternativas!$B$2:$B$931,Alternativas!$B$2:$B$51,H$2))</f>
        <v>0.654675627239908</v>
      </c>
      <c r="I57" s="0" t="n">
        <f aca="false">SUMPRODUCT((AtractivoAlternativas!$A$2:$A$931=$A57)*AtractivoAlternativas!$C$2:$C$931*COUNTIFS(Alternativas!$A$2:$A$51,AtractivoAlternativas!$B$2:$B$931,Alternativas!$B$2:$B$51,I$2))</f>
        <v>2.84055199345577</v>
      </c>
      <c r="J57" s="0" t="n">
        <f aca="false">SUMPRODUCT((AtractivoAlternativas!$A$2:$A$931=$A57)*AtractivoAlternativas!$C$2:$C$931*COUNTIFS(Alternativas!$A$2:$A$51,AtractivoAlternativas!$B$2:$B$931,Alternativas!$B$2:$B$51,J$2))</f>
        <v>0.654675627239908</v>
      </c>
      <c r="K57" s="0" t="n">
        <f aca="false">SUMPRODUCT((AtractivoAlternativas!$A$2:$A$931=$A57)*AtractivoAlternativas!$C$2:$C$931*COUNTIFS(Alternativas!$A$2:$A$51,AtractivoAlternativas!$B$2:$B$931,Alternativas!$B$2:$B$51,K$2))</f>
        <v>0</v>
      </c>
      <c r="L57" s="0" t="n">
        <f aca="false">SUMPRODUCT((AtractivoAlternativas!$A$2:$A$931=$A57)*AtractivoAlternativas!$C$2:$C$931*COUNTIFS(Alternativas!$A$2:$A$51,AtractivoAlternativas!$B$2:$B$931,Alternativas!$B$2:$B$51,L$2))</f>
        <v>0</v>
      </c>
      <c r="M57" s="0" t="n">
        <f aca="false">SUMIFS(AtractivoSitios!$C:$C,AtractivoSitios!$A:$A,$A57,AtractivoSitios!$B:$B,M$2)</f>
        <v>0.464431138880865</v>
      </c>
      <c r="N57" s="0" t="n">
        <f aca="false">SUMIFS(AtractivoSitios!$C:$C,AtractivoSitios!$A:$A,$A57,AtractivoSitios!$B:$B,N$2)</f>
        <v>0</v>
      </c>
      <c r="O57" s="0" t="n">
        <f aca="false">SUMIFS(AtractivoSitios!$C:$C,AtractivoSitios!$A:$A,$A57,AtractivoSitios!$B:$B,O$2)</f>
        <v>0</v>
      </c>
      <c r="P57" s="0" t="n">
        <f aca="false">SUMIFS(AtractivoSitios!$C:$C,AtractivoSitios!$A:$A,$A57,AtractivoSitios!$B:$B,P$2)</f>
        <v>0</v>
      </c>
      <c r="Q57" s="0" t="n">
        <f aca="false">SUMIFS(AtractivoSitios!$C:$C,AtractivoSitios!$A:$A,$A57,AtractivoSitios!$B:$B,Q$2)</f>
        <v>0</v>
      </c>
      <c r="R57" s="0" t="n">
        <f aca="false">SUMIFS(AtractivoSitios!$C:$C,AtractivoSitios!$A:$A,$A57,AtractivoSitios!$B:$B,R$2)</f>
        <v>0</v>
      </c>
      <c r="S57" s="0" t="n">
        <f aca="false">SUMIFS(AtractivoSitios!$C:$C,AtractivoSitios!$A:$A,$A57,AtractivoSitios!$B:$B,S$2)</f>
        <v>0</v>
      </c>
      <c r="T57" s="0" t="n">
        <f aca="false">SUM(M57:S57)</f>
        <v>0.464431138880865</v>
      </c>
      <c r="U57" s="0" t="n">
        <f aca="false">C57/(AD$4+H57+$T57)</f>
        <v>0.000192209562583859</v>
      </c>
      <c r="V57" s="0" t="n">
        <f aca="false">D57/(AE$4+I57+$T57)</f>
        <v>5.54400709778463E-005</v>
      </c>
      <c r="W57" s="0" t="n">
        <f aca="false">E57/(AF$4+J57+$T57)</f>
        <v>0.000319828815754123</v>
      </c>
      <c r="X57" s="0" t="n">
        <f aca="false">F57/(AG$4+K57+$T57)</f>
        <v>1.74293198856614E-005</v>
      </c>
      <c r="Y57" s="0" t="n">
        <f aca="false">G57/(AH$4+L57+$T57)</f>
        <v>1.08116637171989E-005</v>
      </c>
    </row>
    <row r="58" customFormat="false" ht="15" hidden="false" customHeight="false" outlineLevel="0" collapsed="false">
      <c r="A58" s="0" t="s">
        <v>104</v>
      </c>
      <c r="B58" s="0" t="n">
        <f aca="false">SUMIFS(Sectores!$C:$C,Sectores!$A:$A,$A58)</f>
        <v>5041</v>
      </c>
      <c r="C58" s="0" t="n">
        <f aca="false">SUMIFS(Generacion!$C:$C,Generacion!$A:$A,$A58,Generacion!$B:$B,C$2)</f>
        <v>0.0435338767065874</v>
      </c>
      <c r="D58" s="0" t="n">
        <f aca="false">SUMIFS(Generacion!$C:$C,Generacion!$A:$A,$A58,Generacion!$B:$B,D$2)</f>
        <v>0.0378709333951614</v>
      </c>
      <c r="E58" s="0" t="n">
        <f aca="false">SUMIFS(Generacion!$C:$C,Generacion!$A:$A,$A58,Generacion!$B:$B,E$2)</f>
        <v>0.0134494903646368</v>
      </c>
      <c r="F58" s="0" t="n">
        <f aca="false">SUMIFS(Generacion!$C:$C,Generacion!$A:$A,$A58,Generacion!$B:$B,F$2)</f>
        <v>0.00353933956964125</v>
      </c>
      <c r="G58" s="0" t="n">
        <f aca="false">SUMIFS(Generacion!$C:$C,Generacion!$A:$A,$A58,Generacion!$B:$B,G$2)</f>
        <v>0.00247753769874887</v>
      </c>
      <c r="H58" s="0" t="n">
        <f aca="false">SUMPRODUCT((AtractivoAlternativas!$A$2:$A$931=$A58)*AtractivoAlternativas!$C$2:$C$931*COUNTIFS(Alternativas!$A$2:$A$51,AtractivoAlternativas!$B$2:$B$931,Alternativas!$B$2:$B$51,H$2))</f>
        <v>0.64096833405618</v>
      </c>
      <c r="I58" s="0" t="n">
        <f aca="false">SUMPRODUCT((AtractivoAlternativas!$A$2:$A$931=$A58)*AtractivoAlternativas!$C$2:$C$931*COUNTIFS(Alternativas!$A$2:$A$51,AtractivoAlternativas!$B$2:$B$931,Alternativas!$B$2:$B$51,I$2))</f>
        <v>2.57514234182905</v>
      </c>
      <c r="J58" s="0" t="n">
        <f aca="false">SUMPRODUCT((AtractivoAlternativas!$A$2:$A$931=$A58)*AtractivoAlternativas!$C$2:$C$931*COUNTIFS(Alternativas!$A$2:$A$51,AtractivoAlternativas!$B$2:$B$931,Alternativas!$B$2:$B$51,J$2))</f>
        <v>0.64096833405618</v>
      </c>
      <c r="K58" s="0" t="n">
        <f aca="false">SUMPRODUCT((AtractivoAlternativas!$A$2:$A$931=$A58)*AtractivoAlternativas!$C$2:$C$931*COUNTIFS(Alternativas!$A$2:$A$51,AtractivoAlternativas!$B$2:$B$931,Alternativas!$B$2:$B$51,K$2))</f>
        <v>0</v>
      </c>
      <c r="L58" s="0" t="n">
        <f aca="false">SUMPRODUCT((AtractivoAlternativas!$A$2:$A$931=$A58)*AtractivoAlternativas!$C$2:$C$931*COUNTIFS(Alternativas!$A$2:$A$51,AtractivoAlternativas!$B$2:$B$931,Alternativas!$B$2:$B$51,L$2))</f>
        <v>0</v>
      </c>
      <c r="M58" s="0" t="n">
        <f aca="false">SUMIFS(AtractivoSitios!$C:$C,AtractivoSitios!$A:$A,$A58,AtractivoSitios!$B:$B,M$2)</f>
        <v>0.379039077464387</v>
      </c>
      <c r="N58" s="0" t="n">
        <f aca="false">SUMIFS(AtractivoSitios!$C:$C,AtractivoSitios!$A:$A,$A58,AtractivoSitios!$B:$B,N$2)</f>
        <v>0</v>
      </c>
      <c r="O58" s="0" t="n">
        <f aca="false">SUMIFS(AtractivoSitios!$C:$C,AtractivoSitios!$A:$A,$A58,AtractivoSitios!$B:$B,O$2)</f>
        <v>0.375076677406862</v>
      </c>
      <c r="P58" s="0" t="n">
        <f aca="false">SUMIFS(AtractivoSitios!$C:$C,AtractivoSitios!$A:$A,$A58,AtractivoSitios!$B:$B,P$2)</f>
        <v>0</v>
      </c>
      <c r="Q58" s="0" t="n">
        <f aca="false">SUMIFS(AtractivoSitios!$C:$C,AtractivoSitios!$A:$A,$A58,AtractivoSitios!$B:$B,Q$2)</f>
        <v>0</v>
      </c>
      <c r="R58" s="0" t="n">
        <f aca="false">SUMIFS(AtractivoSitios!$C:$C,AtractivoSitios!$A:$A,$A58,AtractivoSitios!$B:$B,R$2)</f>
        <v>0</v>
      </c>
      <c r="S58" s="0" t="n">
        <f aca="false">SUMIFS(AtractivoSitios!$C:$C,AtractivoSitios!$A:$A,$A58,AtractivoSitios!$B:$B,S$2)</f>
        <v>0</v>
      </c>
      <c r="T58" s="0" t="n">
        <f aca="false">SUM(M58:S58)</f>
        <v>0.754115754871249</v>
      </c>
      <c r="U58" s="0" t="n">
        <f aca="false">C58/(AD$4+H58+$T58)</f>
        <v>0.000191975642681001</v>
      </c>
      <c r="V58" s="0" t="n">
        <f aca="false">D58/(AE$4+I58+$T58)</f>
        <v>5.54381008939822E-005</v>
      </c>
      <c r="W58" s="0" t="n">
        <f aca="false">E58/(AF$4+J58+$T58)</f>
        <v>0.000317743547654778</v>
      </c>
      <c r="X58" s="0" t="n">
        <f aca="false">F58/(AG$4+K58+$T58)</f>
        <v>1.74044916999301E-005</v>
      </c>
      <c r="Y58" s="0" t="n">
        <f aca="false">G58/(AH$4+L58+$T58)</f>
        <v>1.07980134374069E-005</v>
      </c>
    </row>
    <row r="59" customFormat="false" ht="15" hidden="false" customHeight="false" outlineLevel="0" collapsed="false">
      <c r="A59" s="0" t="s">
        <v>105</v>
      </c>
      <c r="B59" s="0" t="n">
        <f aca="false">SUMIFS(Sectores!$C:$C,Sectores!$A:$A,$A59)</f>
        <v>9208</v>
      </c>
      <c r="C59" s="0" t="n">
        <f aca="false">SUMIFS(Generacion!$C:$C,Generacion!$A:$A,$A59,Generacion!$B:$B,C$2)</f>
        <v>0.0435338767065874</v>
      </c>
      <c r="D59" s="0" t="n">
        <f aca="false">SUMIFS(Generacion!$C:$C,Generacion!$A:$A,$A59,Generacion!$B:$B,D$2)</f>
        <v>0.0378709333951614</v>
      </c>
      <c r="E59" s="0" t="n">
        <f aca="false">SUMIFS(Generacion!$C:$C,Generacion!$A:$A,$A59,Generacion!$B:$B,E$2)</f>
        <v>0.0134494903646368</v>
      </c>
      <c r="F59" s="0" t="n">
        <f aca="false">SUMIFS(Generacion!$C:$C,Generacion!$A:$A,$A59,Generacion!$B:$B,F$2)</f>
        <v>0.00353933956964125</v>
      </c>
      <c r="G59" s="0" t="n">
        <f aca="false">SUMIFS(Generacion!$C:$C,Generacion!$A:$A,$A59,Generacion!$B:$B,G$2)</f>
        <v>0.00247753769874887</v>
      </c>
      <c r="H59" s="0" t="n">
        <f aca="false">SUMPRODUCT((AtractivoAlternativas!$A$2:$A$931=$A59)*AtractivoAlternativas!$C$2:$C$931*COUNTIFS(Alternativas!$A$2:$A$51,AtractivoAlternativas!$B$2:$B$931,Alternativas!$B$2:$B$51,H$2))</f>
        <v>0.871712769441284</v>
      </c>
      <c r="I59" s="0" t="n">
        <f aca="false">SUMPRODUCT((AtractivoAlternativas!$A$2:$A$931=$A59)*AtractivoAlternativas!$C$2:$C$931*COUNTIFS(Alternativas!$A$2:$A$51,AtractivoAlternativas!$B$2:$B$931,Alternativas!$B$2:$B$51,I$2))</f>
        <v>4.25694985039584</v>
      </c>
      <c r="J59" s="0" t="n">
        <f aca="false">SUMPRODUCT((AtractivoAlternativas!$A$2:$A$931=$A59)*AtractivoAlternativas!$C$2:$C$931*COUNTIFS(Alternativas!$A$2:$A$51,AtractivoAlternativas!$B$2:$B$931,Alternativas!$B$2:$B$51,J$2))</f>
        <v>0.871712769441284</v>
      </c>
      <c r="K59" s="0" t="n">
        <f aca="false">SUMPRODUCT((AtractivoAlternativas!$A$2:$A$931=$A59)*AtractivoAlternativas!$C$2:$C$931*COUNTIFS(Alternativas!$A$2:$A$51,AtractivoAlternativas!$B$2:$B$931,Alternativas!$B$2:$B$51,K$2))</f>
        <v>0</v>
      </c>
      <c r="L59" s="0" t="n">
        <f aca="false">SUMPRODUCT((AtractivoAlternativas!$A$2:$A$931=$A59)*AtractivoAlternativas!$C$2:$C$931*COUNTIFS(Alternativas!$A$2:$A$51,AtractivoAlternativas!$B$2:$B$931,Alternativas!$B$2:$B$51,L$2))</f>
        <v>0</v>
      </c>
      <c r="M59" s="0" t="n">
        <f aca="false">SUMIFS(AtractivoSitios!$C:$C,AtractivoSitios!$A:$A,$A59,AtractivoSitios!$B:$B,M$2)</f>
        <v>0.507213880184563</v>
      </c>
      <c r="N59" s="0" t="n">
        <f aca="false">SUMIFS(AtractivoSitios!$C:$C,AtractivoSitios!$A:$A,$A59,AtractivoSitios!$B:$B,N$2)</f>
        <v>0</v>
      </c>
      <c r="O59" s="0" t="n">
        <f aca="false">SUMIFS(AtractivoSitios!$C:$C,AtractivoSitios!$A:$A,$A59,AtractivoSitios!$B:$B,O$2)</f>
        <v>0</v>
      </c>
      <c r="P59" s="0" t="n">
        <f aca="false">SUMIFS(AtractivoSitios!$C:$C,AtractivoSitios!$A:$A,$A59,AtractivoSitios!$B:$B,P$2)</f>
        <v>0</v>
      </c>
      <c r="Q59" s="0" t="n">
        <f aca="false">SUMIFS(AtractivoSitios!$C:$C,AtractivoSitios!$A:$A,$A59,AtractivoSitios!$B:$B,Q$2)</f>
        <v>0</v>
      </c>
      <c r="R59" s="0" t="n">
        <f aca="false">SUMIFS(AtractivoSitios!$C:$C,AtractivoSitios!$A:$A,$A59,AtractivoSitios!$B:$B,R$2)</f>
        <v>0</v>
      </c>
      <c r="S59" s="0" t="n">
        <f aca="false">SUMIFS(AtractivoSitios!$C:$C,AtractivoSitios!$A:$A,$A59,AtractivoSitios!$B:$B,S$2)</f>
        <v>0</v>
      </c>
      <c r="T59" s="0" t="n">
        <f aca="false">SUM(M59:S59)</f>
        <v>0.507213880184563</v>
      </c>
      <c r="U59" s="0" t="n">
        <f aca="false">C59/(AD$4+H59+$T59)</f>
        <v>0.000191989322123414</v>
      </c>
      <c r="V59" s="0" t="n">
        <f aca="false">D59/(AE$4+I59+$T59)</f>
        <v>5.53218964503959E-005</v>
      </c>
      <c r="W59" s="0" t="n">
        <f aca="false">E59/(AF$4+J59+$T59)</f>
        <v>0.00031786488262708</v>
      </c>
      <c r="X59" s="0" t="n">
        <f aca="false">F59/(AG$4+K59+$T59)</f>
        <v>1.74256486203552E-005</v>
      </c>
      <c r="Y59" s="0" t="n">
        <f aca="false">G59/(AH$4+L59+$T59)</f>
        <v>1.08096455724113E-005</v>
      </c>
    </row>
    <row r="60" customFormat="false" ht="15" hidden="false" customHeight="false" outlineLevel="0" collapsed="false">
      <c r="A60" s="0" t="s">
        <v>106</v>
      </c>
      <c r="B60" s="0" t="n">
        <f aca="false">SUMIFS(Sectores!$C:$C,Sectores!$A:$A,$A60)</f>
        <v>3432</v>
      </c>
      <c r="C60" s="0" t="n">
        <f aca="false">SUMIFS(Generacion!$C:$C,Generacion!$A:$A,$A60,Generacion!$B:$B,C$2)</f>
        <v>0.0435338767065874</v>
      </c>
      <c r="D60" s="0" t="n">
        <f aca="false">SUMIFS(Generacion!$C:$C,Generacion!$A:$A,$A60,Generacion!$B:$B,D$2)</f>
        <v>0.0378709333951614</v>
      </c>
      <c r="E60" s="0" t="n">
        <f aca="false">SUMIFS(Generacion!$C:$C,Generacion!$A:$A,$A60,Generacion!$B:$B,E$2)</f>
        <v>0.0134494903646368</v>
      </c>
      <c r="F60" s="0" t="n">
        <f aca="false">SUMIFS(Generacion!$C:$C,Generacion!$A:$A,$A60,Generacion!$B:$B,F$2)</f>
        <v>0.00353933956964125</v>
      </c>
      <c r="G60" s="0" t="n">
        <f aca="false">SUMIFS(Generacion!$C:$C,Generacion!$A:$A,$A60,Generacion!$B:$B,G$2)</f>
        <v>0.00247753769874887</v>
      </c>
      <c r="H60" s="0" t="n">
        <f aca="false">SUMPRODUCT((AtractivoAlternativas!$A$2:$A$931=$A60)*AtractivoAlternativas!$C$2:$C$931*COUNTIFS(Alternativas!$A$2:$A$51,AtractivoAlternativas!$B$2:$B$931,Alternativas!$B$2:$B$51,H$2))</f>
        <v>0.670110685485087</v>
      </c>
      <c r="I60" s="0" t="n">
        <f aca="false">SUMPRODUCT((AtractivoAlternativas!$A$2:$A$931=$A60)*AtractivoAlternativas!$C$2:$C$931*COUNTIFS(Alternativas!$A$2:$A$51,AtractivoAlternativas!$B$2:$B$931,Alternativas!$B$2:$B$51,I$2))</f>
        <v>2.96100203409588</v>
      </c>
      <c r="J60" s="0" t="n">
        <f aca="false">SUMPRODUCT((AtractivoAlternativas!$A$2:$A$931=$A60)*AtractivoAlternativas!$C$2:$C$931*COUNTIFS(Alternativas!$A$2:$A$51,AtractivoAlternativas!$B$2:$B$931,Alternativas!$B$2:$B$51,J$2))</f>
        <v>0.670110685485087</v>
      </c>
      <c r="K60" s="0" t="n">
        <f aca="false">SUMPRODUCT((AtractivoAlternativas!$A$2:$A$931=$A60)*AtractivoAlternativas!$C$2:$C$931*COUNTIFS(Alternativas!$A$2:$A$51,AtractivoAlternativas!$B$2:$B$931,Alternativas!$B$2:$B$51,K$2))</f>
        <v>0</v>
      </c>
      <c r="L60" s="0" t="n">
        <f aca="false">SUMPRODUCT((AtractivoAlternativas!$A$2:$A$931=$A60)*AtractivoAlternativas!$C$2:$C$931*COUNTIFS(Alternativas!$A$2:$A$51,AtractivoAlternativas!$B$2:$B$931,Alternativas!$B$2:$B$51,L$2))</f>
        <v>0</v>
      </c>
      <c r="M60" s="0" t="n">
        <f aca="false">SUMIFS(AtractivoSitios!$C:$C,AtractivoSitios!$A:$A,$A60,AtractivoSitios!$B:$B,M$2)</f>
        <v>0.422768838667969</v>
      </c>
      <c r="N60" s="0" t="n">
        <f aca="false">SUMIFS(AtractivoSitios!$C:$C,AtractivoSitios!$A:$A,$A60,AtractivoSitios!$B:$B,N$2)</f>
        <v>0</v>
      </c>
      <c r="O60" s="0" t="n">
        <f aca="false">SUMIFS(AtractivoSitios!$C:$C,AtractivoSitios!$A:$A,$A60,AtractivoSitios!$B:$B,O$2)</f>
        <v>0</v>
      </c>
      <c r="P60" s="0" t="n">
        <f aca="false">SUMIFS(AtractivoSitios!$C:$C,AtractivoSitios!$A:$A,$A60,AtractivoSitios!$B:$B,P$2)</f>
        <v>0</v>
      </c>
      <c r="Q60" s="0" t="n">
        <f aca="false">SUMIFS(AtractivoSitios!$C:$C,AtractivoSitios!$A:$A,$A60,AtractivoSitios!$B:$B,Q$2)</f>
        <v>0</v>
      </c>
      <c r="R60" s="0" t="n">
        <f aca="false">SUMIFS(AtractivoSitios!$C:$C,AtractivoSitios!$A:$A,$A60,AtractivoSitios!$B:$B,R$2)</f>
        <v>0</v>
      </c>
      <c r="S60" s="0" t="n">
        <f aca="false">SUMIFS(AtractivoSitios!$C:$C,AtractivoSitios!$A:$A,$A60,AtractivoSitios!$B:$B,S$2)</f>
        <v>0</v>
      </c>
      <c r="T60" s="0" t="n">
        <f aca="false">SUM(M60:S60)</f>
        <v>0.422768838667969</v>
      </c>
      <c r="U60" s="0" t="n">
        <f aca="false">C60/(AD$4+H60+$T60)</f>
        <v>0.000192231822604056</v>
      </c>
      <c r="V60" s="0" t="n">
        <f aca="false">D60/(AE$4+I60+$T60)</f>
        <v>5.54336773095218E-005</v>
      </c>
      <c r="W60" s="0" t="n">
        <f aca="false">E60/(AF$4+J60+$T60)</f>
        <v>0.000320028412254226</v>
      </c>
      <c r="X60" s="0" t="n">
        <f aca="false">F60/(AG$4+K60+$T60)</f>
        <v>1.74328964908708E-005</v>
      </c>
      <c r="Y60" s="0" t="n">
        <f aca="false">G60/(AH$4+L60+$T60)</f>
        <v>1.08136297329662E-005</v>
      </c>
    </row>
    <row r="61" customFormat="false" ht="15" hidden="false" customHeight="false" outlineLevel="0" collapsed="false">
      <c r="A61" s="0" t="s">
        <v>107</v>
      </c>
      <c r="B61" s="0" t="n">
        <f aca="false">SUMIFS(Sectores!$C:$C,Sectores!$A:$A,$A61)</f>
        <v>4393</v>
      </c>
      <c r="C61" s="0" t="n">
        <f aca="false">SUMIFS(Generacion!$C:$C,Generacion!$A:$A,$A61,Generacion!$B:$B,C$2)</f>
        <v>0.0435338767065874</v>
      </c>
      <c r="D61" s="0" t="n">
        <f aca="false">SUMIFS(Generacion!$C:$C,Generacion!$A:$A,$A61,Generacion!$B:$B,D$2)</f>
        <v>0.0378709333951614</v>
      </c>
      <c r="E61" s="0" t="n">
        <f aca="false">SUMIFS(Generacion!$C:$C,Generacion!$A:$A,$A61,Generacion!$B:$B,E$2)</f>
        <v>0.0134494903646368</v>
      </c>
      <c r="F61" s="0" t="n">
        <f aca="false">SUMIFS(Generacion!$C:$C,Generacion!$A:$A,$A61,Generacion!$B:$B,F$2)</f>
        <v>0.00353933956964125</v>
      </c>
      <c r="G61" s="0" t="n">
        <f aca="false">SUMIFS(Generacion!$C:$C,Generacion!$A:$A,$A61,Generacion!$B:$B,G$2)</f>
        <v>0.00247753769874887</v>
      </c>
      <c r="H61" s="0" t="n">
        <f aca="false">SUMPRODUCT((AtractivoAlternativas!$A$2:$A$931=$A61)*AtractivoAlternativas!$C$2:$C$931*COUNTIFS(Alternativas!$A$2:$A$51,AtractivoAlternativas!$B$2:$B$931,Alternativas!$B$2:$B$51,H$2))</f>
        <v>0.775729082097388</v>
      </c>
      <c r="I61" s="0" t="n">
        <f aca="false">SUMPRODUCT((AtractivoAlternativas!$A$2:$A$931=$A61)*AtractivoAlternativas!$C$2:$C$931*COUNTIFS(Alternativas!$A$2:$A$51,AtractivoAlternativas!$B$2:$B$931,Alternativas!$B$2:$B$51,I$2))</f>
        <v>3.86413285700415</v>
      </c>
      <c r="J61" s="0" t="n">
        <f aca="false">SUMPRODUCT((AtractivoAlternativas!$A$2:$A$931=$A61)*AtractivoAlternativas!$C$2:$C$931*COUNTIFS(Alternativas!$A$2:$A$51,AtractivoAlternativas!$B$2:$B$931,Alternativas!$B$2:$B$51,J$2))</f>
        <v>0.370263025998091</v>
      </c>
      <c r="K61" s="0" t="n">
        <f aca="false">SUMPRODUCT((AtractivoAlternativas!$A$2:$A$931=$A61)*AtractivoAlternativas!$C$2:$C$931*COUNTIFS(Alternativas!$A$2:$A$51,AtractivoAlternativas!$B$2:$B$931,Alternativas!$B$2:$B$51,K$2))</f>
        <v>0</v>
      </c>
      <c r="L61" s="0" t="n">
        <f aca="false">SUMPRODUCT((AtractivoAlternativas!$A$2:$A$931=$A61)*AtractivoAlternativas!$C$2:$C$931*COUNTIFS(Alternativas!$A$2:$A$51,AtractivoAlternativas!$B$2:$B$931,Alternativas!$B$2:$B$51,L$2))</f>
        <v>0</v>
      </c>
      <c r="M61" s="0" t="n">
        <f aca="false">SUMIFS(AtractivoSitios!$C:$C,AtractivoSitios!$A:$A,$A61,AtractivoSitios!$B:$B,M$2)</f>
        <v>0</v>
      </c>
      <c r="N61" s="0" t="n">
        <f aca="false">SUMIFS(AtractivoSitios!$C:$C,AtractivoSitios!$A:$A,$A61,AtractivoSitios!$B:$B,N$2)</f>
        <v>0</v>
      </c>
      <c r="O61" s="0" t="n">
        <f aca="false">SUMIFS(AtractivoSitios!$C:$C,AtractivoSitios!$A:$A,$A61,AtractivoSitios!$B:$B,O$2)</f>
        <v>0</v>
      </c>
      <c r="P61" s="0" t="n">
        <f aca="false">SUMIFS(AtractivoSitios!$C:$C,AtractivoSitios!$A:$A,$A61,AtractivoSitios!$B:$B,P$2)</f>
        <v>0</v>
      </c>
      <c r="Q61" s="0" t="n">
        <f aca="false">SUMIFS(AtractivoSitios!$C:$C,AtractivoSitios!$A:$A,$A61,AtractivoSitios!$B:$B,Q$2)</f>
        <v>0.371009874527209</v>
      </c>
      <c r="R61" s="0" t="n">
        <f aca="false">SUMIFS(AtractivoSitios!$C:$C,AtractivoSitios!$A:$A,$A61,AtractivoSitios!$B:$B,R$2)</f>
        <v>0</v>
      </c>
      <c r="S61" s="0" t="n">
        <f aca="false">SUMIFS(AtractivoSitios!$C:$C,AtractivoSitios!$A:$A,$A61,AtractivoSitios!$B:$B,S$2)</f>
        <v>0</v>
      </c>
      <c r="T61" s="0" t="n">
        <f aca="false">SUM(M61:S61)</f>
        <v>0.371009874527209</v>
      </c>
      <c r="U61" s="0" t="n">
        <f aca="false">C61/(AD$4+H61+$T61)</f>
        <v>0.000192186115708698</v>
      </c>
      <c r="V61" s="0" t="n">
        <f aca="false">D61/(AE$4+I61+$T61)</f>
        <v>5.53646819661077E-005</v>
      </c>
      <c r="W61" s="0" t="n">
        <f aca="false">E61/(AF$4+J61+$T61)</f>
        <v>0.000322728494972736</v>
      </c>
      <c r="X61" s="0" t="n">
        <f aca="false">F61/(AG$4+K61+$T61)</f>
        <v>1.74373419147651E-005</v>
      </c>
      <c r="Y61" s="0" t="n">
        <f aca="false">G61/(AH$4+L61+$T61)</f>
        <v>1.08160731996243E-005</v>
      </c>
    </row>
    <row r="62" customFormat="false" ht="15" hidden="false" customHeight="false" outlineLevel="0" collapsed="false">
      <c r="A62" s="0" t="s">
        <v>108</v>
      </c>
      <c r="B62" s="0" t="n">
        <f aca="false">SUMIFS(Sectores!$C:$C,Sectores!$A:$A,$A62)</f>
        <v>2812</v>
      </c>
      <c r="C62" s="0" t="n">
        <f aca="false">SUMIFS(Generacion!$C:$C,Generacion!$A:$A,$A62,Generacion!$B:$B,C$2)</f>
        <v>0.0435338767065874</v>
      </c>
      <c r="D62" s="0" t="n">
        <f aca="false">SUMIFS(Generacion!$C:$C,Generacion!$A:$A,$A62,Generacion!$B:$B,D$2)</f>
        <v>0.0378709333951614</v>
      </c>
      <c r="E62" s="0" t="n">
        <f aca="false">SUMIFS(Generacion!$C:$C,Generacion!$A:$A,$A62,Generacion!$B:$B,E$2)</f>
        <v>0.0134494903646368</v>
      </c>
      <c r="F62" s="0" t="n">
        <f aca="false">SUMIFS(Generacion!$C:$C,Generacion!$A:$A,$A62,Generacion!$B:$B,F$2)</f>
        <v>0.00353933956964125</v>
      </c>
      <c r="G62" s="0" t="n">
        <f aca="false">SUMIFS(Generacion!$C:$C,Generacion!$A:$A,$A62,Generacion!$B:$B,G$2)</f>
        <v>0.00247753769874887</v>
      </c>
      <c r="H62" s="0" t="n">
        <f aca="false">SUMPRODUCT((AtractivoAlternativas!$A$2:$A$931=$A62)*AtractivoAlternativas!$C$2:$C$931*COUNTIFS(Alternativas!$A$2:$A$51,AtractivoAlternativas!$B$2:$B$931,Alternativas!$B$2:$B$51,H$2))</f>
        <v>0.386939587250055</v>
      </c>
      <c r="I62" s="0" t="n">
        <f aca="false">SUMPRODUCT((AtractivoAlternativas!$A$2:$A$931=$A62)*AtractivoAlternativas!$C$2:$C$931*COUNTIFS(Alternativas!$A$2:$A$51,AtractivoAlternativas!$B$2:$B$931,Alternativas!$B$2:$B$51,I$2))</f>
        <v>2.5504249960419</v>
      </c>
      <c r="J62" s="0" t="n">
        <f aca="false">SUMPRODUCT((AtractivoAlternativas!$A$2:$A$931=$A62)*AtractivoAlternativas!$C$2:$C$931*COUNTIFS(Alternativas!$A$2:$A$51,AtractivoAlternativas!$B$2:$B$931,Alternativas!$B$2:$B$51,J$2))</f>
        <v>0.386939587250055</v>
      </c>
      <c r="K62" s="0" t="n">
        <f aca="false">SUMPRODUCT((AtractivoAlternativas!$A$2:$A$931=$A62)*AtractivoAlternativas!$C$2:$C$931*COUNTIFS(Alternativas!$A$2:$A$51,AtractivoAlternativas!$B$2:$B$931,Alternativas!$B$2:$B$51,K$2))</f>
        <v>0</v>
      </c>
      <c r="L62" s="0" t="n">
        <f aca="false">SUMPRODUCT((AtractivoAlternativas!$A$2:$A$931=$A62)*AtractivoAlternativas!$C$2:$C$931*COUNTIFS(Alternativas!$A$2:$A$51,AtractivoAlternativas!$B$2:$B$931,Alternativas!$B$2:$B$51,L$2))</f>
        <v>0</v>
      </c>
      <c r="M62" s="0" t="n">
        <f aca="false">SUMIFS(AtractivoSitios!$C:$C,AtractivoSitios!$A:$A,$A62,AtractivoSitios!$B:$B,M$2)</f>
        <v>0</v>
      </c>
      <c r="N62" s="0" t="n">
        <f aca="false">SUMIFS(AtractivoSitios!$C:$C,AtractivoSitios!$A:$A,$A62,AtractivoSitios!$B:$B,N$2)</f>
        <v>0</v>
      </c>
      <c r="O62" s="0" t="n">
        <f aca="false">SUMIFS(AtractivoSitios!$C:$C,AtractivoSitios!$A:$A,$A62,AtractivoSitios!$B:$B,O$2)</f>
        <v>0</v>
      </c>
      <c r="P62" s="0" t="n">
        <f aca="false">SUMIFS(AtractivoSitios!$C:$C,AtractivoSitios!$A:$A,$A62,AtractivoSitios!$B:$B,P$2)</f>
        <v>0</v>
      </c>
      <c r="Q62" s="0" t="n">
        <f aca="false">SUMIFS(AtractivoSitios!$C:$C,AtractivoSitios!$A:$A,$A62,AtractivoSitios!$B:$B,Q$2)</f>
        <v>0.516763253712108</v>
      </c>
      <c r="R62" s="0" t="n">
        <f aca="false">SUMIFS(AtractivoSitios!$C:$C,AtractivoSitios!$A:$A,$A62,AtractivoSitios!$B:$B,R$2)</f>
        <v>0</v>
      </c>
      <c r="S62" s="0" t="n">
        <f aca="false">SUMIFS(AtractivoSitios!$C:$C,AtractivoSitios!$A:$A,$A62,AtractivoSitios!$B:$B,S$2)</f>
        <v>0</v>
      </c>
      <c r="T62" s="0" t="n">
        <f aca="false">SUM(M62:S62)</f>
        <v>0.516763253712108</v>
      </c>
      <c r="U62" s="0" t="n">
        <f aca="false">C62/(AD$4+H62+$T62)</f>
        <v>0.000192392536625441</v>
      </c>
      <c r="V62" s="0" t="n">
        <f aca="false">D62/(AE$4+I62+$T62)</f>
        <v>5.54593771093542E-005</v>
      </c>
      <c r="W62" s="0" t="n">
        <f aca="false">E62/(AF$4+J62+$T62)</f>
        <v>0.000321475511146369</v>
      </c>
      <c r="X62" s="0" t="n">
        <f aca="false">F62/(AG$4+K62+$T62)</f>
        <v>1.74248293822648E-005</v>
      </c>
      <c r="Y62" s="0" t="n">
        <f aca="false">G62/(AH$4+L62+$T62)</f>
        <v>1.08091952128115E-005</v>
      </c>
    </row>
    <row r="63" customFormat="false" ht="15" hidden="false" customHeight="false" outlineLevel="0" collapsed="false">
      <c r="A63" s="0" t="s">
        <v>109</v>
      </c>
      <c r="B63" s="0" t="n">
        <f aca="false">SUMIFS(Sectores!$C:$C,Sectores!$A:$A,$A63)</f>
        <v>4686</v>
      </c>
      <c r="C63" s="0" t="n">
        <f aca="false">SUMIFS(Generacion!$C:$C,Generacion!$A:$A,$A63,Generacion!$B:$B,C$2)</f>
        <v>0.0435338767065874</v>
      </c>
      <c r="D63" s="0" t="n">
        <f aca="false">SUMIFS(Generacion!$C:$C,Generacion!$A:$A,$A63,Generacion!$B:$B,D$2)</f>
        <v>0.0378709333951614</v>
      </c>
      <c r="E63" s="0" t="n">
        <f aca="false">SUMIFS(Generacion!$C:$C,Generacion!$A:$A,$A63,Generacion!$B:$B,E$2)</f>
        <v>0.0134494903646368</v>
      </c>
      <c r="F63" s="0" t="n">
        <f aca="false">SUMIFS(Generacion!$C:$C,Generacion!$A:$A,$A63,Generacion!$B:$B,F$2)</f>
        <v>0.00353933956964125</v>
      </c>
      <c r="G63" s="0" t="n">
        <f aca="false">SUMIFS(Generacion!$C:$C,Generacion!$A:$A,$A63,Generacion!$B:$B,G$2)</f>
        <v>0.00247753769874887</v>
      </c>
      <c r="H63" s="0" t="n">
        <f aca="false">SUMPRODUCT((AtractivoAlternativas!$A$2:$A$931=$A63)*AtractivoAlternativas!$C$2:$C$931*COUNTIFS(Alternativas!$A$2:$A$51,AtractivoAlternativas!$B$2:$B$931,Alternativas!$B$2:$B$51,H$2))</f>
        <v>0.387306717083609</v>
      </c>
      <c r="I63" s="0" t="n">
        <f aca="false">SUMPRODUCT((AtractivoAlternativas!$A$2:$A$931=$A63)*AtractivoAlternativas!$C$2:$C$931*COUNTIFS(Alternativas!$A$2:$A$51,AtractivoAlternativas!$B$2:$B$931,Alternativas!$B$2:$B$51,I$2))</f>
        <v>1.89525870493635</v>
      </c>
      <c r="J63" s="0" t="n">
        <f aca="false">SUMPRODUCT((AtractivoAlternativas!$A$2:$A$931=$A63)*AtractivoAlternativas!$C$2:$C$931*COUNTIFS(Alternativas!$A$2:$A$51,AtractivoAlternativas!$B$2:$B$931,Alternativas!$B$2:$B$51,J$2))</f>
        <v>0.387306717083609</v>
      </c>
      <c r="K63" s="0" t="n">
        <f aca="false">SUMPRODUCT((AtractivoAlternativas!$A$2:$A$931=$A63)*AtractivoAlternativas!$C$2:$C$931*COUNTIFS(Alternativas!$A$2:$A$51,AtractivoAlternativas!$B$2:$B$931,Alternativas!$B$2:$B$51,K$2))</f>
        <v>0</v>
      </c>
      <c r="L63" s="0" t="n">
        <f aca="false">SUMPRODUCT((AtractivoAlternativas!$A$2:$A$931=$A63)*AtractivoAlternativas!$C$2:$C$931*COUNTIFS(Alternativas!$A$2:$A$51,AtractivoAlternativas!$B$2:$B$931,Alternativas!$B$2:$B$51,L$2))</f>
        <v>0</v>
      </c>
      <c r="M63" s="0" t="n">
        <f aca="false">SUMIFS(AtractivoSitios!$C:$C,AtractivoSitios!$A:$A,$A63,AtractivoSitios!$B:$B,M$2)</f>
        <v>0</v>
      </c>
      <c r="N63" s="0" t="n">
        <f aca="false">SUMIFS(AtractivoSitios!$C:$C,AtractivoSitios!$A:$A,$A63,AtractivoSitios!$B:$B,N$2)</f>
        <v>0.396509986149723</v>
      </c>
      <c r="O63" s="0" t="n">
        <f aca="false">SUMIFS(AtractivoSitios!$C:$C,AtractivoSitios!$A:$A,$A63,AtractivoSitios!$B:$B,O$2)</f>
        <v>0</v>
      </c>
      <c r="P63" s="0" t="n">
        <f aca="false">SUMIFS(AtractivoSitios!$C:$C,AtractivoSitios!$A:$A,$A63,AtractivoSitios!$B:$B,P$2)</f>
        <v>0</v>
      </c>
      <c r="Q63" s="0" t="n">
        <f aca="false">SUMIFS(AtractivoSitios!$C:$C,AtractivoSitios!$A:$A,$A63,AtractivoSitios!$B:$B,Q$2)</f>
        <v>0.664359716411013</v>
      </c>
      <c r="R63" s="0" t="n">
        <f aca="false">SUMIFS(AtractivoSitios!$C:$C,AtractivoSitios!$A:$A,$A63,AtractivoSitios!$B:$B,R$2)</f>
        <v>0</v>
      </c>
      <c r="S63" s="0" t="n">
        <f aca="false">SUMIFS(AtractivoSitios!$C:$C,AtractivoSitios!$A:$A,$A63,AtractivoSitios!$B:$B,S$2)</f>
        <v>0</v>
      </c>
      <c r="T63" s="0" t="n">
        <f aca="false">SUM(M63:S63)</f>
        <v>1.06086970256074</v>
      </c>
      <c r="U63" s="0" t="n">
        <f aca="false">C63/(AD$4+H63+$T63)</f>
        <v>0.000191930706615862</v>
      </c>
      <c r="V63" s="0" t="n">
        <f aca="false">D63/(AE$4+I63+$T63)</f>
        <v>5.54683984619481E-005</v>
      </c>
      <c r="W63" s="0" t="n">
        <f aca="false">E63/(AF$4+J63+$T63)</f>
        <v>0.000317345500020213</v>
      </c>
      <c r="X63" s="0" t="n">
        <f aca="false">F63/(AG$4+K63+$T63)</f>
        <v>1.73782775365461E-005</v>
      </c>
      <c r="Y63" s="0" t="n">
        <f aca="false">G63/(AH$4+L63+$T63)</f>
        <v>1.07835963551681E-005</v>
      </c>
    </row>
    <row r="64" customFormat="false" ht="15" hidden="false" customHeight="false" outlineLevel="0" collapsed="false">
      <c r="A64" s="0" t="s">
        <v>110</v>
      </c>
      <c r="B64" s="0" t="n">
        <f aca="false">SUMIFS(Sectores!$C:$C,Sectores!$A:$A,$A64)</f>
        <v>3857</v>
      </c>
      <c r="C64" s="0" t="n">
        <f aca="false">SUMIFS(Generacion!$C:$C,Generacion!$A:$A,$A64,Generacion!$B:$B,C$2)</f>
        <v>0.0435338767065874</v>
      </c>
      <c r="D64" s="0" t="n">
        <f aca="false">SUMIFS(Generacion!$C:$C,Generacion!$A:$A,$A64,Generacion!$B:$B,D$2)</f>
        <v>0.0378709333951614</v>
      </c>
      <c r="E64" s="0" t="n">
        <f aca="false">SUMIFS(Generacion!$C:$C,Generacion!$A:$A,$A64,Generacion!$B:$B,E$2)</f>
        <v>0.0134494903646368</v>
      </c>
      <c r="F64" s="0" t="n">
        <f aca="false">SUMIFS(Generacion!$C:$C,Generacion!$A:$A,$A64,Generacion!$B:$B,F$2)</f>
        <v>0.00353933956964125</v>
      </c>
      <c r="G64" s="0" t="n">
        <f aca="false">SUMIFS(Generacion!$C:$C,Generacion!$A:$A,$A64,Generacion!$B:$B,G$2)</f>
        <v>0.00247753769874887</v>
      </c>
      <c r="H64" s="0" t="n">
        <f aca="false">SUMPRODUCT((AtractivoAlternativas!$A$2:$A$931=$A64)*AtractivoAlternativas!$C$2:$C$931*COUNTIFS(Alternativas!$A$2:$A$51,AtractivoAlternativas!$B$2:$B$931,Alternativas!$B$2:$B$51,H$2))</f>
        <v>0.478691606228104</v>
      </c>
      <c r="I64" s="0" t="n">
        <f aca="false">SUMPRODUCT((AtractivoAlternativas!$A$2:$A$931=$A64)*AtractivoAlternativas!$C$2:$C$931*COUNTIFS(Alternativas!$A$2:$A$51,AtractivoAlternativas!$B$2:$B$931,Alternativas!$B$2:$B$51,I$2))</f>
        <v>1.70566585972743</v>
      </c>
      <c r="J64" s="0" t="n">
        <f aca="false">SUMPRODUCT((AtractivoAlternativas!$A$2:$A$931=$A64)*AtractivoAlternativas!$C$2:$C$931*COUNTIFS(Alternativas!$A$2:$A$51,AtractivoAlternativas!$B$2:$B$931,Alternativas!$B$2:$B$51,J$2))</f>
        <v>0.478691606228104</v>
      </c>
      <c r="K64" s="0" t="n">
        <f aca="false">SUMPRODUCT((AtractivoAlternativas!$A$2:$A$931=$A64)*AtractivoAlternativas!$C$2:$C$931*COUNTIFS(Alternativas!$A$2:$A$51,AtractivoAlternativas!$B$2:$B$931,Alternativas!$B$2:$B$51,K$2))</f>
        <v>0</v>
      </c>
      <c r="L64" s="0" t="n">
        <f aca="false">SUMPRODUCT((AtractivoAlternativas!$A$2:$A$931=$A64)*AtractivoAlternativas!$C$2:$C$931*COUNTIFS(Alternativas!$A$2:$A$51,AtractivoAlternativas!$B$2:$B$931,Alternativas!$B$2:$B$51,L$2))</f>
        <v>0</v>
      </c>
      <c r="M64" s="0" t="n">
        <f aca="false">SUMIFS(AtractivoSitios!$C:$C,AtractivoSitios!$A:$A,$A64,AtractivoSitios!$B:$B,M$2)</f>
        <v>0</v>
      </c>
      <c r="N64" s="0" t="n">
        <f aca="false">SUMIFS(AtractivoSitios!$C:$C,AtractivoSitios!$A:$A,$A64,AtractivoSitios!$B:$B,N$2)</f>
        <v>0</v>
      </c>
      <c r="O64" s="0" t="n">
        <f aca="false">SUMIFS(AtractivoSitios!$C:$C,AtractivoSitios!$A:$A,$A64,AtractivoSitios!$B:$B,O$2)</f>
        <v>0</v>
      </c>
      <c r="P64" s="0" t="n">
        <f aca="false">SUMIFS(AtractivoSitios!$C:$C,AtractivoSitios!$A:$A,$A64,AtractivoSitios!$B:$B,P$2)</f>
        <v>0</v>
      </c>
      <c r="Q64" s="0" t="n">
        <f aca="false">SUMIFS(AtractivoSitios!$C:$C,AtractivoSitios!$A:$A,$A64,AtractivoSitios!$B:$B,Q$2)</f>
        <v>0.769538928261809</v>
      </c>
      <c r="R64" s="0" t="n">
        <f aca="false">SUMIFS(AtractivoSitios!$C:$C,AtractivoSitios!$A:$A,$A64,AtractivoSitios!$B:$B,R$2)</f>
        <v>0</v>
      </c>
      <c r="S64" s="0" t="n">
        <f aca="false">SUMIFS(AtractivoSitios!$C:$C,AtractivoSitios!$A:$A,$A64,AtractivoSitios!$B:$B,S$2)</f>
        <v>0</v>
      </c>
      <c r="T64" s="0" t="n">
        <f aca="false">SUM(M64:S64)</f>
        <v>0.769538928261809</v>
      </c>
      <c r="U64" s="0" t="n">
        <f aca="false">C64/(AD$4+H64+$T64)</f>
        <v>0.000192100045642136</v>
      </c>
      <c r="V64" s="0" t="n">
        <f aca="false">D64/(AE$4+I64+$T64)</f>
        <v>5.55074976171114E-005</v>
      </c>
      <c r="W64" s="0" t="n">
        <f aca="false">E64/(AF$4+J64+$T64)</f>
        <v>0.000318849767587007</v>
      </c>
      <c r="X64" s="0" t="n">
        <f aca="false">F64/(AG$4+K64+$T64)</f>
        <v>1.74031717992241E-005</v>
      </c>
      <c r="Y64" s="0" t="n">
        <f aca="false">G64/(AH$4+L64+$T64)</f>
        <v>1.0797287645695E-005</v>
      </c>
    </row>
    <row r="65" customFormat="false" ht="15" hidden="false" customHeight="false" outlineLevel="0" collapsed="false">
      <c r="A65" s="0" t="s">
        <v>111</v>
      </c>
      <c r="B65" s="0" t="n">
        <f aca="false">SUMIFS(Sectores!$C:$C,Sectores!$A:$A,$A65)</f>
        <v>4425</v>
      </c>
      <c r="C65" s="0" t="n">
        <f aca="false">SUMIFS(Generacion!$C:$C,Generacion!$A:$A,$A65,Generacion!$B:$B,C$2)</f>
        <v>0.0435338767065874</v>
      </c>
      <c r="D65" s="0" t="n">
        <f aca="false">SUMIFS(Generacion!$C:$C,Generacion!$A:$A,$A65,Generacion!$B:$B,D$2)</f>
        <v>0.0378709333951614</v>
      </c>
      <c r="E65" s="0" t="n">
        <f aca="false">SUMIFS(Generacion!$C:$C,Generacion!$A:$A,$A65,Generacion!$B:$B,E$2)</f>
        <v>0.0134494903646368</v>
      </c>
      <c r="F65" s="0" t="n">
        <f aca="false">SUMIFS(Generacion!$C:$C,Generacion!$A:$A,$A65,Generacion!$B:$B,F$2)</f>
        <v>0.00353933956964125</v>
      </c>
      <c r="G65" s="0" t="n">
        <f aca="false">SUMIFS(Generacion!$C:$C,Generacion!$A:$A,$A65,Generacion!$B:$B,G$2)</f>
        <v>0.00247753769874887</v>
      </c>
      <c r="H65" s="0" t="n">
        <f aca="false">SUMPRODUCT((AtractivoAlternativas!$A$2:$A$931=$A65)*AtractivoAlternativas!$C$2:$C$931*COUNTIFS(Alternativas!$A$2:$A$51,AtractivoAlternativas!$B$2:$B$931,Alternativas!$B$2:$B$51,H$2))</f>
        <v>0.381739784309369</v>
      </c>
      <c r="I65" s="0" t="n">
        <f aca="false">SUMPRODUCT((AtractivoAlternativas!$A$2:$A$931=$A65)*AtractivoAlternativas!$C$2:$C$931*COUNTIFS(Alternativas!$A$2:$A$51,AtractivoAlternativas!$B$2:$B$931,Alternativas!$B$2:$B$51,I$2))</f>
        <v>0.960208698105007</v>
      </c>
      <c r="J65" s="0" t="n">
        <f aca="false">SUMPRODUCT((AtractivoAlternativas!$A$2:$A$931=$A65)*AtractivoAlternativas!$C$2:$C$931*COUNTIFS(Alternativas!$A$2:$A$51,AtractivoAlternativas!$B$2:$B$931,Alternativas!$B$2:$B$51,J$2))</f>
        <v>0.381739784309369</v>
      </c>
      <c r="K65" s="0" t="n">
        <f aca="false">SUMPRODUCT((AtractivoAlternativas!$A$2:$A$931=$A65)*AtractivoAlternativas!$C$2:$C$931*COUNTIFS(Alternativas!$A$2:$A$51,AtractivoAlternativas!$B$2:$B$931,Alternativas!$B$2:$B$51,K$2))</f>
        <v>0</v>
      </c>
      <c r="L65" s="0" t="n">
        <f aca="false">SUMPRODUCT((AtractivoAlternativas!$A$2:$A$931=$A65)*AtractivoAlternativas!$C$2:$C$931*COUNTIFS(Alternativas!$A$2:$A$51,AtractivoAlternativas!$B$2:$B$931,Alternativas!$B$2:$B$51,L$2))</f>
        <v>0</v>
      </c>
      <c r="M65" s="0" t="n">
        <f aca="false">SUMIFS(AtractivoSitios!$C:$C,AtractivoSitios!$A:$A,$A65,AtractivoSitios!$B:$B,M$2)</f>
        <v>0</v>
      </c>
      <c r="N65" s="0" t="n">
        <f aca="false">SUMIFS(AtractivoSitios!$C:$C,AtractivoSitios!$A:$A,$A65,AtractivoSitios!$B:$B,N$2)</f>
        <v>0.427276699311826</v>
      </c>
      <c r="O65" s="0" t="n">
        <f aca="false">SUMIFS(AtractivoSitios!$C:$C,AtractivoSitios!$A:$A,$A65,AtractivoSitios!$B:$B,O$2)</f>
        <v>0</v>
      </c>
      <c r="P65" s="0" t="n">
        <f aca="false">SUMIFS(AtractivoSitios!$C:$C,AtractivoSitios!$A:$A,$A65,AtractivoSitios!$B:$B,P$2)</f>
        <v>0</v>
      </c>
      <c r="Q65" s="0" t="n">
        <f aca="false">SUMIFS(AtractivoSitios!$C:$C,AtractivoSitios!$A:$A,$A65,AtractivoSitios!$B:$B,Q$2)</f>
        <v>0.897478119536036</v>
      </c>
      <c r="R65" s="0" t="n">
        <f aca="false">SUMIFS(AtractivoSitios!$C:$C,AtractivoSitios!$A:$A,$A65,AtractivoSitios!$B:$B,R$2)</f>
        <v>0</v>
      </c>
      <c r="S65" s="0" t="n">
        <f aca="false">SUMIFS(AtractivoSitios!$C:$C,AtractivoSitios!$A:$A,$A65,AtractivoSitios!$B:$B,S$2)</f>
        <v>0</v>
      </c>
      <c r="T65" s="0" t="n">
        <f aca="false">SUM(M65:S65)</f>
        <v>1.32475481884786</v>
      </c>
      <c r="U65" s="0" t="n">
        <f aca="false">C65/(AD$4+H65+$T65)</f>
        <v>0.000191712372179992</v>
      </c>
      <c r="V65" s="0" t="n">
        <f aca="false">D65/(AE$4+I65+$T65)</f>
        <v>5.55229794773242E-005</v>
      </c>
      <c r="W65" s="0" t="n">
        <f aca="false">E65/(AF$4+J65+$T65)</f>
        <v>0.000315422962603609</v>
      </c>
      <c r="X65" s="0" t="n">
        <f aca="false">F65/(AG$4+K65+$T65)</f>
        <v>1.73557899018769E-005</v>
      </c>
      <c r="Y65" s="0" t="n">
        <f aca="false">G65/(AH$4+L65+$T65)</f>
        <v>1.07712248272804E-005</v>
      </c>
    </row>
    <row r="66" customFormat="false" ht="15" hidden="false" customHeight="false" outlineLevel="0" collapsed="false">
      <c r="A66" s="0" t="s">
        <v>112</v>
      </c>
      <c r="B66" s="0" t="n">
        <f aca="false">SUMIFS(Sectores!$C:$C,Sectores!$A:$A,$A66)</f>
        <v>3803</v>
      </c>
      <c r="C66" s="0" t="n">
        <f aca="false">SUMIFS(Generacion!$C:$C,Generacion!$A:$A,$A66,Generacion!$B:$B,C$2)</f>
        <v>0.0435338767065874</v>
      </c>
      <c r="D66" s="0" t="n">
        <f aca="false">SUMIFS(Generacion!$C:$C,Generacion!$A:$A,$A66,Generacion!$B:$B,D$2)</f>
        <v>0.0378709333951614</v>
      </c>
      <c r="E66" s="0" t="n">
        <f aca="false">SUMIFS(Generacion!$C:$C,Generacion!$A:$A,$A66,Generacion!$B:$B,E$2)</f>
        <v>0.0134494903646368</v>
      </c>
      <c r="F66" s="0" t="n">
        <f aca="false">SUMIFS(Generacion!$C:$C,Generacion!$A:$A,$A66,Generacion!$B:$B,F$2)</f>
        <v>0.00353933956964125</v>
      </c>
      <c r="G66" s="0" t="n">
        <f aca="false">SUMIFS(Generacion!$C:$C,Generacion!$A:$A,$A66,Generacion!$B:$B,G$2)</f>
        <v>0.00247753769874887</v>
      </c>
      <c r="H66" s="0" t="n">
        <f aca="false">SUMPRODUCT((AtractivoAlternativas!$A$2:$A$931=$A66)*AtractivoAlternativas!$C$2:$C$931*COUNTIFS(Alternativas!$A$2:$A$51,AtractivoAlternativas!$B$2:$B$931,Alternativas!$B$2:$B$51,H$2))</f>
        <v>0.450004097318462</v>
      </c>
      <c r="I66" s="0" t="n">
        <f aca="false">SUMPRODUCT((AtractivoAlternativas!$A$2:$A$931=$A66)*AtractivoAlternativas!$C$2:$C$931*COUNTIFS(Alternativas!$A$2:$A$51,AtractivoAlternativas!$B$2:$B$931,Alternativas!$B$2:$B$51,I$2))</f>
        <v>1.37104397883565</v>
      </c>
      <c r="J66" s="0" t="n">
        <f aca="false">SUMPRODUCT((AtractivoAlternativas!$A$2:$A$931=$A66)*AtractivoAlternativas!$C$2:$C$931*COUNTIFS(Alternativas!$A$2:$A$51,AtractivoAlternativas!$B$2:$B$931,Alternativas!$B$2:$B$51,J$2))</f>
        <v>0.450004097318462</v>
      </c>
      <c r="K66" s="0" t="n">
        <f aca="false">SUMPRODUCT((AtractivoAlternativas!$A$2:$A$931=$A66)*AtractivoAlternativas!$C$2:$C$931*COUNTIFS(Alternativas!$A$2:$A$51,AtractivoAlternativas!$B$2:$B$931,Alternativas!$B$2:$B$51,K$2))</f>
        <v>0</v>
      </c>
      <c r="L66" s="0" t="n">
        <f aca="false">SUMPRODUCT((AtractivoAlternativas!$A$2:$A$931=$A66)*AtractivoAlternativas!$C$2:$C$931*COUNTIFS(Alternativas!$A$2:$A$51,AtractivoAlternativas!$B$2:$B$931,Alternativas!$B$2:$B$51,L$2))</f>
        <v>0</v>
      </c>
      <c r="M66" s="0" t="n">
        <f aca="false">SUMIFS(AtractivoSitios!$C:$C,AtractivoSitios!$A:$A,$A66,AtractivoSitios!$B:$B,M$2)</f>
        <v>0</v>
      </c>
      <c r="N66" s="0" t="n">
        <f aca="false">SUMIFS(AtractivoSitios!$C:$C,AtractivoSitios!$A:$A,$A66,AtractivoSitios!$B:$B,N$2)</f>
        <v>0</v>
      </c>
      <c r="O66" s="0" t="n">
        <f aca="false">SUMIFS(AtractivoSitios!$C:$C,AtractivoSitios!$A:$A,$A66,AtractivoSitios!$B:$B,O$2)</f>
        <v>0</v>
      </c>
      <c r="P66" s="0" t="n">
        <f aca="false">SUMIFS(AtractivoSitios!$C:$C,AtractivoSitios!$A:$A,$A66,AtractivoSitios!$B:$B,P$2)</f>
        <v>0</v>
      </c>
      <c r="Q66" s="0" t="n">
        <f aca="false">SUMIFS(AtractivoSitios!$C:$C,AtractivoSitios!$A:$A,$A66,AtractivoSitios!$B:$B,Q$2)</f>
        <v>0.861861505695485</v>
      </c>
      <c r="R66" s="0" t="n">
        <f aca="false">SUMIFS(AtractivoSitios!$C:$C,AtractivoSitios!$A:$A,$A66,AtractivoSitios!$B:$B,R$2)</f>
        <v>0</v>
      </c>
      <c r="S66" s="0" t="n">
        <f aca="false">SUMIFS(AtractivoSitios!$C:$C,AtractivoSitios!$A:$A,$A66,AtractivoSitios!$B:$B,S$2)</f>
        <v>0</v>
      </c>
      <c r="T66" s="0" t="n">
        <f aca="false">SUM(M66:S66)</f>
        <v>0.861861505695485</v>
      </c>
      <c r="U66" s="0" t="n">
        <f aca="false">C66/(AD$4+H66+$T66)</f>
        <v>0.000192046119149277</v>
      </c>
      <c r="V66" s="0" t="n">
        <f aca="false">D66/(AE$4+I66+$T66)</f>
        <v>5.55272174720766E-005</v>
      </c>
      <c r="W66" s="0" t="n">
        <f aca="false">E66/(AF$4+J66+$T66)</f>
        <v>0.000318369472426696</v>
      </c>
      <c r="X66" s="0" t="n">
        <f aca="false">F66/(AG$4+K66+$T66)</f>
        <v>1.73952751036132E-005</v>
      </c>
      <c r="Y66" s="0" t="n">
        <f aca="false">G66/(AH$4+L66+$T66)</f>
        <v>1.07929451210773E-005</v>
      </c>
    </row>
    <row r="67" customFormat="false" ht="15" hidden="false" customHeight="false" outlineLevel="0" collapsed="false">
      <c r="A67" s="0" t="s">
        <v>113</v>
      </c>
      <c r="B67" s="0" t="n">
        <f aca="false">SUMIFS(Sectores!$C:$C,Sectores!$A:$A,$A67)</f>
        <v>3899</v>
      </c>
      <c r="C67" s="0" t="n">
        <f aca="false">SUMIFS(Generacion!$C:$C,Generacion!$A:$A,$A67,Generacion!$B:$B,C$2)</f>
        <v>0.0435338767065874</v>
      </c>
      <c r="D67" s="0" t="n">
        <f aca="false">SUMIFS(Generacion!$C:$C,Generacion!$A:$A,$A67,Generacion!$B:$B,D$2)</f>
        <v>0.0378709333951614</v>
      </c>
      <c r="E67" s="0" t="n">
        <f aca="false">SUMIFS(Generacion!$C:$C,Generacion!$A:$A,$A67,Generacion!$B:$B,E$2)</f>
        <v>0.0134494903646368</v>
      </c>
      <c r="F67" s="0" t="n">
        <f aca="false">SUMIFS(Generacion!$C:$C,Generacion!$A:$A,$A67,Generacion!$B:$B,F$2)</f>
        <v>0.00353933956964125</v>
      </c>
      <c r="G67" s="0" t="n">
        <f aca="false">SUMIFS(Generacion!$C:$C,Generacion!$A:$A,$A67,Generacion!$B:$B,G$2)</f>
        <v>0.00247753769874887</v>
      </c>
      <c r="H67" s="0" t="n">
        <f aca="false">SUMPRODUCT((AtractivoAlternativas!$A$2:$A$931=$A67)*AtractivoAlternativas!$C$2:$C$931*COUNTIFS(Alternativas!$A$2:$A$51,AtractivoAlternativas!$B$2:$B$931,Alternativas!$B$2:$B$51,H$2))</f>
        <v>0.481933747195993</v>
      </c>
      <c r="I67" s="0" t="n">
        <f aca="false">SUMPRODUCT((AtractivoAlternativas!$A$2:$A$931=$A67)*AtractivoAlternativas!$C$2:$C$931*COUNTIFS(Alternativas!$A$2:$A$51,AtractivoAlternativas!$B$2:$B$931,Alternativas!$B$2:$B$51,I$2))</f>
        <v>2.6592912427892</v>
      </c>
      <c r="J67" s="0" t="n">
        <f aca="false">SUMPRODUCT((AtractivoAlternativas!$A$2:$A$931=$A67)*AtractivoAlternativas!$C$2:$C$931*COUNTIFS(Alternativas!$A$2:$A$51,AtractivoAlternativas!$B$2:$B$931,Alternativas!$B$2:$B$51,J$2))</f>
        <v>0.481933747195993</v>
      </c>
      <c r="K67" s="0" t="n">
        <f aca="false">SUMPRODUCT((AtractivoAlternativas!$A$2:$A$931=$A67)*AtractivoAlternativas!$C$2:$C$931*COUNTIFS(Alternativas!$A$2:$A$51,AtractivoAlternativas!$B$2:$B$931,Alternativas!$B$2:$B$51,K$2))</f>
        <v>0</v>
      </c>
      <c r="L67" s="0" t="n">
        <f aca="false">SUMPRODUCT((AtractivoAlternativas!$A$2:$A$931=$A67)*AtractivoAlternativas!$C$2:$C$931*COUNTIFS(Alternativas!$A$2:$A$51,AtractivoAlternativas!$B$2:$B$931,Alternativas!$B$2:$B$51,L$2))</f>
        <v>0</v>
      </c>
      <c r="M67" s="0" t="n">
        <f aca="false">SUMIFS(AtractivoSitios!$C:$C,AtractivoSitios!$A:$A,$A67,AtractivoSitios!$B:$B,M$2)</f>
        <v>0</v>
      </c>
      <c r="N67" s="0" t="n">
        <f aca="false">SUMIFS(AtractivoSitios!$C:$C,AtractivoSitios!$A:$A,$A67,AtractivoSitios!$B:$B,N$2)</f>
        <v>0</v>
      </c>
      <c r="O67" s="0" t="n">
        <f aca="false">SUMIFS(AtractivoSitios!$C:$C,AtractivoSitios!$A:$A,$A67,AtractivoSitios!$B:$B,O$2)</f>
        <v>0</v>
      </c>
      <c r="P67" s="0" t="n">
        <f aca="false">SUMIFS(AtractivoSitios!$C:$C,AtractivoSitios!$A:$A,$A67,AtractivoSitios!$B:$B,P$2)</f>
        <v>0</v>
      </c>
      <c r="Q67" s="0" t="n">
        <f aca="false">SUMIFS(AtractivoSitios!$C:$C,AtractivoSitios!$A:$A,$A67,AtractivoSitios!$B:$B,Q$2)</f>
        <v>0.556013602502549</v>
      </c>
      <c r="R67" s="0" t="n">
        <f aca="false">SUMIFS(AtractivoSitios!$C:$C,AtractivoSitios!$A:$A,$A67,AtractivoSitios!$B:$B,R$2)</f>
        <v>0</v>
      </c>
      <c r="S67" s="0" t="n">
        <f aca="false">SUMIFS(AtractivoSitios!$C:$C,AtractivoSitios!$A:$A,$A67,AtractivoSitios!$B:$B,S$2)</f>
        <v>0</v>
      </c>
      <c r="T67" s="0" t="n">
        <f aca="false">SUM(M67:S67)</f>
        <v>0.556013602502549</v>
      </c>
      <c r="U67" s="0" t="n">
        <f aca="false">C67/(AD$4+H67+$T67)</f>
        <v>0.000192278462263599</v>
      </c>
      <c r="V67" s="0" t="n">
        <f aca="false">D67/(AE$4+I67+$T67)</f>
        <v>5.54473502150046E-005</v>
      </c>
      <c r="W67" s="0" t="n">
        <f aca="false">E67/(AF$4+J67+$T67)</f>
        <v>0.000320447269540621</v>
      </c>
      <c r="X67" s="0" t="n">
        <f aca="false">F67/(AG$4+K67+$T67)</f>
        <v>1.74214629146266E-005</v>
      </c>
      <c r="Y67" s="0" t="n">
        <f aca="false">G67/(AH$4+L67+$T67)</f>
        <v>1.08073445146007E-005</v>
      </c>
    </row>
    <row r="68" customFormat="false" ht="15" hidden="false" customHeight="false" outlineLevel="0" collapsed="false">
      <c r="A68" s="0" t="s">
        <v>114</v>
      </c>
      <c r="B68" s="0" t="n">
        <f aca="false">SUMIFS(Sectores!$C:$C,Sectores!$A:$A,$A68)</f>
        <v>3348</v>
      </c>
      <c r="C68" s="0" t="n">
        <f aca="false">SUMIFS(Generacion!$C:$C,Generacion!$A:$A,$A68,Generacion!$B:$B,C$2)</f>
        <v>0.0435338767065874</v>
      </c>
      <c r="D68" s="0" t="n">
        <f aca="false">SUMIFS(Generacion!$C:$C,Generacion!$A:$A,$A68,Generacion!$B:$B,D$2)</f>
        <v>0.0378709333951614</v>
      </c>
      <c r="E68" s="0" t="n">
        <f aca="false">SUMIFS(Generacion!$C:$C,Generacion!$A:$A,$A68,Generacion!$B:$B,E$2)</f>
        <v>0.0134494903646368</v>
      </c>
      <c r="F68" s="0" t="n">
        <f aca="false">SUMIFS(Generacion!$C:$C,Generacion!$A:$A,$A68,Generacion!$B:$B,F$2)</f>
        <v>0.00353933956964125</v>
      </c>
      <c r="G68" s="0" t="n">
        <f aca="false">SUMIFS(Generacion!$C:$C,Generacion!$A:$A,$A68,Generacion!$B:$B,G$2)</f>
        <v>0.00247753769874887</v>
      </c>
      <c r="H68" s="0" t="n">
        <f aca="false">SUMPRODUCT((AtractivoAlternativas!$A$2:$A$931=$A68)*AtractivoAlternativas!$C$2:$C$931*COUNTIFS(Alternativas!$A$2:$A$51,AtractivoAlternativas!$B$2:$B$931,Alternativas!$B$2:$B$51,H$2))</f>
        <v>0.42117937020589</v>
      </c>
      <c r="I68" s="0" t="n">
        <f aca="false">SUMPRODUCT((AtractivoAlternativas!$A$2:$A$931=$A68)*AtractivoAlternativas!$C$2:$C$931*COUNTIFS(Alternativas!$A$2:$A$51,AtractivoAlternativas!$B$2:$B$931,Alternativas!$B$2:$B$51,I$2))</f>
        <v>0.956317952475356</v>
      </c>
      <c r="J68" s="0" t="n">
        <f aca="false">SUMPRODUCT((AtractivoAlternativas!$A$2:$A$931=$A68)*AtractivoAlternativas!$C$2:$C$931*COUNTIFS(Alternativas!$A$2:$A$51,AtractivoAlternativas!$B$2:$B$931,Alternativas!$B$2:$B$51,J$2))</f>
        <v>0.42117937020589</v>
      </c>
      <c r="K68" s="0" t="n">
        <f aca="false">SUMPRODUCT((AtractivoAlternativas!$A$2:$A$931=$A68)*AtractivoAlternativas!$C$2:$C$931*COUNTIFS(Alternativas!$A$2:$A$51,AtractivoAlternativas!$B$2:$B$931,Alternativas!$B$2:$B$51,K$2))</f>
        <v>0</v>
      </c>
      <c r="L68" s="0" t="n">
        <f aca="false">SUMPRODUCT((AtractivoAlternativas!$A$2:$A$931=$A68)*AtractivoAlternativas!$C$2:$C$931*COUNTIFS(Alternativas!$A$2:$A$51,AtractivoAlternativas!$B$2:$B$931,Alternativas!$B$2:$B$51,L$2))</f>
        <v>0</v>
      </c>
      <c r="M68" s="0" t="n">
        <f aca="false">SUMIFS(AtractivoSitios!$C:$C,AtractivoSitios!$A:$A,$A68,AtractivoSitios!$B:$B,M$2)</f>
        <v>0</v>
      </c>
      <c r="N68" s="0" t="n">
        <f aca="false">SUMIFS(AtractivoSitios!$C:$C,AtractivoSitios!$A:$A,$A68,AtractivoSitios!$B:$B,N$2)</f>
        <v>0.39959416366145</v>
      </c>
      <c r="O68" s="0" t="n">
        <f aca="false">SUMIFS(AtractivoSitios!$C:$C,AtractivoSitios!$A:$A,$A68,AtractivoSitios!$B:$B,O$2)</f>
        <v>0</v>
      </c>
      <c r="P68" s="0" t="n">
        <f aca="false">SUMIFS(AtractivoSitios!$C:$C,AtractivoSitios!$A:$A,$A68,AtractivoSitios!$B:$B,P$2)</f>
        <v>0</v>
      </c>
      <c r="Q68" s="0" t="n">
        <f aca="false">SUMIFS(AtractivoSitios!$C:$C,AtractivoSitios!$A:$A,$A68,AtractivoSitios!$B:$B,Q$2)</f>
        <v>0.903047260006519</v>
      </c>
      <c r="R68" s="0" t="n">
        <f aca="false">SUMIFS(AtractivoSitios!$C:$C,AtractivoSitios!$A:$A,$A68,AtractivoSitios!$B:$B,R$2)</f>
        <v>0</v>
      </c>
      <c r="S68" s="0" t="n">
        <f aca="false">SUMIFS(AtractivoSitios!$C:$C,AtractivoSitios!$A:$A,$A68,AtractivoSitios!$B:$B,S$2)</f>
        <v>0</v>
      </c>
      <c r="T68" s="0" t="n">
        <f aca="false">SUM(M68:S68)</f>
        <v>1.30264142366797</v>
      </c>
      <c r="U68" s="0" t="n">
        <f aca="false">C68/(AD$4+H68+$T68)</f>
        <v>0.000191697745596514</v>
      </c>
      <c r="V68" s="0" t="n">
        <f aca="false">D68/(AE$4+I68+$T68)</f>
        <v>5.55250963687508E-005</v>
      </c>
      <c r="W68" s="0" t="n">
        <f aca="false">E68/(AF$4+J68+$T68)</f>
        <v>0.000315294845403286</v>
      </c>
      <c r="X68" s="0" t="n">
        <f aca="false">F68/(AG$4+K68+$T68)</f>
        <v>1.73576721161401E-005</v>
      </c>
      <c r="Y68" s="0" t="n">
        <f aca="false">G68/(AH$4+L68+$T68)</f>
        <v>1.07722604631698E-005</v>
      </c>
    </row>
    <row r="69" customFormat="false" ht="15" hidden="false" customHeight="false" outlineLevel="0" collapsed="false">
      <c r="A69" s="0" t="s">
        <v>115</v>
      </c>
      <c r="B69" s="0" t="n">
        <f aca="false">SUMIFS(Sectores!$C:$C,Sectores!$A:$A,$A69)</f>
        <v>3343</v>
      </c>
      <c r="C69" s="0" t="n">
        <f aca="false">SUMIFS(Generacion!$C:$C,Generacion!$A:$A,$A69,Generacion!$B:$B,C$2)</f>
        <v>0.0435338767065874</v>
      </c>
      <c r="D69" s="0" t="n">
        <f aca="false">SUMIFS(Generacion!$C:$C,Generacion!$A:$A,$A69,Generacion!$B:$B,D$2)</f>
        <v>0.0378709333951614</v>
      </c>
      <c r="E69" s="0" t="n">
        <f aca="false">SUMIFS(Generacion!$C:$C,Generacion!$A:$A,$A69,Generacion!$B:$B,E$2)</f>
        <v>0.0134494903646368</v>
      </c>
      <c r="F69" s="0" t="n">
        <f aca="false">SUMIFS(Generacion!$C:$C,Generacion!$A:$A,$A69,Generacion!$B:$B,F$2)</f>
        <v>0.00353933956964125</v>
      </c>
      <c r="G69" s="0" t="n">
        <f aca="false">SUMIFS(Generacion!$C:$C,Generacion!$A:$A,$A69,Generacion!$B:$B,G$2)</f>
        <v>0.00247753769874887</v>
      </c>
      <c r="H69" s="0" t="n">
        <f aca="false">SUMPRODUCT((AtractivoAlternativas!$A$2:$A$931=$A69)*AtractivoAlternativas!$C$2:$C$931*COUNTIFS(Alternativas!$A$2:$A$51,AtractivoAlternativas!$B$2:$B$931,Alternativas!$B$2:$B$51,H$2))</f>
        <v>0.460592351276797</v>
      </c>
      <c r="I69" s="0" t="n">
        <f aca="false">SUMPRODUCT((AtractivoAlternativas!$A$2:$A$931=$A69)*AtractivoAlternativas!$C$2:$C$931*COUNTIFS(Alternativas!$A$2:$A$51,AtractivoAlternativas!$B$2:$B$931,Alternativas!$B$2:$B$51,I$2))</f>
        <v>3.63905522854079</v>
      </c>
      <c r="J69" s="0" t="n">
        <f aca="false">SUMPRODUCT((AtractivoAlternativas!$A$2:$A$931=$A69)*AtractivoAlternativas!$C$2:$C$931*COUNTIFS(Alternativas!$A$2:$A$51,AtractivoAlternativas!$B$2:$B$931,Alternativas!$B$2:$B$51,J$2))</f>
        <v>0</v>
      </c>
      <c r="K69" s="0" t="n">
        <f aca="false">SUMPRODUCT((AtractivoAlternativas!$A$2:$A$931=$A69)*AtractivoAlternativas!$C$2:$C$931*COUNTIFS(Alternativas!$A$2:$A$51,AtractivoAlternativas!$B$2:$B$931,Alternativas!$B$2:$B$51,K$2))</f>
        <v>0</v>
      </c>
      <c r="L69" s="0" t="n">
        <f aca="false">SUMPRODUCT((AtractivoAlternativas!$A$2:$A$931=$A69)*AtractivoAlternativas!$C$2:$C$931*COUNTIFS(Alternativas!$A$2:$A$51,AtractivoAlternativas!$B$2:$B$931,Alternativas!$B$2:$B$51,L$2))</f>
        <v>0</v>
      </c>
      <c r="M69" s="0" t="n">
        <f aca="false">SUMIFS(AtractivoSitios!$C:$C,AtractivoSitios!$A:$A,$A69,AtractivoSitios!$B:$B,M$2)</f>
        <v>0</v>
      </c>
      <c r="N69" s="0" t="n">
        <f aca="false">SUMIFS(AtractivoSitios!$C:$C,AtractivoSitios!$A:$A,$A69,AtractivoSitios!$B:$B,N$2)</f>
        <v>0</v>
      </c>
      <c r="O69" s="0" t="n">
        <f aca="false">SUMIFS(AtractivoSitios!$C:$C,AtractivoSitios!$A:$A,$A69,AtractivoSitios!$B:$B,O$2)</f>
        <v>0</v>
      </c>
      <c r="P69" s="0" t="n">
        <f aca="false">SUMIFS(AtractivoSitios!$C:$C,AtractivoSitios!$A:$A,$A69,AtractivoSitios!$B:$B,P$2)</f>
        <v>0</v>
      </c>
      <c r="Q69" s="0" t="n">
        <f aca="false">SUMIFS(AtractivoSitios!$C:$C,AtractivoSitios!$A:$A,$A69,AtractivoSitios!$B:$B,Q$2)</f>
        <v>0.396210178094599</v>
      </c>
      <c r="R69" s="0" t="n">
        <f aca="false">SUMIFS(AtractivoSitios!$C:$C,AtractivoSitios!$A:$A,$A69,AtractivoSitios!$B:$B,R$2)</f>
        <v>0</v>
      </c>
      <c r="S69" s="0" t="n">
        <f aca="false">SUMIFS(AtractivoSitios!$C:$C,AtractivoSitios!$A:$A,$A69,AtractivoSitios!$B:$B,S$2)</f>
        <v>0</v>
      </c>
      <c r="T69" s="0" t="n">
        <f aca="false">SUM(M69:S69)</f>
        <v>0.396210178094599</v>
      </c>
      <c r="U69" s="0" t="n">
        <f aca="false">C69/(AD$4+H69+$T69)</f>
        <v>0.000192432422108116</v>
      </c>
      <c r="V69" s="0" t="n">
        <f aca="false">D69/(AE$4+I69+$T69)</f>
        <v>5.53808646317301E-005</v>
      </c>
      <c r="W69" s="0" t="n">
        <f aca="false">E69/(AF$4+J69+$T69)</f>
        <v>0.000325422992337394</v>
      </c>
      <c r="X69" s="0" t="n">
        <f aca="false">F69/(AG$4+K69+$T69)</f>
        <v>1.74351772522772E-005</v>
      </c>
      <c r="Y69" s="0" t="n">
        <f aca="false">G69/(AH$4+L69+$T69)</f>
        <v>1.08148833914186E-005</v>
      </c>
    </row>
    <row r="70" customFormat="false" ht="15" hidden="false" customHeight="false" outlineLevel="0" collapsed="false">
      <c r="A70" s="0" t="s">
        <v>116</v>
      </c>
      <c r="B70" s="0" t="n">
        <f aca="false">SUMIFS(Sectores!$C:$C,Sectores!$A:$A,$A70)</f>
        <v>4108</v>
      </c>
      <c r="C70" s="0" t="n">
        <f aca="false">SUMIFS(Generacion!$C:$C,Generacion!$A:$A,$A70,Generacion!$B:$B,C$2)</f>
        <v>0.0435338767065874</v>
      </c>
      <c r="D70" s="0" t="n">
        <f aca="false">SUMIFS(Generacion!$C:$C,Generacion!$A:$A,$A70,Generacion!$B:$B,D$2)</f>
        <v>0.0378709333951614</v>
      </c>
      <c r="E70" s="0" t="n">
        <f aca="false">SUMIFS(Generacion!$C:$C,Generacion!$A:$A,$A70,Generacion!$B:$B,E$2)</f>
        <v>0.0134494903646368</v>
      </c>
      <c r="F70" s="0" t="n">
        <f aca="false">SUMIFS(Generacion!$C:$C,Generacion!$A:$A,$A70,Generacion!$B:$B,F$2)</f>
        <v>0.00353933956964125</v>
      </c>
      <c r="G70" s="0" t="n">
        <f aca="false">SUMIFS(Generacion!$C:$C,Generacion!$A:$A,$A70,Generacion!$B:$B,G$2)</f>
        <v>0.00247753769874887</v>
      </c>
      <c r="H70" s="0" t="n">
        <f aca="false">SUMPRODUCT((AtractivoAlternativas!$A$2:$A$931=$A70)*AtractivoAlternativas!$C$2:$C$931*COUNTIFS(Alternativas!$A$2:$A$51,AtractivoAlternativas!$B$2:$B$931,Alternativas!$B$2:$B$51,H$2))</f>
        <v>0</v>
      </c>
      <c r="I70" s="0" t="n">
        <f aca="false">SUMPRODUCT((AtractivoAlternativas!$A$2:$A$931=$A70)*AtractivoAlternativas!$C$2:$C$931*COUNTIFS(Alternativas!$A$2:$A$51,AtractivoAlternativas!$B$2:$B$931,Alternativas!$B$2:$B$51,I$2))</f>
        <v>1.10566984632233</v>
      </c>
      <c r="J70" s="0" t="n">
        <f aca="false">SUMPRODUCT((AtractivoAlternativas!$A$2:$A$931=$A70)*AtractivoAlternativas!$C$2:$C$931*COUNTIFS(Alternativas!$A$2:$A$51,AtractivoAlternativas!$B$2:$B$931,Alternativas!$B$2:$B$51,J$2))</f>
        <v>0</v>
      </c>
      <c r="K70" s="0" t="n">
        <f aca="false">SUMPRODUCT((AtractivoAlternativas!$A$2:$A$931=$A70)*AtractivoAlternativas!$C$2:$C$931*COUNTIFS(Alternativas!$A$2:$A$51,AtractivoAlternativas!$B$2:$B$931,Alternativas!$B$2:$B$51,K$2))</f>
        <v>0</v>
      </c>
      <c r="L70" s="0" t="n">
        <f aca="false">SUMPRODUCT((AtractivoAlternativas!$A$2:$A$931=$A70)*AtractivoAlternativas!$C$2:$C$931*COUNTIFS(Alternativas!$A$2:$A$51,AtractivoAlternativas!$B$2:$B$931,Alternativas!$B$2:$B$51,L$2))</f>
        <v>0</v>
      </c>
      <c r="M70" s="0" t="n">
        <f aca="false">SUMIFS(AtractivoSitios!$C:$C,AtractivoSitios!$A:$A,$A70,AtractivoSitios!$B:$B,M$2)</f>
        <v>0</v>
      </c>
      <c r="N70" s="0" t="n">
        <f aca="false">SUMIFS(AtractivoSitios!$C:$C,AtractivoSitios!$A:$A,$A70,AtractivoSitios!$B:$B,N$2)</f>
        <v>0.521955442527026</v>
      </c>
      <c r="O70" s="0" t="n">
        <f aca="false">SUMIFS(AtractivoSitios!$C:$C,AtractivoSitios!$A:$A,$A70,AtractivoSitios!$B:$B,O$2)</f>
        <v>0</v>
      </c>
      <c r="P70" s="0" t="n">
        <f aca="false">SUMIFS(AtractivoSitios!$C:$C,AtractivoSitios!$A:$A,$A70,AtractivoSitios!$B:$B,P$2)</f>
        <v>0</v>
      </c>
      <c r="Q70" s="0" t="n">
        <f aca="false">SUMIFS(AtractivoSitios!$C:$C,AtractivoSitios!$A:$A,$A70,AtractivoSitios!$B:$B,Q$2)</f>
        <v>0.659546319229295</v>
      </c>
      <c r="R70" s="0" t="n">
        <f aca="false">SUMIFS(AtractivoSitios!$C:$C,AtractivoSitios!$A:$A,$A70,AtractivoSitios!$B:$B,R$2)</f>
        <v>0</v>
      </c>
      <c r="S70" s="0" t="n">
        <f aca="false">SUMIFS(AtractivoSitios!$C:$C,AtractivoSitios!$A:$A,$A70,AtractivoSitios!$B:$B,S$2)</f>
        <v>0</v>
      </c>
      <c r="T70" s="0" t="n">
        <f aca="false">SUM(M70:S70)</f>
        <v>1.18150176175632</v>
      </c>
      <c r="U70" s="0" t="n">
        <f aca="false">C70/(AD$4+H70+$T70)</f>
        <v>0.000192156626382759</v>
      </c>
      <c r="V70" s="0" t="n">
        <f aca="false">D70/(AE$4+I70+$T70)</f>
        <v>5.55227997330339E-005</v>
      </c>
      <c r="W70" s="0" t="n">
        <f aca="false">E70/(AF$4+J70+$T70)</f>
        <v>0.000319354971954105</v>
      </c>
      <c r="X70" s="0" t="n">
        <f aca="false">F70/(AG$4+K70+$T70)</f>
        <v>1.73679903454458E-005</v>
      </c>
      <c r="Y70" s="0" t="n">
        <f aca="false">G70/(AH$4+L70+$T70)</f>
        <v>1.07779373284163E-005</v>
      </c>
    </row>
    <row r="71" customFormat="false" ht="15" hidden="false" customHeight="false" outlineLevel="0" collapsed="false">
      <c r="A71" s="0" t="s">
        <v>117</v>
      </c>
      <c r="B71" s="0" t="n">
        <f aca="false">SUMIFS(Sectores!$C:$C,Sectores!$A:$A,$A71)</f>
        <v>2900</v>
      </c>
      <c r="C71" s="0" t="n">
        <f aca="false">SUMIFS(Generacion!$C:$C,Generacion!$A:$A,$A71,Generacion!$B:$B,C$2)</f>
        <v>0.0435338767065874</v>
      </c>
      <c r="D71" s="0" t="n">
        <f aca="false">SUMIFS(Generacion!$C:$C,Generacion!$A:$A,$A71,Generacion!$B:$B,D$2)</f>
        <v>0.0378709333951614</v>
      </c>
      <c r="E71" s="0" t="n">
        <f aca="false">SUMIFS(Generacion!$C:$C,Generacion!$A:$A,$A71,Generacion!$B:$B,E$2)</f>
        <v>0.0134494903646368</v>
      </c>
      <c r="F71" s="0" t="n">
        <f aca="false">SUMIFS(Generacion!$C:$C,Generacion!$A:$A,$A71,Generacion!$B:$B,F$2)</f>
        <v>0.00353933956964125</v>
      </c>
      <c r="G71" s="0" t="n">
        <f aca="false">SUMIFS(Generacion!$C:$C,Generacion!$A:$A,$A71,Generacion!$B:$B,G$2)</f>
        <v>0.00247753769874887</v>
      </c>
      <c r="H71" s="0" t="n">
        <f aca="false">SUMPRODUCT((AtractivoAlternativas!$A$2:$A$931=$A71)*AtractivoAlternativas!$C$2:$C$931*COUNTIFS(Alternativas!$A$2:$A$51,AtractivoAlternativas!$B$2:$B$931,Alternativas!$B$2:$B$51,H$2))</f>
        <v>0</v>
      </c>
      <c r="I71" s="0" t="n">
        <f aca="false">SUMPRODUCT((AtractivoAlternativas!$A$2:$A$931=$A71)*AtractivoAlternativas!$C$2:$C$931*COUNTIFS(Alternativas!$A$2:$A$51,AtractivoAlternativas!$B$2:$B$931,Alternativas!$B$2:$B$51,I$2))</f>
        <v>2.65278768128099</v>
      </c>
      <c r="J71" s="0" t="n">
        <f aca="false">SUMPRODUCT((AtractivoAlternativas!$A$2:$A$931=$A71)*AtractivoAlternativas!$C$2:$C$931*COUNTIFS(Alternativas!$A$2:$A$51,AtractivoAlternativas!$B$2:$B$931,Alternativas!$B$2:$B$51,J$2))</f>
        <v>0</v>
      </c>
      <c r="K71" s="0" t="n">
        <f aca="false">SUMPRODUCT((AtractivoAlternativas!$A$2:$A$931=$A71)*AtractivoAlternativas!$C$2:$C$931*COUNTIFS(Alternativas!$A$2:$A$51,AtractivoAlternativas!$B$2:$B$931,Alternativas!$B$2:$B$51,K$2))</f>
        <v>0</v>
      </c>
      <c r="L71" s="0" t="n">
        <f aca="false">SUMPRODUCT((AtractivoAlternativas!$A$2:$A$931=$A71)*AtractivoAlternativas!$C$2:$C$931*COUNTIFS(Alternativas!$A$2:$A$51,AtractivoAlternativas!$B$2:$B$931,Alternativas!$B$2:$B$51,L$2))</f>
        <v>0</v>
      </c>
      <c r="M71" s="0" t="n">
        <f aca="false">SUMIFS(AtractivoSitios!$C:$C,AtractivoSitios!$A:$A,$A71,AtractivoSitios!$B:$B,M$2)</f>
        <v>0</v>
      </c>
      <c r="N71" s="0" t="n">
        <f aca="false">SUMIFS(AtractivoSitios!$C:$C,AtractivoSitios!$A:$A,$A71,AtractivoSitios!$B:$B,N$2)</f>
        <v>0.433952438345182</v>
      </c>
      <c r="O71" s="0" t="n">
        <f aca="false">SUMIFS(AtractivoSitios!$C:$C,AtractivoSitios!$A:$A,$A71,AtractivoSitios!$B:$B,O$2)</f>
        <v>0</v>
      </c>
      <c r="P71" s="0" t="n">
        <f aca="false">SUMIFS(AtractivoSitios!$C:$C,AtractivoSitios!$A:$A,$A71,AtractivoSitios!$B:$B,P$2)</f>
        <v>0</v>
      </c>
      <c r="Q71" s="0" t="n">
        <f aca="false">SUMIFS(AtractivoSitios!$C:$C,AtractivoSitios!$A:$A,$A71,AtractivoSitios!$B:$B,Q$2)</f>
        <v>0.529893765343091</v>
      </c>
      <c r="R71" s="0" t="n">
        <f aca="false">SUMIFS(AtractivoSitios!$C:$C,AtractivoSitios!$A:$A,$A71,AtractivoSitios!$B:$B,R$2)</f>
        <v>0</v>
      </c>
      <c r="S71" s="0" t="n">
        <f aca="false">SUMIFS(AtractivoSitios!$C:$C,AtractivoSitios!$A:$A,$A71,AtractivoSitios!$B:$B,S$2)</f>
        <v>0</v>
      </c>
      <c r="T71" s="0" t="n">
        <f aca="false">SUM(M71:S71)</f>
        <v>0.963846203688273</v>
      </c>
      <c r="U71" s="0" t="n">
        <f aca="false">C71/(AD$4+H71+$T71)</f>
        <v>0.000192341413030332</v>
      </c>
      <c r="V71" s="0" t="n">
        <f aca="false">D71/(AE$4+I71+$T71)</f>
        <v>5.54147889659045E-005</v>
      </c>
      <c r="W71" s="0" t="n">
        <f aca="false">E71/(AF$4+J71+$T71)</f>
        <v>0.00032101403018567</v>
      </c>
      <c r="X71" s="0" t="n">
        <f aca="false">F71/(AG$4+K71+$T71)</f>
        <v>1.73865602969836E-005</v>
      </c>
      <c r="Y71" s="0" t="n">
        <f aca="false">G71/(AH$4+L71+$T71)</f>
        <v>1.07881521834688E-005</v>
      </c>
    </row>
    <row r="72" customFormat="false" ht="15" hidden="false" customHeight="false" outlineLevel="0" collapsed="false">
      <c r="A72" s="0" t="s">
        <v>118</v>
      </c>
      <c r="B72" s="0" t="n">
        <f aca="false">SUMIFS(Sectores!$C:$C,Sectores!$A:$A,$A72)</f>
        <v>3344</v>
      </c>
      <c r="C72" s="0" t="n">
        <f aca="false">SUMIFS(Generacion!$C:$C,Generacion!$A:$A,$A72,Generacion!$B:$B,C$2)</f>
        <v>0.0435338767065874</v>
      </c>
      <c r="D72" s="0" t="n">
        <f aca="false">SUMIFS(Generacion!$C:$C,Generacion!$A:$A,$A72,Generacion!$B:$B,D$2)</f>
        <v>0.0378709333951614</v>
      </c>
      <c r="E72" s="0" t="n">
        <f aca="false">SUMIFS(Generacion!$C:$C,Generacion!$A:$A,$A72,Generacion!$B:$B,E$2)</f>
        <v>0.0134494903646368</v>
      </c>
      <c r="F72" s="0" t="n">
        <f aca="false">SUMIFS(Generacion!$C:$C,Generacion!$A:$A,$A72,Generacion!$B:$B,F$2)</f>
        <v>0.00353933956964125</v>
      </c>
      <c r="G72" s="0" t="n">
        <f aca="false">SUMIFS(Generacion!$C:$C,Generacion!$A:$A,$A72,Generacion!$B:$B,G$2)</f>
        <v>0.00247753769874887</v>
      </c>
      <c r="H72" s="0" t="n">
        <f aca="false">SUMPRODUCT((AtractivoAlternativas!$A$2:$A$931=$A72)*AtractivoAlternativas!$C$2:$C$931*COUNTIFS(Alternativas!$A$2:$A$51,AtractivoAlternativas!$B$2:$B$931,Alternativas!$B$2:$B$51,H$2))</f>
        <v>0</v>
      </c>
      <c r="I72" s="0" t="n">
        <f aca="false">SUMPRODUCT((AtractivoAlternativas!$A$2:$A$931=$A72)*AtractivoAlternativas!$C$2:$C$931*COUNTIFS(Alternativas!$A$2:$A$51,AtractivoAlternativas!$B$2:$B$931,Alternativas!$B$2:$B$51,I$2))</f>
        <v>0.958970326997363</v>
      </c>
      <c r="J72" s="0" t="n">
        <f aca="false">SUMPRODUCT((AtractivoAlternativas!$A$2:$A$931=$A72)*AtractivoAlternativas!$C$2:$C$931*COUNTIFS(Alternativas!$A$2:$A$51,AtractivoAlternativas!$B$2:$B$931,Alternativas!$B$2:$B$51,J$2))</f>
        <v>0</v>
      </c>
      <c r="K72" s="0" t="n">
        <f aca="false">SUMPRODUCT((AtractivoAlternativas!$A$2:$A$931=$A72)*AtractivoAlternativas!$C$2:$C$931*COUNTIFS(Alternativas!$A$2:$A$51,AtractivoAlternativas!$B$2:$B$931,Alternativas!$B$2:$B$51,K$2))</f>
        <v>0</v>
      </c>
      <c r="L72" s="0" t="n">
        <f aca="false">SUMPRODUCT((AtractivoAlternativas!$A$2:$A$931=$A72)*AtractivoAlternativas!$C$2:$C$931*COUNTIFS(Alternativas!$A$2:$A$51,AtractivoAlternativas!$B$2:$B$931,Alternativas!$B$2:$B$51,L$2))</f>
        <v>0</v>
      </c>
      <c r="M72" s="0" t="n">
        <f aca="false">SUMIFS(AtractivoSitios!$C:$C,AtractivoSitios!$A:$A,$A72,AtractivoSitios!$B:$B,M$2)</f>
        <v>0</v>
      </c>
      <c r="N72" s="0" t="n">
        <f aca="false">SUMIFS(AtractivoSitios!$C:$C,AtractivoSitios!$A:$A,$A72,AtractivoSitios!$B:$B,N$2)</f>
        <v>0.54876590687185</v>
      </c>
      <c r="O72" s="0" t="n">
        <f aca="false">SUMIFS(AtractivoSitios!$C:$C,AtractivoSitios!$A:$A,$A72,AtractivoSitios!$B:$B,O$2)</f>
        <v>0</v>
      </c>
      <c r="P72" s="0" t="n">
        <f aca="false">SUMIFS(AtractivoSitios!$C:$C,AtractivoSitios!$A:$A,$A72,AtractivoSitios!$B:$B,P$2)</f>
        <v>0</v>
      </c>
      <c r="Q72" s="0" t="n">
        <f aca="false">SUMIFS(AtractivoSitios!$C:$C,AtractivoSitios!$A:$A,$A72,AtractivoSitios!$B:$B,Q$2)</f>
        <v>0.713188957873794</v>
      </c>
      <c r="R72" s="0" t="n">
        <f aca="false">SUMIFS(AtractivoSitios!$C:$C,AtractivoSitios!$A:$A,$A72,AtractivoSitios!$B:$B,R$2)</f>
        <v>0</v>
      </c>
      <c r="S72" s="0" t="n">
        <f aca="false">SUMIFS(AtractivoSitios!$C:$C,AtractivoSitios!$A:$A,$A72,AtractivoSitios!$B:$B,S$2)</f>
        <v>0</v>
      </c>
      <c r="T72" s="0" t="n">
        <f aca="false">SUM(M72:S72)</f>
        <v>1.26195486474564</v>
      </c>
      <c r="U72" s="0" t="n">
        <f aca="false">C72/(AD$4+H72+$T72)</f>
        <v>0.000192088412622721</v>
      </c>
      <c r="V72" s="0" t="n">
        <f aca="false">D72/(AE$4+I72+$T72)</f>
        <v>5.55281928678597E-005</v>
      </c>
      <c r="W72" s="0" t="n">
        <f aca="false">E72/(AF$4+J72+$T72)</f>
        <v>0.000318746058631551</v>
      </c>
      <c r="X72" s="0" t="n">
        <f aca="false">F72/(AG$4+K72+$T72)</f>
        <v>1.73611362794357E-005</v>
      </c>
      <c r="Y72" s="0" t="n">
        <f aca="false">G72/(AH$4+L72+$T72)</f>
        <v>1.0774166455795E-005</v>
      </c>
    </row>
    <row r="73" customFormat="false" ht="15" hidden="false" customHeight="false" outlineLevel="0" collapsed="false">
      <c r="A73" s="0" t="s">
        <v>119</v>
      </c>
      <c r="B73" s="0" t="n">
        <f aca="false">SUMIFS(Sectores!$C:$C,Sectores!$A:$A,$A73)</f>
        <v>2223</v>
      </c>
      <c r="C73" s="0" t="n">
        <f aca="false">SUMIFS(Generacion!$C:$C,Generacion!$A:$A,$A73,Generacion!$B:$B,C$2)</f>
        <v>0.0435338767065874</v>
      </c>
      <c r="D73" s="0" t="n">
        <f aca="false">SUMIFS(Generacion!$C:$C,Generacion!$A:$A,$A73,Generacion!$B:$B,D$2)</f>
        <v>0.0378709333951614</v>
      </c>
      <c r="E73" s="0" t="n">
        <f aca="false">SUMIFS(Generacion!$C:$C,Generacion!$A:$A,$A73,Generacion!$B:$B,E$2)</f>
        <v>0.0134494903646368</v>
      </c>
      <c r="F73" s="0" t="n">
        <f aca="false">SUMIFS(Generacion!$C:$C,Generacion!$A:$A,$A73,Generacion!$B:$B,F$2)</f>
        <v>0.00353933956964125</v>
      </c>
      <c r="G73" s="0" t="n">
        <f aca="false">SUMIFS(Generacion!$C:$C,Generacion!$A:$A,$A73,Generacion!$B:$B,G$2)</f>
        <v>0.00247753769874887</v>
      </c>
      <c r="H73" s="0" t="n">
        <f aca="false">SUMPRODUCT((AtractivoAlternativas!$A$2:$A$931=$A73)*AtractivoAlternativas!$C$2:$C$931*COUNTIFS(Alternativas!$A$2:$A$51,AtractivoAlternativas!$B$2:$B$931,Alternativas!$B$2:$B$51,H$2))</f>
        <v>0.43572776447987</v>
      </c>
      <c r="I73" s="0" t="n">
        <f aca="false">SUMPRODUCT((AtractivoAlternativas!$A$2:$A$931=$A73)*AtractivoAlternativas!$C$2:$C$931*COUNTIFS(Alternativas!$A$2:$A$51,AtractivoAlternativas!$B$2:$B$931,Alternativas!$B$2:$B$51,I$2))</f>
        <v>2.89219581481083</v>
      </c>
      <c r="J73" s="0" t="n">
        <f aca="false">SUMPRODUCT((AtractivoAlternativas!$A$2:$A$931=$A73)*AtractivoAlternativas!$C$2:$C$931*COUNTIFS(Alternativas!$A$2:$A$51,AtractivoAlternativas!$B$2:$B$931,Alternativas!$B$2:$B$51,J$2))</f>
        <v>0</v>
      </c>
      <c r="K73" s="0" t="n">
        <f aca="false">SUMPRODUCT((AtractivoAlternativas!$A$2:$A$931=$A73)*AtractivoAlternativas!$C$2:$C$931*COUNTIFS(Alternativas!$A$2:$A$51,AtractivoAlternativas!$B$2:$B$931,Alternativas!$B$2:$B$51,K$2))</f>
        <v>0</v>
      </c>
      <c r="L73" s="0" t="n">
        <f aca="false">SUMPRODUCT((AtractivoAlternativas!$A$2:$A$931=$A73)*AtractivoAlternativas!$C$2:$C$931*COUNTIFS(Alternativas!$A$2:$A$51,AtractivoAlternativas!$B$2:$B$931,Alternativas!$B$2:$B$51,L$2))</f>
        <v>0</v>
      </c>
      <c r="M73" s="0" t="n">
        <f aca="false">SUMIFS(AtractivoSitios!$C:$C,AtractivoSitios!$A:$A,$A73,AtractivoSitios!$B:$B,M$2)</f>
        <v>0</v>
      </c>
      <c r="N73" s="0" t="n">
        <f aca="false">SUMIFS(AtractivoSitios!$C:$C,AtractivoSitios!$A:$A,$A73,AtractivoSitios!$B:$B,N$2)</f>
        <v>0.476968898934701</v>
      </c>
      <c r="O73" s="0" t="n">
        <f aca="false">SUMIFS(AtractivoSitios!$C:$C,AtractivoSitios!$A:$A,$A73,AtractivoSitios!$B:$B,O$2)</f>
        <v>0</v>
      </c>
      <c r="P73" s="0" t="n">
        <f aca="false">SUMIFS(AtractivoSitios!$C:$C,AtractivoSitios!$A:$A,$A73,AtractivoSitios!$B:$B,P$2)</f>
        <v>0</v>
      </c>
      <c r="Q73" s="0" t="n">
        <f aca="false">SUMIFS(AtractivoSitios!$C:$C,AtractivoSitios!$A:$A,$A73,AtractivoSitios!$B:$B,Q$2)</f>
        <v>0.368745995059774</v>
      </c>
      <c r="R73" s="0" t="n">
        <f aca="false">SUMIFS(AtractivoSitios!$C:$C,AtractivoSitios!$A:$A,$A73,AtractivoSitios!$B:$B,R$2)</f>
        <v>0</v>
      </c>
      <c r="S73" s="0" t="n">
        <f aca="false">SUMIFS(AtractivoSitios!$C:$C,AtractivoSitios!$A:$A,$A73,AtractivoSitios!$B:$B,S$2)</f>
        <v>0</v>
      </c>
      <c r="T73" s="0" t="n">
        <f aca="false">SUM(M73:S73)</f>
        <v>0.845714893994475</v>
      </c>
      <c r="U73" s="0" t="n">
        <f aca="false">C73/(AD$4+H73+$T73)</f>
        <v>0.000192071896795759</v>
      </c>
      <c r="V73" s="0" t="n">
        <f aca="false">D73/(AE$4+I73+$T73)</f>
        <v>5.54049568699086E-005</v>
      </c>
      <c r="W73" s="0" t="n">
        <f aca="false">E73/(AF$4+J73+$T73)</f>
        <v>0.000321921711662847</v>
      </c>
      <c r="X73" s="0" t="n">
        <f aca="false">F73/(AG$4+K73+$T73)</f>
        <v>1.73966556666417E-005</v>
      </c>
      <c r="Y73" s="0" t="n">
        <f aca="false">G73/(AH$4+L73+$T73)</f>
        <v>1.07937043480291E-005</v>
      </c>
    </row>
    <row r="74" customFormat="false" ht="15" hidden="false" customHeight="false" outlineLevel="0" collapsed="false">
      <c r="A74" s="0" t="s">
        <v>120</v>
      </c>
      <c r="B74" s="0" t="n">
        <f aca="false">SUMIFS(Sectores!$C:$C,Sectores!$A:$A,$A74)</f>
        <v>3462</v>
      </c>
      <c r="C74" s="0" t="n">
        <f aca="false">SUMIFS(Generacion!$C:$C,Generacion!$A:$A,$A74,Generacion!$B:$B,C$2)</f>
        <v>0.0435338767065874</v>
      </c>
      <c r="D74" s="0" t="n">
        <f aca="false">SUMIFS(Generacion!$C:$C,Generacion!$A:$A,$A74,Generacion!$B:$B,D$2)</f>
        <v>0.0378709333951614</v>
      </c>
      <c r="E74" s="0" t="n">
        <f aca="false">SUMIFS(Generacion!$C:$C,Generacion!$A:$A,$A74,Generacion!$B:$B,E$2)</f>
        <v>0.0134494903646368</v>
      </c>
      <c r="F74" s="0" t="n">
        <f aca="false">SUMIFS(Generacion!$C:$C,Generacion!$A:$A,$A74,Generacion!$B:$B,F$2)</f>
        <v>0.00353933956964125</v>
      </c>
      <c r="G74" s="0" t="n">
        <f aca="false">SUMIFS(Generacion!$C:$C,Generacion!$A:$A,$A74,Generacion!$B:$B,G$2)</f>
        <v>0.00247753769874887</v>
      </c>
      <c r="H74" s="0" t="n">
        <f aca="false">SUMPRODUCT((AtractivoAlternativas!$A$2:$A$931=$A74)*AtractivoAlternativas!$C$2:$C$931*COUNTIFS(Alternativas!$A$2:$A$51,AtractivoAlternativas!$B$2:$B$931,Alternativas!$B$2:$B$51,H$2))</f>
        <v>0</v>
      </c>
      <c r="I74" s="0" t="n">
        <f aca="false">SUMPRODUCT((AtractivoAlternativas!$A$2:$A$931=$A74)*AtractivoAlternativas!$C$2:$C$931*COUNTIFS(Alternativas!$A$2:$A$51,AtractivoAlternativas!$B$2:$B$931,Alternativas!$B$2:$B$51,I$2))</f>
        <v>1.76267214799439</v>
      </c>
      <c r="J74" s="0" t="n">
        <f aca="false">SUMPRODUCT((AtractivoAlternativas!$A$2:$A$931=$A74)*AtractivoAlternativas!$C$2:$C$931*COUNTIFS(Alternativas!$A$2:$A$51,AtractivoAlternativas!$B$2:$B$931,Alternativas!$B$2:$B$51,J$2))</f>
        <v>0</v>
      </c>
      <c r="K74" s="0" t="n">
        <f aca="false">SUMPRODUCT((AtractivoAlternativas!$A$2:$A$931=$A74)*AtractivoAlternativas!$C$2:$C$931*COUNTIFS(Alternativas!$A$2:$A$51,AtractivoAlternativas!$B$2:$B$931,Alternativas!$B$2:$B$51,K$2))</f>
        <v>0</v>
      </c>
      <c r="L74" s="0" t="n">
        <f aca="false">SUMPRODUCT((AtractivoAlternativas!$A$2:$A$931=$A74)*AtractivoAlternativas!$C$2:$C$931*COUNTIFS(Alternativas!$A$2:$A$51,AtractivoAlternativas!$B$2:$B$931,Alternativas!$B$2:$B$51,L$2))</f>
        <v>0</v>
      </c>
      <c r="M74" s="0" t="n">
        <f aca="false">SUMIFS(AtractivoSitios!$C:$C,AtractivoSitios!$A:$A,$A74,AtractivoSitios!$B:$B,M$2)</f>
        <v>0</v>
      </c>
      <c r="N74" s="0" t="n">
        <f aca="false">SUMIFS(AtractivoSitios!$C:$C,AtractivoSitios!$A:$A,$A74,AtractivoSitios!$B:$B,N$2)</f>
        <v>0.631523952883198</v>
      </c>
      <c r="O74" s="0" t="n">
        <f aca="false">SUMIFS(AtractivoSitios!$C:$C,AtractivoSitios!$A:$A,$A74,AtractivoSitios!$B:$B,O$2)</f>
        <v>0</v>
      </c>
      <c r="P74" s="0" t="n">
        <f aca="false">SUMIFS(AtractivoSitios!$C:$C,AtractivoSitios!$A:$A,$A74,AtractivoSitios!$B:$B,P$2)</f>
        <v>0</v>
      </c>
      <c r="Q74" s="0" t="n">
        <f aca="false">SUMIFS(AtractivoSitios!$C:$C,AtractivoSitios!$A:$A,$A74,AtractivoSitios!$B:$B,Q$2)</f>
        <v>0.411325958441391</v>
      </c>
      <c r="R74" s="0" t="n">
        <f aca="false">SUMIFS(AtractivoSitios!$C:$C,AtractivoSitios!$A:$A,$A74,AtractivoSitios!$B:$B,R$2)</f>
        <v>0</v>
      </c>
      <c r="S74" s="0" t="n">
        <f aca="false">SUMIFS(AtractivoSitios!$C:$C,AtractivoSitios!$A:$A,$A74,AtractivoSitios!$B:$B,S$2)</f>
        <v>0</v>
      </c>
      <c r="T74" s="0" t="n">
        <f aca="false">SUM(M74:S74)</f>
        <v>1.04284991132459</v>
      </c>
      <c r="U74" s="0" t="n">
        <f aca="false">C74/(AD$4+H74+$T74)</f>
        <v>0.000192274298868802</v>
      </c>
      <c r="V74" s="0" t="n">
        <f aca="false">D74/(AE$4+I74+$T74)</f>
        <v>5.54806368532022E-005</v>
      </c>
      <c r="W74" s="0" t="n">
        <f aca="false">E74/(AF$4+J74+$T74)</f>
        <v>0.000320409843002469</v>
      </c>
      <c r="X74" s="0" t="n">
        <f aca="false">F74/(AG$4+K74+$T74)</f>
        <v>1.73798152641425E-005</v>
      </c>
      <c r="Y74" s="0" t="n">
        <f aca="false">G74/(AH$4+L74+$T74)</f>
        <v>1.07844422001832E-005</v>
      </c>
    </row>
    <row r="75" customFormat="false" ht="15" hidden="false" customHeight="false" outlineLevel="0" collapsed="false">
      <c r="A75" s="0" t="s">
        <v>121</v>
      </c>
      <c r="B75" s="0" t="n">
        <f aca="false">SUMIFS(Sectores!$C:$C,Sectores!$A:$A,$A75)</f>
        <v>4017</v>
      </c>
      <c r="C75" s="0" t="n">
        <f aca="false">SUMIFS(Generacion!$C:$C,Generacion!$A:$A,$A75,Generacion!$B:$B,C$2)</f>
        <v>0.0435338767065874</v>
      </c>
      <c r="D75" s="0" t="n">
        <f aca="false">SUMIFS(Generacion!$C:$C,Generacion!$A:$A,$A75,Generacion!$B:$B,D$2)</f>
        <v>0.0378709333951614</v>
      </c>
      <c r="E75" s="0" t="n">
        <f aca="false">SUMIFS(Generacion!$C:$C,Generacion!$A:$A,$A75,Generacion!$B:$B,E$2)</f>
        <v>0.0134494903646368</v>
      </c>
      <c r="F75" s="0" t="n">
        <f aca="false">SUMIFS(Generacion!$C:$C,Generacion!$A:$A,$A75,Generacion!$B:$B,F$2)</f>
        <v>0.00353933956964125</v>
      </c>
      <c r="G75" s="0" t="n">
        <f aca="false">SUMIFS(Generacion!$C:$C,Generacion!$A:$A,$A75,Generacion!$B:$B,G$2)</f>
        <v>0.00247753769874887</v>
      </c>
      <c r="H75" s="0" t="n">
        <f aca="false">SUMPRODUCT((AtractivoAlternativas!$A$2:$A$931=$A75)*AtractivoAlternativas!$C$2:$C$931*COUNTIFS(Alternativas!$A$2:$A$51,AtractivoAlternativas!$B$2:$B$931,Alternativas!$B$2:$B$51,H$2))</f>
        <v>0</v>
      </c>
      <c r="I75" s="0" t="n">
        <f aca="false">SUMPRODUCT((AtractivoAlternativas!$A$2:$A$931=$A75)*AtractivoAlternativas!$C$2:$C$931*COUNTIFS(Alternativas!$A$2:$A$51,AtractivoAlternativas!$B$2:$B$931,Alternativas!$B$2:$B$51,I$2))</f>
        <v>1.21986364957524</v>
      </c>
      <c r="J75" s="0" t="n">
        <f aca="false">SUMPRODUCT((AtractivoAlternativas!$A$2:$A$931=$A75)*AtractivoAlternativas!$C$2:$C$931*COUNTIFS(Alternativas!$A$2:$A$51,AtractivoAlternativas!$B$2:$B$931,Alternativas!$B$2:$B$51,J$2))</f>
        <v>0</v>
      </c>
      <c r="K75" s="0" t="n">
        <f aca="false">SUMPRODUCT((AtractivoAlternativas!$A$2:$A$931=$A75)*AtractivoAlternativas!$C$2:$C$931*COUNTIFS(Alternativas!$A$2:$A$51,AtractivoAlternativas!$B$2:$B$931,Alternativas!$B$2:$B$51,K$2))</f>
        <v>0</v>
      </c>
      <c r="L75" s="0" t="n">
        <f aca="false">SUMPRODUCT((AtractivoAlternativas!$A$2:$A$931=$A75)*AtractivoAlternativas!$C$2:$C$931*COUNTIFS(Alternativas!$A$2:$A$51,AtractivoAlternativas!$B$2:$B$931,Alternativas!$B$2:$B$51,L$2))</f>
        <v>0</v>
      </c>
      <c r="M75" s="0" t="n">
        <f aca="false">SUMIFS(AtractivoSitios!$C:$C,AtractivoSitios!$A:$A,$A75,AtractivoSitios!$B:$B,M$2)</f>
        <v>0</v>
      </c>
      <c r="N75" s="0" t="n">
        <f aca="false">SUMIFS(AtractivoSitios!$C:$C,AtractivoSitios!$A:$A,$A75,AtractivoSitios!$B:$B,N$2)</f>
        <v>0.620596344237876</v>
      </c>
      <c r="O75" s="0" t="n">
        <f aca="false">SUMIFS(AtractivoSitios!$C:$C,AtractivoSitios!$A:$A,$A75,AtractivoSitios!$B:$B,O$2)</f>
        <v>0</v>
      </c>
      <c r="P75" s="0" t="n">
        <f aca="false">SUMIFS(AtractivoSitios!$C:$C,AtractivoSitios!$A:$A,$A75,AtractivoSitios!$B:$B,P$2)</f>
        <v>0</v>
      </c>
      <c r="Q75" s="0" t="n">
        <f aca="false">SUMIFS(AtractivoSitios!$C:$C,AtractivoSitios!$A:$A,$A75,AtractivoSitios!$B:$B,Q$2)</f>
        <v>0.542839330138421</v>
      </c>
      <c r="R75" s="0" t="n">
        <f aca="false">SUMIFS(AtractivoSitios!$C:$C,AtractivoSitios!$A:$A,$A75,AtractivoSitios!$B:$B,R$2)</f>
        <v>0</v>
      </c>
      <c r="S75" s="0" t="n">
        <f aca="false">SUMIFS(AtractivoSitios!$C:$C,AtractivoSitios!$A:$A,$A75,AtractivoSitios!$B:$B,S$2)</f>
        <v>0</v>
      </c>
      <c r="T75" s="0" t="n">
        <f aca="false">SUM(M75:S75)</f>
        <v>1.1634356743763</v>
      </c>
      <c r="U75" s="0" t="n">
        <f aca="false">C75/(AD$4+H75+$T75)</f>
        <v>0.000192171950735055</v>
      </c>
      <c r="V75" s="0" t="n">
        <f aca="false">D75/(AE$4+I75+$T75)</f>
        <v>5.55149758179895E-005</v>
      </c>
      <c r="W75" s="0" t="n">
        <f aca="false">E75/(AF$4+J75+$T75)</f>
        <v>0.000319492026038834</v>
      </c>
      <c r="X75" s="0" t="n">
        <f aca="false">F75/(AG$4+K75+$T75)</f>
        <v>1.73695301993413E-005</v>
      </c>
      <c r="Y75" s="0" t="n">
        <f aca="false">G75/(AH$4+L75+$T75)</f>
        <v>1.07787844568837E-005</v>
      </c>
    </row>
    <row r="76" customFormat="false" ht="15" hidden="false" customHeight="false" outlineLevel="0" collapsed="false">
      <c r="A76" s="0" t="s">
        <v>122</v>
      </c>
      <c r="B76" s="0" t="n">
        <f aca="false">SUMIFS(Sectores!$C:$C,Sectores!$A:$A,$A76)</f>
        <v>3473</v>
      </c>
      <c r="C76" s="0" t="n">
        <f aca="false">SUMIFS(Generacion!$C:$C,Generacion!$A:$A,$A76,Generacion!$B:$B,C$2)</f>
        <v>0.0435338767065874</v>
      </c>
      <c r="D76" s="0" t="n">
        <f aca="false">SUMIFS(Generacion!$C:$C,Generacion!$A:$A,$A76,Generacion!$B:$B,D$2)</f>
        <v>0.0378709333951614</v>
      </c>
      <c r="E76" s="0" t="n">
        <f aca="false">SUMIFS(Generacion!$C:$C,Generacion!$A:$A,$A76,Generacion!$B:$B,E$2)</f>
        <v>0.0134494903646368</v>
      </c>
      <c r="F76" s="0" t="n">
        <f aca="false">SUMIFS(Generacion!$C:$C,Generacion!$A:$A,$A76,Generacion!$B:$B,F$2)</f>
        <v>0.00353933956964125</v>
      </c>
      <c r="G76" s="0" t="n">
        <f aca="false">SUMIFS(Generacion!$C:$C,Generacion!$A:$A,$A76,Generacion!$B:$B,G$2)</f>
        <v>0.00247753769874887</v>
      </c>
      <c r="H76" s="0" t="n">
        <f aca="false">SUMPRODUCT((AtractivoAlternativas!$A$2:$A$931=$A76)*AtractivoAlternativas!$C$2:$C$931*COUNTIFS(Alternativas!$A$2:$A$51,AtractivoAlternativas!$B$2:$B$931,Alternativas!$B$2:$B$51,H$2))</f>
        <v>0.382216069589928</v>
      </c>
      <c r="I76" s="0" t="n">
        <f aca="false">SUMPRODUCT((AtractivoAlternativas!$A$2:$A$931=$A76)*AtractivoAlternativas!$C$2:$C$931*COUNTIFS(Alternativas!$A$2:$A$51,AtractivoAlternativas!$B$2:$B$931,Alternativas!$B$2:$B$51,I$2))</f>
        <v>2.85400626114839</v>
      </c>
      <c r="J76" s="0" t="n">
        <f aca="false">SUMPRODUCT((AtractivoAlternativas!$A$2:$A$931=$A76)*AtractivoAlternativas!$C$2:$C$931*COUNTIFS(Alternativas!$A$2:$A$51,AtractivoAlternativas!$B$2:$B$931,Alternativas!$B$2:$B$51,J$2))</f>
        <v>0</v>
      </c>
      <c r="K76" s="0" t="n">
        <f aca="false">SUMPRODUCT((AtractivoAlternativas!$A$2:$A$931=$A76)*AtractivoAlternativas!$C$2:$C$931*COUNTIFS(Alternativas!$A$2:$A$51,AtractivoAlternativas!$B$2:$B$931,Alternativas!$B$2:$B$51,K$2))</f>
        <v>0</v>
      </c>
      <c r="L76" s="0" t="n">
        <f aca="false">SUMPRODUCT((AtractivoAlternativas!$A$2:$A$931=$A76)*AtractivoAlternativas!$C$2:$C$931*COUNTIFS(Alternativas!$A$2:$A$51,AtractivoAlternativas!$B$2:$B$931,Alternativas!$B$2:$B$51,L$2))</f>
        <v>0</v>
      </c>
      <c r="M76" s="0" t="n">
        <f aca="false">SUMIFS(AtractivoSitios!$C:$C,AtractivoSitios!$A:$A,$A76,AtractivoSitios!$B:$B,M$2)</f>
        <v>0</v>
      </c>
      <c r="N76" s="0" t="n">
        <f aca="false">SUMIFS(AtractivoSitios!$C:$C,AtractivoSitios!$A:$A,$A76,AtractivoSitios!$B:$B,N$2)</f>
        <v>0.484792730594284</v>
      </c>
      <c r="O76" s="0" t="n">
        <f aca="false">SUMIFS(AtractivoSitios!$C:$C,AtractivoSitios!$A:$A,$A76,AtractivoSitios!$B:$B,O$2)</f>
        <v>0</v>
      </c>
      <c r="P76" s="0" t="n">
        <f aca="false">SUMIFS(AtractivoSitios!$C:$C,AtractivoSitios!$A:$A,$A76,AtractivoSitios!$B:$B,P$2)</f>
        <v>0</v>
      </c>
      <c r="Q76" s="0" t="n">
        <f aca="false">SUMIFS(AtractivoSitios!$C:$C,AtractivoSitios!$A:$A,$A76,AtractivoSitios!$B:$B,Q$2)</f>
        <v>0.455858402167416</v>
      </c>
      <c r="R76" s="0" t="n">
        <f aca="false">SUMIFS(AtractivoSitios!$C:$C,AtractivoSitios!$A:$A,$A76,AtractivoSitios!$B:$B,R$2)</f>
        <v>0</v>
      </c>
      <c r="S76" s="0" t="n">
        <f aca="false">SUMIFS(AtractivoSitios!$C:$C,AtractivoSitios!$A:$A,$A76,AtractivoSitios!$B:$B,S$2)</f>
        <v>0</v>
      </c>
      <c r="T76" s="0" t="n">
        <f aca="false">SUM(M76:S76)</f>
        <v>0.9406511327617</v>
      </c>
      <c r="U76" s="0" t="n">
        <f aca="false">C76/(AD$4+H76+$T76)</f>
        <v>0.000192036799094273</v>
      </c>
      <c r="V76" s="0" t="n">
        <f aca="false">D76/(AE$4+I76+$T76)</f>
        <v>5.54003575282033E-005</v>
      </c>
      <c r="W76" s="0" t="n">
        <f aca="false">E76/(AF$4+J76+$T76)</f>
        <v>0.000321191849285189</v>
      </c>
      <c r="X76" s="0" t="n">
        <f aca="false">F76/(AG$4+K76+$T76)</f>
        <v>1.73885415972731E-005</v>
      </c>
      <c r="Y76" s="0" t="n">
        <f aca="false">G76/(AH$4+L76+$T76)</f>
        <v>1.07892418997204E-005</v>
      </c>
    </row>
    <row r="77" customFormat="false" ht="15" hidden="false" customHeight="false" outlineLevel="0" collapsed="false">
      <c r="A77" s="0" t="s">
        <v>123</v>
      </c>
      <c r="B77" s="0" t="n">
        <f aca="false">SUMIFS(Sectores!$C:$C,Sectores!$A:$A,$A77)</f>
        <v>2867</v>
      </c>
      <c r="C77" s="0" t="n">
        <f aca="false">SUMIFS(Generacion!$C:$C,Generacion!$A:$A,$A77,Generacion!$B:$B,C$2)</f>
        <v>0.0435338767065874</v>
      </c>
      <c r="D77" s="0" t="n">
        <f aca="false">SUMIFS(Generacion!$C:$C,Generacion!$A:$A,$A77,Generacion!$B:$B,D$2)</f>
        <v>0.0378709333951614</v>
      </c>
      <c r="E77" s="0" t="n">
        <f aca="false">SUMIFS(Generacion!$C:$C,Generacion!$A:$A,$A77,Generacion!$B:$B,E$2)</f>
        <v>0.0134494903646368</v>
      </c>
      <c r="F77" s="0" t="n">
        <f aca="false">SUMIFS(Generacion!$C:$C,Generacion!$A:$A,$A77,Generacion!$B:$B,F$2)</f>
        <v>0.00353933956964125</v>
      </c>
      <c r="G77" s="0" t="n">
        <f aca="false">SUMIFS(Generacion!$C:$C,Generacion!$A:$A,$A77,Generacion!$B:$B,G$2)</f>
        <v>0.00247753769874887</v>
      </c>
      <c r="H77" s="0" t="n">
        <f aca="false">SUMPRODUCT((AtractivoAlternativas!$A$2:$A$931=$A77)*AtractivoAlternativas!$C$2:$C$931*COUNTIFS(Alternativas!$A$2:$A$51,AtractivoAlternativas!$B$2:$B$931,Alternativas!$B$2:$B$51,H$2))</f>
        <v>0.38491290771705</v>
      </c>
      <c r="I77" s="0" t="n">
        <f aca="false">SUMPRODUCT((AtractivoAlternativas!$A$2:$A$931=$A77)*AtractivoAlternativas!$C$2:$C$931*COUNTIFS(Alternativas!$A$2:$A$51,AtractivoAlternativas!$B$2:$B$931,Alternativas!$B$2:$B$51,I$2))</f>
        <v>2.71234997910206</v>
      </c>
      <c r="J77" s="0" t="n">
        <f aca="false">SUMPRODUCT((AtractivoAlternativas!$A$2:$A$931=$A77)*AtractivoAlternativas!$C$2:$C$931*COUNTIFS(Alternativas!$A$2:$A$51,AtractivoAlternativas!$B$2:$B$931,Alternativas!$B$2:$B$51,J$2))</f>
        <v>0</v>
      </c>
      <c r="K77" s="0" t="n">
        <f aca="false">SUMPRODUCT((AtractivoAlternativas!$A$2:$A$931=$A77)*AtractivoAlternativas!$C$2:$C$931*COUNTIFS(Alternativas!$A$2:$A$51,AtractivoAlternativas!$B$2:$B$931,Alternativas!$B$2:$B$51,K$2))</f>
        <v>0</v>
      </c>
      <c r="L77" s="0" t="n">
        <f aca="false">SUMPRODUCT((AtractivoAlternativas!$A$2:$A$931=$A77)*AtractivoAlternativas!$C$2:$C$931*COUNTIFS(Alternativas!$A$2:$A$51,AtractivoAlternativas!$B$2:$B$931,Alternativas!$B$2:$B$51,L$2))</f>
        <v>0</v>
      </c>
      <c r="M77" s="0" t="n">
        <f aca="false">SUMIFS(AtractivoSitios!$C:$C,AtractivoSitios!$A:$A,$A77,AtractivoSitios!$B:$B,M$2)</f>
        <v>0</v>
      </c>
      <c r="N77" s="0" t="n">
        <f aca="false">SUMIFS(AtractivoSitios!$C:$C,AtractivoSitios!$A:$A,$A77,AtractivoSitios!$B:$B,N$2)</f>
        <v>0.544893156970007</v>
      </c>
      <c r="O77" s="0" t="n">
        <f aca="false">SUMIFS(AtractivoSitios!$C:$C,AtractivoSitios!$A:$A,$A77,AtractivoSitios!$B:$B,O$2)</f>
        <v>0</v>
      </c>
      <c r="P77" s="0" t="n">
        <f aca="false">SUMIFS(AtractivoSitios!$C:$C,AtractivoSitios!$A:$A,$A77,AtractivoSitios!$B:$B,P$2)</f>
        <v>0</v>
      </c>
      <c r="Q77" s="0" t="n">
        <f aca="false">SUMIFS(AtractivoSitios!$C:$C,AtractivoSitios!$A:$A,$A77,AtractivoSitios!$B:$B,Q$2)</f>
        <v>0.383272173619664</v>
      </c>
      <c r="R77" s="0" t="n">
        <f aca="false">SUMIFS(AtractivoSitios!$C:$C,AtractivoSitios!$A:$A,$A77,AtractivoSitios!$B:$B,R$2)</f>
        <v>0</v>
      </c>
      <c r="S77" s="0" t="n">
        <f aca="false">SUMIFS(AtractivoSitios!$C:$C,AtractivoSitios!$A:$A,$A77,AtractivoSitios!$B:$B,S$2)</f>
        <v>0</v>
      </c>
      <c r="T77" s="0" t="n">
        <f aca="false">SUM(M77:S77)</f>
        <v>0.928165330589671</v>
      </c>
      <c r="U77" s="0" t="n">
        <f aca="false">C77/(AD$4+H77+$T77)</f>
        <v>0.000192045091815402</v>
      </c>
      <c r="V77" s="0" t="n">
        <f aca="false">D77/(AE$4+I77+$T77)</f>
        <v>5.54128525866792E-005</v>
      </c>
      <c r="W77" s="0" t="n">
        <f aca="false">E77/(AF$4+J77+$T77)</f>
        <v>0.000321287650092628</v>
      </c>
      <c r="X77" s="0" t="n">
        <f aca="false">F77/(AG$4+K77+$T77)</f>
        <v>1.73896083092629E-005</v>
      </c>
      <c r="Y77" s="0" t="n">
        <f aca="false">G77/(AH$4+L77+$T77)</f>
        <v>1.07898285802203E-005</v>
      </c>
    </row>
    <row r="78" customFormat="false" ht="15" hidden="false" customHeight="false" outlineLevel="0" collapsed="false">
      <c r="A78" s="0" t="s">
        <v>124</v>
      </c>
      <c r="B78" s="0" t="n">
        <f aca="false">SUMIFS(Sectores!$C:$C,Sectores!$A:$A,$A78)</f>
        <v>2043</v>
      </c>
      <c r="C78" s="0" t="n">
        <f aca="false">SUMIFS(Generacion!$C:$C,Generacion!$A:$A,$A78,Generacion!$B:$B,C$2)</f>
        <v>0.0435338767065874</v>
      </c>
      <c r="D78" s="0" t="n">
        <f aca="false">SUMIFS(Generacion!$C:$C,Generacion!$A:$A,$A78,Generacion!$B:$B,D$2)</f>
        <v>0.0378709333951614</v>
      </c>
      <c r="E78" s="0" t="n">
        <f aca="false">SUMIFS(Generacion!$C:$C,Generacion!$A:$A,$A78,Generacion!$B:$B,E$2)</f>
        <v>0.0134494903646368</v>
      </c>
      <c r="F78" s="0" t="n">
        <f aca="false">SUMIFS(Generacion!$C:$C,Generacion!$A:$A,$A78,Generacion!$B:$B,F$2)</f>
        <v>0.00353933956964125</v>
      </c>
      <c r="G78" s="0" t="n">
        <f aca="false">SUMIFS(Generacion!$C:$C,Generacion!$A:$A,$A78,Generacion!$B:$B,G$2)</f>
        <v>0.00247753769874887</v>
      </c>
      <c r="H78" s="0" t="n">
        <f aca="false">SUMPRODUCT((AtractivoAlternativas!$A$2:$A$931=$A78)*AtractivoAlternativas!$C$2:$C$931*COUNTIFS(Alternativas!$A$2:$A$51,AtractivoAlternativas!$B$2:$B$931,Alternativas!$B$2:$B$51,H$2))</f>
        <v>0</v>
      </c>
      <c r="I78" s="0" t="n">
        <f aca="false">SUMPRODUCT((AtractivoAlternativas!$A$2:$A$931=$A78)*AtractivoAlternativas!$C$2:$C$931*COUNTIFS(Alternativas!$A$2:$A$51,AtractivoAlternativas!$B$2:$B$931,Alternativas!$B$2:$B$51,I$2))</f>
        <v>1.5910695488308</v>
      </c>
      <c r="J78" s="0" t="n">
        <f aca="false">SUMPRODUCT((AtractivoAlternativas!$A$2:$A$931=$A78)*AtractivoAlternativas!$C$2:$C$931*COUNTIFS(Alternativas!$A$2:$A$51,AtractivoAlternativas!$B$2:$B$931,Alternativas!$B$2:$B$51,J$2))</f>
        <v>0</v>
      </c>
      <c r="K78" s="0" t="n">
        <f aca="false">SUMPRODUCT((AtractivoAlternativas!$A$2:$A$931=$A78)*AtractivoAlternativas!$C$2:$C$931*COUNTIFS(Alternativas!$A$2:$A$51,AtractivoAlternativas!$B$2:$B$931,Alternativas!$B$2:$B$51,K$2))</f>
        <v>0</v>
      </c>
      <c r="L78" s="0" t="n">
        <f aca="false">SUMPRODUCT((AtractivoAlternativas!$A$2:$A$931=$A78)*AtractivoAlternativas!$C$2:$C$931*COUNTIFS(Alternativas!$A$2:$A$51,AtractivoAlternativas!$B$2:$B$931,Alternativas!$B$2:$B$51,L$2))</f>
        <v>0</v>
      </c>
      <c r="M78" s="0" t="n">
        <f aca="false">SUMIFS(AtractivoSitios!$C:$C,AtractivoSitios!$A:$A,$A78,AtractivoSitios!$B:$B,M$2)</f>
        <v>0</v>
      </c>
      <c r="N78" s="0" t="n">
        <f aca="false">SUMIFS(AtractivoSitios!$C:$C,AtractivoSitios!$A:$A,$A78,AtractivoSitios!$B:$B,N$2)</f>
        <v>0.708348699587786</v>
      </c>
      <c r="O78" s="0" t="n">
        <f aca="false">SUMIFS(AtractivoSitios!$C:$C,AtractivoSitios!$A:$A,$A78,AtractivoSitios!$B:$B,O$2)</f>
        <v>0</v>
      </c>
      <c r="P78" s="0" t="n">
        <f aca="false">SUMIFS(AtractivoSitios!$C:$C,AtractivoSitios!$A:$A,$A78,AtractivoSitios!$B:$B,P$2)</f>
        <v>0</v>
      </c>
      <c r="Q78" s="0" t="n">
        <f aca="false">SUMIFS(AtractivoSitios!$C:$C,AtractivoSitios!$A:$A,$A78,AtractivoSitios!$B:$B,Q$2)</f>
        <v>0.433816033942688</v>
      </c>
      <c r="R78" s="0" t="n">
        <f aca="false">SUMIFS(AtractivoSitios!$C:$C,AtractivoSitios!$A:$A,$A78,AtractivoSitios!$B:$B,R$2)</f>
        <v>0</v>
      </c>
      <c r="S78" s="0" t="n">
        <f aca="false">SUMIFS(AtractivoSitios!$C:$C,AtractivoSitios!$A:$A,$A78,AtractivoSitios!$B:$B,S$2)</f>
        <v>0</v>
      </c>
      <c r="T78" s="0" t="n">
        <f aca="false">SUM(M78:S78)</f>
        <v>1.14216473353047</v>
      </c>
      <c r="U78" s="0" t="n">
        <f aca="false">C78/(AD$4+H78+$T78)</f>
        <v>0.000192189996701059</v>
      </c>
      <c r="V78" s="0" t="n">
        <f aca="false">D78/(AE$4+I78+$T78)</f>
        <v>5.54865129336095E-005</v>
      </c>
      <c r="W78" s="0" t="n">
        <f aca="false">E78/(AF$4+J78+$T78)</f>
        <v>0.000319653543849312</v>
      </c>
      <c r="X78" s="0" t="n">
        <f aca="false">F78/(AG$4+K78+$T78)</f>
        <v>1.7371343567352E-005</v>
      </c>
      <c r="Y78" s="0" t="n">
        <f aca="false">G78/(AH$4+L78+$T78)</f>
        <v>1.07797820333501E-005</v>
      </c>
    </row>
    <row r="79" customFormat="false" ht="15" hidden="false" customHeight="false" outlineLevel="0" collapsed="false">
      <c r="A79" s="0" t="s">
        <v>125</v>
      </c>
      <c r="B79" s="0" t="n">
        <f aca="false">SUMIFS(Sectores!$C:$C,Sectores!$A:$A,$A79)</f>
        <v>2931</v>
      </c>
      <c r="C79" s="0" t="n">
        <f aca="false">SUMIFS(Generacion!$C:$C,Generacion!$A:$A,$A79,Generacion!$B:$B,C$2)</f>
        <v>0.0435338767065874</v>
      </c>
      <c r="D79" s="0" t="n">
        <f aca="false">SUMIFS(Generacion!$C:$C,Generacion!$A:$A,$A79,Generacion!$B:$B,D$2)</f>
        <v>0.0378709333951614</v>
      </c>
      <c r="E79" s="0" t="n">
        <f aca="false">SUMIFS(Generacion!$C:$C,Generacion!$A:$A,$A79,Generacion!$B:$B,E$2)</f>
        <v>0.0134494903646368</v>
      </c>
      <c r="F79" s="0" t="n">
        <f aca="false">SUMIFS(Generacion!$C:$C,Generacion!$A:$A,$A79,Generacion!$B:$B,F$2)</f>
        <v>0.00353933956964125</v>
      </c>
      <c r="G79" s="0" t="n">
        <f aca="false">SUMIFS(Generacion!$C:$C,Generacion!$A:$A,$A79,Generacion!$B:$B,G$2)</f>
        <v>0.00247753769874887</v>
      </c>
      <c r="H79" s="0" t="n">
        <f aca="false">SUMPRODUCT((AtractivoAlternativas!$A$2:$A$931=$A79)*AtractivoAlternativas!$C$2:$C$931*COUNTIFS(Alternativas!$A$2:$A$51,AtractivoAlternativas!$B$2:$B$931,Alternativas!$B$2:$B$51,H$2))</f>
        <v>0.666257657533177</v>
      </c>
      <c r="I79" s="0" t="n">
        <f aca="false">SUMPRODUCT((AtractivoAlternativas!$A$2:$A$931=$A79)*AtractivoAlternativas!$C$2:$C$931*COUNTIFS(Alternativas!$A$2:$A$51,AtractivoAlternativas!$B$2:$B$931,Alternativas!$B$2:$B$51,I$2))</f>
        <v>3.73389715491093</v>
      </c>
      <c r="J79" s="0" t="n">
        <f aca="false">SUMPRODUCT((AtractivoAlternativas!$A$2:$A$931=$A79)*AtractivoAlternativas!$C$2:$C$931*COUNTIFS(Alternativas!$A$2:$A$51,AtractivoAlternativas!$B$2:$B$931,Alternativas!$B$2:$B$51,J$2))</f>
        <v>0</v>
      </c>
      <c r="K79" s="0" t="n">
        <f aca="false">SUMPRODUCT((AtractivoAlternativas!$A$2:$A$931=$A79)*AtractivoAlternativas!$C$2:$C$931*COUNTIFS(Alternativas!$A$2:$A$51,AtractivoAlternativas!$B$2:$B$931,Alternativas!$B$2:$B$51,K$2))</f>
        <v>0</v>
      </c>
      <c r="L79" s="0" t="n">
        <f aca="false">SUMPRODUCT((AtractivoAlternativas!$A$2:$A$931=$A79)*AtractivoAlternativas!$C$2:$C$931*COUNTIFS(Alternativas!$A$2:$A$51,AtractivoAlternativas!$B$2:$B$931,Alternativas!$B$2:$B$51,L$2))</f>
        <v>0</v>
      </c>
      <c r="M79" s="0" t="n">
        <f aca="false">SUMIFS(AtractivoSitios!$C:$C,AtractivoSitios!$A:$A,$A79,AtractivoSitios!$B:$B,M$2)</f>
        <v>0</v>
      </c>
      <c r="N79" s="0" t="n">
        <f aca="false">SUMIFS(AtractivoSitios!$C:$C,AtractivoSitios!$A:$A,$A79,AtractivoSitios!$B:$B,N$2)</f>
        <v>0</v>
      </c>
      <c r="O79" s="0" t="n">
        <f aca="false">SUMIFS(AtractivoSitios!$C:$C,AtractivoSitios!$A:$A,$A79,AtractivoSitios!$B:$B,O$2)</f>
        <v>0</v>
      </c>
      <c r="P79" s="0" t="n">
        <f aca="false">SUMIFS(AtractivoSitios!$C:$C,AtractivoSitios!$A:$A,$A79,AtractivoSitios!$B:$B,P$2)</f>
        <v>0</v>
      </c>
      <c r="Q79" s="0" t="n">
        <f aca="false">SUMIFS(AtractivoSitios!$C:$C,AtractivoSitios!$A:$A,$A79,AtractivoSitios!$B:$B,Q$2)</f>
        <v>0</v>
      </c>
      <c r="R79" s="0" t="n">
        <f aca="false">SUMIFS(AtractivoSitios!$C:$C,AtractivoSitios!$A:$A,$A79,AtractivoSitios!$B:$B,R$2)</f>
        <v>0</v>
      </c>
      <c r="S79" s="0" t="n">
        <f aca="false">SUMIFS(AtractivoSitios!$C:$C,AtractivoSitios!$A:$A,$A79,AtractivoSitios!$B:$B,S$2)</f>
        <v>0</v>
      </c>
      <c r="T79" s="0" t="n">
        <f aca="false">SUM(M79:S79)</f>
        <v>0</v>
      </c>
      <c r="U79" s="0" t="n">
        <f aca="false">C79/(AD$4+H79+$T79)</f>
        <v>0.000192594637611769</v>
      </c>
      <c r="V79" s="0" t="n">
        <f aca="false">D79/(AE$4+I79+$T79)</f>
        <v>5.54052821989865E-005</v>
      </c>
      <c r="W79" s="0" t="n">
        <f aca="false">E79/(AF$4+J79+$T79)</f>
        <v>0.00032857291429328</v>
      </c>
      <c r="X79" s="0" t="n">
        <f aca="false">F79/(AG$4+K79+$T79)</f>
        <v>1.74692733442245E-005</v>
      </c>
      <c r="Y79" s="0" t="n">
        <f aca="false">G79/(AH$4+L79+$T79)</f>
        <v>1.08336204240265E-005</v>
      </c>
    </row>
    <row r="80" customFormat="false" ht="15" hidden="false" customHeight="false" outlineLevel="0" collapsed="false">
      <c r="A80" s="0" t="s">
        <v>126</v>
      </c>
      <c r="B80" s="0" t="n">
        <f aca="false">SUMIFS(Sectores!$C:$C,Sectores!$A:$A,$A80)</f>
        <v>2771</v>
      </c>
      <c r="C80" s="0" t="n">
        <f aca="false">SUMIFS(Generacion!$C:$C,Generacion!$A:$A,$A80,Generacion!$B:$B,C$2)</f>
        <v>0.0435338767065874</v>
      </c>
      <c r="D80" s="0" t="n">
        <f aca="false">SUMIFS(Generacion!$C:$C,Generacion!$A:$A,$A80,Generacion!$B:$B,D$2)</f>
        <v>0.0378709333951614</v>
      </c>
      <c r="E80" s="0" t="n">
        <f aca="false">SUMIFS(Generacion!$C:$C,Generacion!$A:$A,$A80,Generacion!$B:$B,E$2)</f>
        <v>0.0134494903646368</v>
      </c>
      <c r="F80" s="0" t="n">
        <f aca="false">SUMIFS(Generacion!$C:$C,Generacion!$A:$A,$A80,Generacion!$B:$B,F$2)</f>
        <v>0.00353933956964125</v>
      </c>
      <c r="G80" s="0" t="n">
        <f aca="false">SUMIFS(Generacion!$C:$C,Generacion!$A:$A,$A80,Generacion!$B:$B,G$2)</f>
        <v>0.00247753769874887</v>
      </c>
      <c r="H80" s="0" t="n">
        <f aca="false">SUMPRODUCT((AtractivoAlternativas!$A$2:$A$931=$A80)*AtractivoAlternativas!$C$2:$C$931*COUNTIFS(Alternativas!$A$2:$A$51,AtractivoAlternativas!$B$2:$B$931,Alternativas!$B$2:$B$51,H$2))</f>
        <v>0.513337982476114</v>
      </c>
      <c r="I80" s="0" t="n">
        <f aca="false">SUMPRODUCT((AtractivoAlternativas!$A$2:$A$931=$A80)*AtractivoAlternativas!$C$2:$C$931*COUNTIFS(Alternativas!$A$2:$A$51,AtractivoAlternativas!$B$2:$B$931,Alternativas!$B$2:$B$51,I$2))</f>
        <v>2.91231924681641</v>
      </c>
      <c r="J80" s="0" t="n">
        <f aca="false">SUMPRODUCT((AtractivoAlternativas!$A$2:$A$931=$A80)*AtractivoAlternativas!$C$2:$C$931*COUNTIFS(Alternativas!$A$2:$A$51,AtractivoAlternativas!$B$2:$B$931,Alternativas!$B$2:$B$51,J$2))</f>
        <v>0</v>
      </c>
      <c r="K80" s="0" t="n">
        <f aca="false">SUMPRODUCT((AtractivoAlternativas!$A$2:$A$931=$A80)*AtractivoAlternativas!$C$2:$C$931*COUNTIFS(Alternativas!$A$2:$A$51,AtractivoAlternativas!$B$2:$B$931,Alternativas!$B$2:$B$51,K$2))</f>
        <v>0</v>
      </c>
      <c r="L80" s="0" t="n">
        <f aca="false">SUMPRODUCT((AtractivoAlternativas!$A$2:$A$931=$A80)*AtractivoAlternativas!$C$2:$C$931*COUNTIFS(Alternativas!$A$2:$A$51,AtractivoAlternativas!$B$2:$B$931,Alternativas!$B$2:$B$51,L$2))</f>
        <v>0</v>
      </c>
      <c r="M80" s="0" t="n">
        <f aca="false">SUMIFS(AtractivoSitios!$C:$C,AtractivoSitios!$A:$A,$A80,AtractivoSitios!$B:$B,M$2)</f>
        <v>0</v>
      </c>
      <c r="N80" s="0" t="n">
        <f aca="false">SUMIFS(AtractivoSitios!$C:$C,AtractivoSitios!$A:$A,$A80,AtractivoSitios!$B:$B,N$2)</f>
        <v>0.412504432179014</v>
      </c>
      <c r="O80" s="0" t="n">
        <f aca="false">SUMIFS(AtractivoSitios!$C:$C,AtractivoSitios!$A:$A,$A80,AtractivoSitios!$B:$B,O$2)</f>
        <v>0</v>
      </c>
      <c r="P80" s="0" t="n">
        <f aca="false">SUMIFS(AtractivoSitios!$C:$C,AtractivoSitios!$A:$A,$A80,AtractivoSitios!$B:$B,P$2)</f>
        <v>0</v>
      </c>
      <c r="Q80" s="0" t="n">
        <f aca="false">SUMIFS(AtractivoSitios!$C:$C,AtractivoSitios!$A:$A,$A80,AtractivoSitios!$B:$B,Q$2)</f>
        <v>0</v>
      </c>
      <c r="R80" s="0" t="n">
        <f aca="false">SUMIFS(AtractivoSitios!$C:$C,AtractivoSitios!$A:$A,$A80,AtractivoSitios!$B:$B,R$2)</f>
        <v>0</v>
      </c>
      <c r="S80" s="0" t="n">
        <f aca="false">SUMIFS(AtractivoSitios!$C:$C,AtractivoSitios!$A:$A,$A80,AtractivoSitios!$B:$B,S$2)</f>
        <v>0</v>
      </c>
      <c r="T80" s="0" t="n">
        <f aca="false">SUM(M80:S80)</f>
        <v>0.412504432179014</v>
      </c>
      <c r="U80" s="0" t="n">
        <f aca="false">C80/(AD$4+H80+$T80)</f>
        <v>0.000192373714188021</v>
      </c>
      <c r="V80" s="0" t="n">
        <f aca="false">D80/(AE$4+I80+$T80)</f>
        <v>5.54384607676735E-005</v>
      </c>
      <c r="W80" s="0" t="n">
        <f aca="false">E80/(AF$4+J80+$T80)</f>
        <v>0.00032529474335272</v>
      </c>
      <c r="X80" s="0" t="n">
        <f aca="false">F80/(AG$4+K80+$T80)</f>
        <v>1.74337778901099E-005</v>
      </c>
      <c r="Y80" s="0" t="n">
        <f aca="false">G80/(AH$4+L80+$T80)</f>
        <v>1.08141142131498E-005</v>
      </c>
    </row>
    <row r="81" customFormat="false" ht="15" hidden="false" customHeight="false" outlineLevel="0" collapsed="false">
      <c r="A81" s="0" t="s">
        <v>127</v>
      </c>
      <c r="B81" s="0" t="n">
        <f aca="false">SUMIFS(Sectores!$C:$C,Sectores!$A:$A,$A81)</f>
        <v>3714</v>
      </c>
      <c r="C81" s="0" t="n">
        <f aca="false">SUMIFS(Generacion!$C:$C,Generacion!$A:$A,$A81,Generacion!$B:$B,C$2)</f>
        <v>0.0435338767065874</v>
      </c>
      <c r="D81" s="0" t="n">
        <f aca="false">SUMIFS(Generacion!$C:$C,Generacion!$A:$A,$A81,Generacion!$B:$B,D$2)</f>
        <v>0.0378709333951614</v>
      </c>
      <c r="E81" s="0" t="n">
        <f aca="false">SUMIFS(Generacion!$C:$C,Generacion!$A:$A,$A81,Generacion!$B:$B,E$2)</f>
        <v>0.0134494903646368</v>
      </c>
      <c r="F81" s="0" t="n">
        <f aca="false">SUMIFS(Generacion!$C:$C,Generacion!$A:$A,$A81,Generacion!$B:$B,F$2)</f>
        <v>0.00353933956964125</v>
      </c>
      <c r="G81" s="0" t="n">
        <f aca="false">SUMIFS(Generacion!$C:$C,Generacion!$A:$A,$A81,Generacion!$B:$B,G$2)</f>
        <v>0.00247753769874887</v>
      </c>
      <c r="H81" s="0" t="n">
        <f aca="false">SUMPRODUCT((AtractivoAlternativas!$A$2:$A$931=$A81)*AtractivoAlternativas!$C$2:$C$931*COUNTIFS(Alternativas!$A$2:$A$51,AtractivoAlternativas!$B$2:$B$931,Alternativas!$B$2:$B$51,H$2))</f>
        <v>0.502112876844351</v>
      </c>
      <c r="I81" s="0" t="n">
        <f aca="false">SUMPRODUCT((AtractivoAlternativas!$A$2:$A$931=$A81)*AtractivoAlternativas!$C$2:$C$931*COUNTIFS(Alternativas!$A$2:$A$51,AtractivoAlternativas!$B$2:$B$931,Alternativas!$B$2:$B$51,I$2))</f>
        <v>3.64389720481573</v>
      </c>
      <c r="J81" s="0" t="n">
        <f aca="false">SUMPRODUCT((AtractivoAlternativas!$A$2:$A$931=$A81)*AtractivoAlternativas!$C$2:$C$931*COUNTIFS(Alternativas!$A$2:$A$51,AtractivoAlternativas!$B$2:$B$931,Alternativas!$B$2:$B$51,J$2))</f>
        <v>0</v>
      </c>
      <c r="K81" s="0" t="n">
        <f aca="false">SUMPRODUCT((AtractivoAlternativas!$A$2:$A$931=$A81)*AtractivoAlternativas!$C$2:$C$931*COUNTIFS(Alternativas!$A$2:$A$51,AtractivoAlternativas!$B$2:$B$931,Alternativas!$B$2:$B$51,K$2))</f>
        <v>0</v>
      </c>
      <c r="L81" s="0" t="n">
        <f aca="false">SUMPRODUCT((AtractivoAlternativas!$A$2:$A$931=$A81)*AtractivoAlternativas!$C$2:$C$931*COUNTIFS(Alternativas!$A$2:$A$51,AtractivoAlternativas!$B$2:$B$931,Alternativas!$B$2:$B$51,L$2))</f>
        <v>0</v>
      </c>
      <c r="M81" s="0" t="n">
        <f aca="false">SUMIFS(AtractivoSitios!$C:$C,AtractivoSitios!$A:$A,$A81,AtractivoSitios!$B:$B,M$2)</f>
        <v>0</v>
      </c>
      <c r="N81" s="0" t="n">
        <f aca="false">SUMIFS(AtractivoSitios!$C:$C,AtractivoSitios!$A:$A,$A81,AtractivoSitios!$B:$B,N$2)</f>
        <v>0.375291951312823</v>
      </c>
      <c r="O81" s="0" t="n">
        <f aca="false">SUMIFS(AtractivoSitios!$C:$C,AtractivoSitios!$A:$A,$A81,AtractivoSitios!$B:$B,O$2)</f>
        <v>0</v>
      </c>
      <c r="P81" s="0" t="n">
        <f aca="false">SUMIFS(AtractivoSitios!$C:$C,AtractivoSitios!$A:$A,$A81,AtractivoSitios!$B:$B,P$2)</f>
        <v>0</v>
      </c>
      <c r="Q81" s="0" t="n">
        <f aca="false">SUMIFS(AtractivoSitios!$C:$C,AtractivoSitios!$A:$A,$A81,AtractivoSitios!$B:$B,Q$2)</f>
        <v>0</v>
      </c>
      <c r="R81" s="0" t="n">
        <f aca="false">SUMIFS(AtractivoSitios!$C:$C,AtractivoSitios!$A:$A,$A81,AtractivoSitios!$B:$B,R$2)</f>
        <v>0</v>
      </c>
      <c r="S81" s="0" t="n">
        <f aca="false">SUMIFS(AtractivoSitios!$C:$C,AtractivoSitios!$A:$A,$A81,AtractivoSitios!$B:$B,S$2)</f>
        <v>0</v>
      </c>
      <c r="T81" s="0" t="n">
        <f aca="false">SUM(M81:S81)</f>
        <v>0.375291951312823</v>
      </c>
      <c r="U81" s="0" t="n">
        <f aca="false">C81/(AD$4+H81+$T81)</f>
        <v>0.000192414899236371</v>
      </c>
      <c r="V81" s="0" t="n">
        <f aca="false">D81/(AE$4+I81+$T81)</f>
        <v>5.53821666240711E-005</v>
      </c>
      <c r="W81" s="0" t="n">
        <f aca="false">E81/(AF$4+J81+$T81)</f>
        <v>0.000325587784052973</v>
      </c>
      <c r="X81" s="0" t="n">
        <f aca="false">F81/(AG$4+K81+$T81)</f>
        <v>1.74369740538694E-005</v>
      </c>
      <c r="Y81" s="0" t="n">
        <f aca="false">G81/(AH$4+L81+$T81)</f>
        <v>1.08158710070061E-005</v>
      </c>
    </row>
    <row r="82" customFormat="false" ht="15" hidden="false" customHeight="false" outlineLevel="0" collapsed="false">
      <c r="A82" s="0" t="s">
        <v>128</v>
      </c>
      <c r="B82" s="0" t="n">
        <f aca="false">SUMIFS(Sectores!$C:$C,Sectores!$A:$A,$A82)</f>
        <v>2125</v>
      </c>
      <c r="C82" s="0" t="n">
        <f aca="false">SUMIFS(Generacion!$C:$C,Generacion!$A:$A,$A82,Generacion!$B:$B,C$2)</f>
        <v>0.0435338767065874</v>
      </c>
      <c r="D82" s="0" t="n">
        <f aca="false">SUMIFS(Generacion!$C:$C,Generacion!$A:$A,$A82,Generacion!$B:$B,D$2)</f>
        <v>0.0378709333951614</v>
      </c>
      <c r="E82" s="0" t="n">
        <f aca="false">SUMIFS(Generacion!$C:$C,Generacion!$A:$A,$A82,Generacion!$B:$B,E$2)</f>
        <v>0.0134494903646368</v>
      </c>
      <c r="F82" s="0" t="n">
        <f aca="false">SUMIFS(Generacion!$C:$C,Generacion!$A:$A,$A82,Generacion!$B:$B,F$2)</f>
        <v>0.00353933956964125</v>
      </c>
      <c r="G82" s="0" t="n">
        <f aca="false">SUMIFS(Generacion!$C:$C,Generacion!$A:$A,$A82,Generacion!$B:$B,G$2)</f>
        <v>0.00247753769874887</v>
      </c>
      <c r="H82" s="0" t="n">
        <f aca="false">SUMPRODUCT((AtractivoAlternativas!$A$2:$A$931=$A82)*AtractivoAlternativas!$C$2:$C$931*COUNTIFS(Alternativas!$A$2:$A$51,AtractivoAlternativas!$B$2:$B$931,Alternativas!$B$2:$B$51,H$2))</f>
        <v>0.534993971614529</v>
      </c>
      <c r="I82" s="0" t="n">
        <f aca="false">SUMPRODUCT((AtractivoAlternativas!$A$2:$A$931=$A82)*AtractivoAlternativas!$C$2:$C$931*COUNTIFS(Alternativas!$A$2:$A$51,AtractivoAlternativas!$B$2:$B$931,Alternativas!$B$2:$B$51,I$2))</f>
        <v>3.53063143650977</v>
      </c>
      <c r="J82" s="0" t="n">
        <f aca="false">SUMPRODUCT((AtractivoAlternativas!$A$2:$A$931=$A82)*AtractivoAlternativas!$C$2:$C$931*COUNTIFS(Alternativas!$A$2:$A$51,AtractivoAlternativas!$B$2:$B$931,Alternativas!$B$2:$B$51,J$2))</f>
        <v>0</v>
      </c>
      <c r="K82" s="0" t="n">
        <f aca="false">SUMPRODUCT((AtractivoAlternativas!$A$2:$A$931=$A82)*AtractivoAlternativas!$C$2:$C$931*COUNTIFS(Alternativas!$A$2:$A$51,AtractivoAlternativas!$B$2:$B$931,Alternativas!$B$2:$B$51,K$2))</f>
        <v>0</v>
      </c>
      <c r="L82" s="0" t="n">
        <f aca="false">SUMPRODUCT((AtractivoAlternativas!$A$2:$A$931=$A82)*AtractivoAlternativas!$C$2:$C$931*COUNTIFS(Alternativas!$A$2:$A$51,AtractivoAlternativas!$B$2:$B$931,Alternativas!$B$2:$B$51,L$2))</f>
        <v>0</v>
      </c>
      <c r="M82" s="0" t="n">
        <f aca="false">SUMIFS(AtractivoSitios!$C:$C,AtractivoSitios!$A:$A,$A82,AtractivoSitios!$B:$B,M$2)</f>
        <v>0</v>
      </c>
      <c r="N82" s="0" t="n">
        <f aca="false">SUMIFS(AtractivoSitios!$C:$C,AtractivoSitios!$A:$A,$A82,AtractivoSitios!$B:$B,N$2)</f>
        <v>0.385377115042866</v>
      </c>
      <c r="O82" s="0" t="n">
        <f aca="false">SUMIFS(AtractivoSitios!$C:$C,AtractivoSitios!$A:$A,$A82,AtractivoSitios!$B:$B,O$2)</f>
        <v>0</v>
      </c>
      <c r="P82" s="0" t="n">
        <f aca="false">SUMIFS(AtractivoSitios!$C:$C,AtractivoSitios!$A:$A,$A82,AtractivoSitios!$B:$B,P$2)</f>
        <v>0</v>
      </c>
      <c r="Q82" s="0" t="n">
        <f aca="false">SUMIFS(AtractivoSitios!$C:$C,AtractivoSitios!$A:$A,$A82,AtractivoSitios!$B:$B,Q$2)</f>
        <v>0</v>
      </c>
      <c r="R82" s="0" t="n">
        <f aca="false">SUMIFS(AtractivoSitios!$C:$C,AtractivoSitios!$A:$A,$A82,AtractivoSitios!$B:$B,R$2)</f>
        <v>0</v>
      </c>
      <c r="S82" s="0" t="n">
        <f aca="false">SUMIFS(AtractivoSitios!$C:$C,AtractivoSitios!$A:$A,$A82,AtractivoSitios!$B:$B,S$2)</f>
        <v>0</v>
      </c>
      <c r="T82" s="0" t="n">
        <f aca="false">SUM(M82:S82)</f>
        <v>0.385377115042866</v>
      </c>
      <c r="U82" s="0" t="n">
        <f aca="false">C82/(AD$4+H82+$T82)</f>
        <v>0.00019237836541323</v>
      </c>
      <c r="V82" s="0" t="n">
        <f aca="false">D82/(AE$4+I82+$T82)</f>
        <v>5.53905245300012E-005</v>
      </c>
      <c r="W82" s="0" t="n">
        <f aca="false">E82/(AF$4+J82+$T82)</f>
        <v>0.000325508313302955</v>
      </c>
      <c r="X82" s="0" t="n">
        <f aca="false">F82/(AG$4+K82+$T82)</f>
        <v>1.74361077277933E-005</v>
      </c>
      <c r="Y82" s="0" t="n">
        <f aca="false">G82/(AH$4+L82+$T82)</f>
        <v>1.081539483204E-005</v>
      </c>
    </row>
    <row r="83" customFormat="false" ht="15" hidden="false" customHeight="false" outlineLevel="0" collapsed="false">
      <c r="A83" s="0" t="s">
        <v>129</v>
      </c>
      <c r="B83" s="0" t="n">
        <f aca="false">SUMIFS(Sectores!$C:$C,Sectores!$A:$A,$A83)</f>
        <v>2961</v>
      </c>
      <c r="C83" s="0" t="n">
        <f aca="false">SUMIFS(Generacion!$C:$C,Generacion!$A:$A,$A83,Generacion!$B:$B,C$2)</f>
        <v>0.0435338767065874</v>
      </c>
      <c r="D83" s="0" t="n">
        <f aca="false">SUMIFS(Generacion!$C:$C,Generacion!$A:$A,$A83,Generacion!$B:$B,D$2)</f>
        <v>0.0378709333951614</v>
      </c>
      <c r="E83" s="0" t="n">
        <f aca="false">SUMIFS(Generacion!$C:$C,Generacion!$A:$A,$A83,Generacion!$B:$B,E$2)</f>
        <v>0.0134494903646368</v>
      </c>
      <c r="F83" s="0" t="n">
        <f aca="false">SUMIFS(Generacion!$C:$C,Generacion!$A:$A,$A83,Generacion!$B:$B,F$2)</f>
        <v>0.00353933956964125</v>
      </c>
      <c r="G83" s="0" t="n">
        <f aca="false">SUMIFS(Generacion!$C:$C,Generacion!$A:$A,$A83,Generacion!$B:$B,G$2)</f>
        <v>0.00247753769874887</v>
      </c>
      <c r="H83" s="0" t="n">
        <f aca="false">SUMPRODUCT((AtractivoAlternativas!$A$2:$A$931=$A83)*AtractivoAlternativas!$C$2:$C$931*COUNTIFS(Alternativas!$A$2:$A$51,AtractivoAlternativas!$B$2:$B$931,Alternativas!$B$2:$B$51,H$2))</f>
        <v>0.653635231902603</v>
      </c>
      <c r="I83" s="0" t="n">
        <f aca="false">SUMPRODUCT((AtractivoAlternativas!$A$2:$A$931=$A83)*AtractivoAlternativas!$C$2:$C$931*COUNTIFS(Alternativas!$A$2:$A$51,AtractivoAlternativas!$B$2:$B$931,Alternativas!$B$2:$B$51,I$2))</f>
        <v>3.23695714759896</v>
      </c>
      <c r="J83" s="0" t="n">
        <f aca="false">SUMPRODUCT((AtractivoAlternativas!$A$2:$A$931=$A83)*AtractivoAlternativas!$C$2:$C$931*COUNTIFS(Alternativas!$A$2:$A$51,AtractivoAlternativas!$B$2:$B$931,Alternativas!$B$2:$B$51,J$2))</f>
        <v>0</v>
      </c>
      <c r="K83" s="0" t="n">
        <f aca="false">SUMPRODUCT((AtractivoAlternativas!$A$2:$A$931=$A83)*AtractivoAlternativas!$C$2:$C$931*COUNTIFS(Alternativas!$A$2:$A$51,AtractivoAlternativas!$B$2:$B$931,Alternativas!$B$2:$B$51,K$2))</f>
        <v>0</v>
      </c>
      <c r="L83" s="0" t="n">
        <f aca="false">SUMPRODUCT((AtractivoAlternativas!$A$2:$A$931=$A83)*AtractivoAlternativas!$C$2:$C$931*COUNTIFS(Alternativas!$A$2:$A$51,AtractivoAlternativas!$B$2:$B$931,Alternativas!$B$2:$B$51,L$2))</f>
        <v>0</v>
      </c>
      <c r="M83" s="0" t="n">
        <f aca="false">SUMIFS(AtractivoSitios!$C:$C,AtractivoSitios!$A:$A,$A83,AtractivoSitios!$B:$B,M$2)</f>
        <v>0</v>
      </c>
      <c r="N83" s="0" t="n">
        <f aca="false">SUMIFS(AtractivoSitios!$C:$C,AtractivoSitios!$A:$A,$A83,AtractivoSitios!$B:$B,N$2)</f>
        <v>0</v>
      </c>
      <c r="O83" s="0" t="n">
        <f aca="false">SUMIFS(AtractivoSitios!$C:$C,AtractivoSitios!$A:$A,$A83,AtractivoSitios!$B:$B,O$2)</f>
        <v>0</v>
      </c>
      <c r="P83" s="0" t="n">
        <f aca="false">SUMIFS(AtractivoSitios!$C:$C,AtractivoSitios!$A:$A,$A83,AtractivoSitios!$B:$B,P$2)</f>
        <v>0</v>
      </c>
      <c r="Q83" s="0" t="n">
        <f aca="false">SUMIFS(AtractivoSitios!$C:$C,AtractivoSitios!$A:$A,$A83,AtractivoSitios!$B:$B,Q$2)</f>
        <v>0</v>
      </c>
      <c r="R83" s="0" t="n">
        <f aca="false">SUMIFS(AtractivoSitios!$C:$C,AtractivoSitios!$A:$A,$A83,AtractivoSitios!$B:$B,R$2)</f>
        <v>0</v>
      </c>
      <c r="S83" s="0" t="n">
        <f aca="false">SUMIFS(AtractivoSitios!$C:$C,AtractivoSitios!$A:$A,$A83,AtractivoSitios!$B:$B,S$2)</f>
        <v>0</v>
      </c>
      <c r="T83" s="0" t="n">
        <f aca="false">SUM(M83:S83)</f>
        <v>0</v>
      </c>
      <c r="U83" s="0" t="n">
        <f aca="false">C83/(AD$4+H83+$T83)</f>
        <v>0.000192605393050039</v>
      </c>
      <c r="V83" s="0" t="n">
        <f aca="false">D83/(AE$4+I83+$T83)</f>
        <v>5.5445592510369E-005</v>
      </c>
      <c r="W83" s="0" t="n">
        <f aca="false">E83/(AF$4+J83+$T83)</f>
        <v>0.00032857291429328</v>
      </c>
      <c r="X83" s="0" t="n">
        <f aca="false">F83/(AG$4+K83+$T83)</f>
        <v>1.74692733442245E-005</v>
      </c>
      <c r="Y83" s="0" t="n">
        <f aca="false">G83/(AH$4+L83+$T83)</f>
        <v>1.08336204240265E-005</v>
      </c>
    </row>
    <row r="84" customFormat="false" ht="15" hidden="false" customHeight="false" outlineLevel="0" collapsed="false">
      <c r="A84" s="0" t="s">
        <v>130</v>
      </c>
      <c r="B84" s="0" t="n">
        <f aca="false">SUMIFS(Sectores!$C:$C,Sectores!$A:$A,$A84)</f>
        <v>4117</v>
      </c>
      <c r="C84" s="0" t="n">
        <f aca="false">SUMIFS(Generacion!$C:$C,Generacion!$A:$A,$A84,Generacion!$B:$B,C$2)</f>
        <v>0.0435338767065874</v>
      </c>
      <c r="D84" s="0" t="n">
        <f aca="false">SUMIFS(Generacion!$C:$C,Generacion!$A:$A,$A84,Generacion!$B:$B,D$2)</f>
        <v>0.0378709333951614</v>
      </c>
      <c r="E84" s="0" t="n">
        <f aca="false">SUMIFS(Generacion!$C:$C,Generacion!$A:$A,$A84,Generacion!$B:$B,E$2)</f>
        <v>0.0134494903646368</v>
      </c>
      <c r="F84" s="0" t="n">
        <f aca="false">SUMIFS(Generacion!$C:$C,Generacion!$A:$A,$A84,Generacion!$B:$B,F$2)</f>
        <v>0.00353933956964125</v>
      </c>
      <c r="G84" s="0" t="n">
        <f aca="false">SUMIFS(Generacion!$C:$C,Generacion!$A:$A,$A84,Generacion!$B:$B,G$2)</f>
        <v>0.00247753769874887</v>
      </c>
      <c r="H84" s="0" t="n">
        <f aca="false">SUMPRODUCT((AtractivoAlternativas!$A$2:$A$931=$A84)*AtractivoAlternativas!$C$2:$C$931*COUNTIFS(Alternativas!$A$2:$A$51,AtractivoAlternativas!$B$2:$B$931,Alternativas!$B$2:$B$51,H$2))</f>
        <v>0</v>
      </c>
      <c r="I84" s="0" t="n">
        <f aca="false">SUMPRODUCT((AtractivoAlternativas!$A$2:$A$931=$A84)*AtractivoAlternativas!$C$2:$C$931*COUNTIFS(Alternativas!$A$2:$A$51,AtractivoAlternativas!$B$2:$B$931,Alternativas!$B$2:$B$51,I$2))</f>
        <v>1.94469118822304</v>
      </c>
      <c r="J84" s="0" t="n">
        <f aca="false">SUMPRODUCT((AtractivoAlternativas!$A$2:$A$931=$A84)*AtractivoAlternativas!$C$2:$C$931*COUNTIFS(Alternativas!$A$2:$A$51,AtractivoAlternativas!$B$2:$B$931,Alternativas!$B$2:$B$51,J$2))</f>
        <v>0</v>
      </c>
      <c r="K84" s="0" t="n">
        <f aca="false">SUMPRODUCT((AtractivoAlternativas!$A$2:$A$931=$A84)*AtractivoAlternativas!$C$2:$C$931*COUNTIFS(Alternativas!$A$2:$A$51,AtractivoAlternativas!$B$2:$B$931,Alternativas!$B$2:$B$51,K$2))</f>
        <v>0</v>
      </c>
      <c r="L84" s="0" t="n">
        <f aca="false">SUMPRODUCT((AtractivoAlternativas!$A$2:$A$931=$A84)*AtractivoAlternativas!$C$2:$C$931*COUNTIFS(Alternativas!$A$2:$A$51,AtractivoAlternativas!$B$2:$B$931,Alternativas!$B$2:$B$51,L$2))</f>
        <v>0</v>
      </c>
      <c r="M84" s="0" t="n">
        <f aca="false">SUMIFS(AtractivoSitios!$C:$C,AtractivoSitios!$A:$A,$A84,AtractivoSitios!$B:$B,M$2)</f>
        <v>0</v>
      </c>
      <c r="N84" s="0" t="n">
        <f aca="false">SUMIFS(AtractivoSitios!$C:$C,AtractivoSitios!$A:$A,$A84,AtractivoSitios!$B:$B,N$2)</f>
        <v>0.633769363916827</v>
      </c>
      <c r="O84" s="0" t="n">
        <f aca="false">SUMIFS(AtractivoSitios!$C:$C,AtractivoSitios!$A:$A,$A84,AtractivoSitios!$B:$B,O$2)</f>
        <v>0</v>
      </c>
      <c r="P84" s="0" t="n">
        <f aca="false">SUMIFS(AtractivoSitios!$C:$C,AtractivoSitios!$A:$A,$A84,AtractivoSitios!$B:$B,P$2)</f>
        <v>0</v>
      </c>
      <c r="Q84" s="0" t="n">
        <f aca="false">SUMIFS(AtractivoSitios!$C:$C,AtractivoSitios!$A:$A,$A84,AtractivoSitios!$B:$B,Q$2)</f>
        <v>0</v>
      </c>
      <c r="R84" s="0" t="n">
        <f aca="false">SUMIFS(AtractivoSitios!$C:$C,AtractivoSitios!$A:$A,$A84,AtractivoSitios!$B:$B,R$2)</f>
        <v>0</v>
      </c>
      <c r="S84" s="0" t="n">
        <f aca="false">SUMIFS(AtractivoSitios!$C:$C,AtractivoSitios!$A:$A,$A84,AtractivoSitios!$B:$B,S$2)</f>
        <v>0</v>
      </c>
      <c r="T84" s="0" t="n">
        <f aca="false">SUM(M84:S84)</f>
        <v>0.633769363916827</v>
      </c>
      <c r="U84" s="0" t="n">
        <f aca="false">C84/(AD$4+H84+$T84)</f>
        <v>0.000192622322983907</v>
      </c>
      <c r="V84" s="0" t="n">
        <f aca="false">D84/(AE$4+I84+$T84)</f>
        <v>5.54990982633779E-005</v>
      </c>
      <c r="W84" s="0" t="n">
        <f aca="false">E84/(AF$4+J84+$T84)</f>
        <v>0.000323563162095785</v>
      </c>
      <c r="X84" s="0" t="n">
        <f aca="false">F84/(AG$4+K84+$T84)</f>
        <v>1.74147977113083E-005</v>
      </c>
      <c r="Y84" s="0" t="n">
        <f aca="false">G84/(AH$4+L84+$T84)</f>
        <v>1.08036801133754E-005</v>
      </c>
    </row>
    <row r="85" customFormat="false" ht="15" hidden="false" customHeight="false" outlineLevel="0" collapsed="false">
      <c r="A85" s="0" t="s">
        <v>131</v>
      </c>
      <c r="B85" s="0" t="n">
        <f aca="false">SUMIFS(Sectores!$C:$C,Sectores!$A:$A,$A85)</f>
        <v>3877</v>
      </c>
      <c r="C85" s="0" t="n">
        <f aca="false">SUMIFS(Generacion!$C:$C,Generacion!$A:$A,$A85,Generacion!$B:$B,C$2)</f>
        <v>0.0435338767065874</v>
      </c>
      <c r="D85" s="0" t="n">
        <f aca="false">SUMIFS(Generacion!$C:$C,Generacion!$A:$A,$A85,Generacion!$B:$B,D$2)</f>
        <v>0.0378709333951614</v>
      </c>
      <c r="E85" s="0" t="n">
        <f aca="false">SUMIFS(Generacion!$C:$C,Generacion!$A:$A,$A85,Generacion!$B:$B,E$2)</f>
        <v>0.0134494903646368</v>
      </c>
      <c r="F85" s="0" t="n">
        <f aca="false">SUMIFS(Generacion!$C:$C,Generacion!$A:$A,$A85,Generacion!$B:$B,F$2)</f>
        <v>0.00353933956964125</v>
      </c>
      <c r="G85" s="0" t="n">
        <f aca="false">SUMIFS(Generacion!$C:$C,Generacion!$A:$A,$A85,Generacion!$B:$B,G$2)</f>
        <v>0.00247753769874887</v>
      </c>
      <c r="H85" s="0" t="n">
        <f aca="false">SUMPRODUCT((AtractivoAlternativas!$A$2:$A$931=$A85)*AtractivoAlternativas!$C$2:$C$931*COUNTIFS(Alternativas!$A$2:$A$51,AtractivoAlternativas!$B$2:$B$931,Alternativas!$B$2:$B$51,H$2))</f>
        <v>0.405191141348328</v>
      </c>
      <c r="I85" s="0" t="n">
        <f aca="false">SUMPRODUCT((AtractivoAlternativas!$A$2:$A$931=$A85)*AtractivoAlternativas!$C$2:$C$931*COUNTIFS(Alternativas!$A$2:$A$51,AtractivoAlternativas!$B$2:$B$931,Alternativas!$B$2:$B$51,I$2))</f>
        <v>2.1155160695477</v>
      </c>
      <c r="J85" s="0" t="n">
        <f aca="false">SUMPRODUCT((AtractivoAlternativas!$A$2:$A$931=$A85)*AtractivoAlternativas!$C$2:$C$931*COUNTIFS(Alternativas!$A$2:$A$51,AtractivoAlternativas!$B$2:$B$931,Alternativas!$B$2:$B$51,J$2))</f>
        <v>0</v>
      </c>
      <c r="K85" s="0" t="n">
        <f aca="false">SUMPRODUCT((AtractivoAlternativas!$A$2:$A$931=$A85)*AtractivoAlternativas!$C$2:$C$931*COUNTIFS(Alternativas!$A$2:$A$51,AtractivoAlternativas!$B$2:$B$931,Alternativas!$B$2:$B$51,K$2))</f>
        <v>0</v>
      </c>
      <c r="L85" s="0" t="n">
        <f aca="false">SUMPRODUCT((AtractivoAlternativas!$A$2:$A$931=$A85)*AtractivoAlternativas!$C$2:$C$931*COUNTIFS(Alternativas!$A$2:$A$51,AtractivoAlternativas!$B$2:$B$931,Alternativas!$B$2:$B$51,L$2))</f>
        <v>0</v>
      </c>
      <c r="M85" s="0" t="n">
        <f aca="false">SUMIFS(AtractivoSitios!$C:$C,AtractivoSitios!$A:$A,$A85,AtractivoSitios!$B:$B,M$2)</f>
        <v>0</v>
      </c>
      <c r="N85" s="0" t="n">
        <f aca="false">SUMIFS(AtractivoSitios!$C:$C,AtractivoSitios!$A:$A,$A85,AtractivoSitios!$B:$B,N$2)</f>
        <v>0.48194200023443</v>
      </c>
      <c r="O85" s="0" t="n">
        <f aca="false">SUMIFS(AtractivoSitios!$C:$C,AtractivoSitios!$A:$A,$A85,AtractivoSitios!$B:$B,O$2)</f>
        <v>0</v>
      </c>
      <c r="P85" s="0" t="n">
        <f aca="false">SUMIFS(AtractivoSitios!$C:$C,AtractivoSitios!$A:$A,$A85,AtractivoSitios!$B:$B,P$2)</f>
        <v>0</v>
      </c>
      <c r="Q85" s="0" t="n">
        <f aca="false">SUMIFS(AtractivoSitios!$C:$C,AtractivoSitios!$A:$A,$A85,AtractivoSitios!$B:$B,Q$2)</f>
        <v>0</v>
      </c>
      <c r="R85" s="0" t="n">
        <f aca="false">SUMIFS(AtractivoSitios!$C:$C,AtractivoSitios!$A:$A,$A85,AtractivoSitios!$B:$B,R$2)</f>
        <v>0</v>
      </c>
      <c r="S85" s="0" t="n">
        <f aca="false">SUMIFS(AtractivoSitios!$C:$C,AtractivoSitios!$A:$A,$A85,AtractivoSitios!$B:$B,S$2)</f>
        <v>0</v>
      </c>
      <c r="T85" s="0" t="n">
        <f aca="false">SUM(M85:S85)</f>
        <v>0.48194200023443</v>
      </c>
      <c r="U85" s="0" t="n">
        <f aca="false">C85/(AD$4+H85+$T85)</f>
        <v>0.000192406626123811</v>
      </c>
      <c r="V85" s="0" t="n">
        <f aca="false">D85/(AE$4+I85+$T85)</f>
        <v>5.54975531846611E-005</v>
      </c>
      <c r="W85" s="0" t="n">
        <f aca="false">E85/(AF$4+J85+$T85)</f>
        <v>0.000324749344773073</v>
      </c>
      <c r="X85" s="0" t="n">
        <f aca="false">F85/(AG$4+K85+$T85)</f>
        <v>1.74278170596232E-005</v>
      </c>
      <c r="Y85" s="0" t="n">
        <f aca="false">G85/(AH$4+L85+$T85)</f>
        <v>1.08108376048568E-005</v>
      </c>
    </row>
    <row r="86" customFormat="false" ht="15" hidden="false" customHeight="false" outlineLevel="0" collapsed="false">
      <c r="A86" s="0" t="s">
        <v>132</v>
      </c>
      <c r="B86" s="0" t="n">
        <f aca="false">SUMIFS(Sectores!$C:$C,Sectores!$A:$A,$A86)</f>
        <v>3710</v>
      </c>
      <c r="C86" s="0" t="n">
        <f aca="false">SUMIFS(Generacion!$C:$C,Generacion!$A:$A,$A86,Generacion!$B:$B,C$2)</f>
        <v>0.0435338767065874</v>
      </c>
      <c r="D86" s="0" t="n">
        <f aca="false">SUMIFS(Generacion!$C:$C,Generacion!$A:$A,$A86,Generacion!$B:$B,D$2)</f>
        <v>0.0378709333951614</v>
      </c>
      <c r="E86" s="0" t="n">
        <f aca="false">SUMIFS(Generacion!$C:$C,Generacion!$A:$A,$A86,Generacion!$B:$B,E$2)</f>
        <v>0.0134494903646368</v>
      </c>
      <c r="F86" s="0" t="n">
        <f aca="false">SUMIFS(Generacion!$C:$C,Generacion!$A:$A,$A86,Generacion!$B:$B,F$2)</f>
        <v>0.00353933956964125</v>
      </c>
      <c r="G86" s="0" t="n">
        <f aca="false">SUMIFS(Generacion!$C:$C,Generacion!$A:$A,$A86,Generacion!$B:$B,G$2)</f>
        <v>0.00247753769874887</v>
      </c>
      <c r="H86" s="0" t="n">
        <f aca="false">SUMPRODUCT((AtractivoAlternativas!$A$2:$A$931=$A86)*AtractivoAlternativas!$C$2:$C$931*COUNTIFS(Alternativas!$A$2:$A$51,AtractivoAlternativas!$B$2:$B$931,Alternativas!$B$2:$B$51,H$2))</f>
        <v>0.52725123344537</v>
      </c>
      <c r="I86" s="0" t="n">
        <f aca="false">SUMPRODUCT((AtractivoAlternativas!$A$2:$A$931=$A86)*AtractivoAlternativas!$C$2:$C$931*COUNTIFS(Alternativas!$A$2:$A$51,AtractivoAlternativas!$B$2:$B$931,Alternativas!$B$2:$B$51,I$2))</f>
        <v>2.70230696093412</v>
      </c>
      <c r="J86" s="0" t="n">
        <f aca="false">SUMPRODUCT((AtractivoAlternativas!$A$2:$A$931=$A86)*AtractivoAlternativas!$C$2:$C$931*COUNTIFS(Alternativas!$A$2:$A$51,AtractivoAlternativas!$B$2:$B$931,Alternativas!$B$2:$B$51,J$2))</f>
        <v>0</v>
      </c>
      <c r="K86" s="0" t="n">
        <f aca="false">SUMPRODUCT((AtractivoAlternativas!$A$2:$A$931=$A86)*AtractivoAlternativas!$C$2:$C$931*COUNTIFS(Alternativas!$A$2:$A$51,AtractivoAlternativas!$B$2:$B$931,Alternativas!$B$2:$B$51,K$2))</f>
        <v>0</v>
      </c>
      <c r="L86" s="0" t="n">
        <f aca="false">SUMPRODUCT((AtractivoAlternativas!$A$2:$A$931=$A86)*AtractivoAlternativas!$C$2:$C$931*COUNTIFS(Alternativas!$A$2:$A$51,AtractivoAlternativas!$B$2:$B$931,Alternativas!$B$2:$B$51,L$2))</f>
        <v>0</v>
      </c>
      <c r="M86" s="0" t="n">
        <f aca="false">SUMIFS(AtractivoSitios!$C:$C,AtractivoSitios!$A:$A,$A86,AtractivoSitios!$B:$B,M$2)</f>
        <v>0</v>
      </c>
      <c r="N86" s="0" t="n">
        <f aca="false">SUMIFS(AtractivoSitios!$C:$C,AtractivoSitios!$A:$A,$A86,AtractivoSitios!$B:$B,N$2)</f>
        <v>0.380904256148134</v>
      </c>
      <c r="O86" s="0" t="n">
        <f aca="false">SUMIFS(AtractivoSitios!$C:$C,AtractivoSitios!$A:$A,$A86,AtractivoSitios!$B:$B,O$2)</f>
        <v>0</v>
      </c>
      <c r="P86" s="0" t="n">
        <f aca="false">SUMIFS(AtractivoSitios!$C:$C,AtractivoSitios!$A:$A,$A86,AtractivoSitios!$B:$B,P$2)</f>
        <v>0</v>
      </c>
      <c r="Q86" s="0" t="n">
        <f aca="false">SUMIFS(AtractivoSitios!$C:$C,AtractivoSitios!$A:$A,$A86,AtractivoSitios!$B:$B,Q$2)</f>
        <v>0</v>
      </c>
      <c r="R86" s="0" t="n">
        <f aca="false">SUMIFS(AtractivoSitios!$C:$C,AtractivoSitios!$A:$A,$A86,AtractivoSitios!$B:$B,R$2)</f>
        <v>0</v>
      </c>
      <c r="S86" s="0" t="n">
        <f aca="false">SUMIFS(AtractivoSitios!$C:$C,AtractivoSitios!$A:$A,$A86,AtractivoSitios!$B:$B,S$2)</f>
        <v>0</v>
      </c>
      <c r="T86" s="0" t="n">
        <f aca="false">SUM(M86:S86)</f>
        <v>0.380904256148134</v>
      </c>
      <c r="U86" s="0" t="n">
        <f aca="false">C86/(AD$4+H86+$T86)</f>
        <v>0.000192388750814013</v>
      </c>
      <c r="V86" s="0" t="n">
        <f aca="false">D86/(AE$4+I86+$T86)</f>
        <v>5.54580758114733E-005</v>
      </c>
      <c r="W86" s="0" t="n">
        <f aca="false">E86/(AF$4+J86+$T86)</f>
        <v>0.000325543554492176</v>
      </c>
      <c r="X86" s="0" t="n">
        <f aca="false">F86/(AG$4+K86+$T86)</f>
        <v>1.74364919404111E-005</v>
      </c>
      <c r="Y86" s="0" t="n">
        <f aca="false">G86/(AH$4+L86+$T86)</f>
        <v>1.08156060146551E-005</v>
      </c>
    </row>
    <row r="87" customFormat="false" ht="15" hidden="false" customHeight="false" outlineLevel="0" collapsed="false">
      <c r="A87" s="0" t="s">
        <v>133</v>
      </c>
      <c r="B87" s="0" t="n">
        <f aca="false">SUMIFS(Sectores!$C:$C,Sectores!$A:$A,$A87)</f>
        <v>4212</v>
      </c>
      <c r="C87" s="0" t="n">
        <f aca="false">SUMIFS(Generacion!$C:$C,Generacion!$A:$A,$A87,Generacion!$B:$B,C$2)</f>
        <v>0.0435338767065874</v>
      </c>
      <c r="D87" s="0" t="n">
        <f aca="false">SUMIFS(Generacion!$C:$C,Generacion!$A:$A,$A87,Generacion!$B:$B,D$2)</f>
        <v>0.0378709333951614</v>
      </c>
      <c r="E87" s="0" t="n">
        <f aca="false">SUMIFS(Generacion!$C:$C,Generacion!$A:$A,$A87,Generacion!$B:$B,E$2)</f>
        <v>0.0134494903646368</v>
      </c>
      <c r="F87" s="0" t="n">
        <f aca="false">SUMIFS(Generacion!$C:$C,Generacion!$A:$A,$A87,Generacion!$B:$B,F$2)</f>
        <v>0.00353933956964125</v>
      </c>
      <c r="G87" s="0" t="n">
        <f aca="false">SUMIFS(Generacion!$C:$C,Generacion!$A:$A,$A87,Generacion!$B:$B,G$2)</f>
        <v>0.00247753769874887</v>
      </c>
      <c r="H87" s="0" t="n">
        <f aca="false">SUMPRODUCT((AtractivoAlternativas!$A$2:$A$931=$A87)*AtractivoAlternativas!$C$2:$C$931*COUNTIFS(Alternativas!$A$2:$A$51,AtractivoAlternativas!$B$2:$B$931,Alternativas!$B$2:$B$51,H$2))</f>
        <v>0</v>
      </c>
      <c r="I87" s="0" t="n">
        <f aca="false">SUMPRODUCT((AtractivoAlternativas!$A$2:$A$931=$A87)*AtractivoAlternativas!$C$2:$C$931*COUNTIFS(Alternativas!$A$2:$A$51,AtractivoAlternativas!$B$2:$B$931,Alternativas!$B$2:$B$51,I$2))</f>
        <v>1.00534784726003</v>
      </c>
      <c r="J87" s="0" t="n">
        <f aca="false">SUMPRODUCT((AtractivoAlternativas!$A$2:$A$931=$A87)*AtractivoAlternativas!$C$2:$C$931*COUNTIFS(Alternativas!$A$2:$A$51,AtractivoAlternativas!$B$2:$B$931,Alternativas!$B$2:$B$51,J$2))</f>
        <v>0</v>
      </c>
      <c r="K87" s="0" t="n">
        <f aca="false">SUMPRODUCT((AtractivoAlternativas!$A$2:$A$931=$A87)*AtractivoAlternativas!$C$2:$C$931*COUNTIFS(Alternativas!$A$2:$A$51,AtractivoAlternativas!$B$2:$B$931,Alternativas!$B$2:$B$51,K$2))</f>
        <v>0</v>
      </c>
      <c r="L87" s="0" t="n">
        <f aca="false">SUMPRODUCT((AtractivoAlternativas!$A$2:$A$931=$A87)*AtractivoAlternativas!$C$2:$C$931*COUNTIFS(Alternativas!$A$2:$A$51,AtractivoAlternativas!$B$2:$B$931,Alternativas!$B$2:$B$51,L$2))</f>
        <v>0</v>
      </c>
      <c r="M87" s="0" t="n">
        <f aca="false">SUMIFS(AtractivoSitios!$C:$C,AtractivoSitios!$A:$A,$A87,AtractivoSitios!$B:$B,M$2)</f>
        <v>0</v>
      </c>
      <c r="N87" s="0" t="n">
        <f aca="false">SUMIFS(AtractivoSitios!$C:$C,AtractivoSitios!$A:$A,$A87,AtractivoSitios!$B:$B,N$2)</f>
        <v>0.792944414380852</v>
      </c>
      <c r="O87" s="0" t="n">
        <f aca="false">SUMIFS(AtractivoSitios!$C:$C,AtractivoSitios!$A:$A,$A87,AtractivoSitios!$B:$B,O$2)</f>
        <v>0</v>
      </c>
      <c r="P87" s="0" t="n">
        <f aca="false">SUMIFS(AtractivoSitios!$C:$C,AtractivoSitios!$A:$A,$A87,AtractivoSitios!$B:$B,P$2)</f>
        <v>0</v>
      </c>
      <c r="Q87" s="0" t="n">
        <f aca="false">SUMIFS(AtractivoSitios!$C:$C,AtractivoSitios!$A:$A,$A87,AtractivoSitios!$B:$B,Q$2)</f>
        <v>0</v>
      </c>
      <c r="R87" s="0" t="n">
        <f aca="false">SUMIFS(AtractivoSitios!$C:$C,AtractivoSitios!$A:$A,$A87,AtractivoSitios!$B:$B,R$2)</f>
        <v>0</v>
      </c>
      <c r="S87" s="0" t="n">
        <f aca="false">SUMIFS(AtractivoSitios!$C:$C,AtractivoSitios!$A:$A,$A87,AtractivoSitios!$B:$B,S$2)</f>
        <v>0</v>
      </c>
      <c r="T87" s="0" t="n">
        <f aca="false">SUM(M87:S87)</f>
        <v>0.792944414380852</v>
      </c>
      <c r="U87" s="0" t="n">
        <f aca="false">C87/(AD$4+H87+$T87)</f>
        <v>0.000192486755629202</v>
      </c>
      <c r="V87" s="0" t="n">
        <f aca="false">D87/(AE$4+I87+$T87)</f>
        <v>5.55626241830813E-005</v>
      </c>
      <c r="W87" s="0" t="n">
        <f aca="false">E87/(AF$4+J87+$T87)</f>
        <v>0.000322328843111819</v>
      </c>
      <c r="X87" s="0" t="n">
        <f aca="false">F87/(AG$4+K87+$T87)</f>
        <v>1.7401169162064E-005</v>
      </c>
      <c r="Y87" s="0" t="n">
        <f aca="false">G87/(AH$4+L87+$T87)</f>
        <v>1.07961864045233E-005</v>
      </c>
    </row>
    <row r="88" customFormat="false" ht="15" hidden="false" customHeight="false" outlineLevel="0" collapsed="false">
      <c r="A88" s="0" t="s">
        <v>134</v>
      </c>
      <c r="B88" s="0" t="n">
        <f aca="false">SUMIFS(Sectores!$C:$C,Sectores!$A:$A,$A88)</f>
        <v>1912</v>
      </c>
      <c r="C88" s="0" t="n">
        <f aca="false">SUMIFS(Generacion!$C:$C,Generacion!$A:$A,$A88,Generacion!$B:$B,C$2)</f>
        <v>0.0435338767065874</v>
      </c>
      <c r="D88" s="0" t="n">
        <f aca="false">SUMIFS(Generacion!$C:$C,Generacion!$A:$A,$A88,Generacion!$B:$B,D$2)</f>
        <v>0.0378709333951614</v>
      </c>
      <c r="E88" s="0" t="n">
        <f aca="false">SUMIFS(Generacion!$C:$C,Generacion!$A:$A,$A88,Generacion!$B:$B,E$2)</f>
        <v>0.0134494903646368</v>
      </c>
      <c r="F88" s="0" t="n">
        <f aca="false">SUMIFS(Generacion!$C:$C,Generacion!$A:$A,$A88,Generacion!$B:$B,F$2)</f>
        <v>0.00353933956964125</v>
      </c>
      <c r="G88" s="0" t="n">
        <f aca="false">SUMIFS(Generacion!$C:$C,Generacion!$A:$A,$A88,Generacion!$B:$B,G$2)</f>
        <v>0.00247753769874887</v>
      </c>
      <c r="H88" s="0" t="n">
        <f aca="false">SUMPRODUCT((AtractivoAlternativas!$A$2:$A$931=$A88)*AtractivoAlternativas!$C$2:$C$931*COUNTIFS(Alternativas!$A$2:$A$51,AtractivoAlternativas!$B$2:$B$931,Alternativas!$B$2:$B$51,H$2))</f>
        <v>0.40669957997065</v>
      </c>
      <c r="I88" s="0" t="n">
        <f aca="false">SUMPRODUCT((AtractivoAlternativas!$A$2:$A$931=$A88)*AtractivoAlternativas!$C$2:$C$931*COUNTIFS(Alternativas!$A$2:$A$51,AtractivoAlternativas!$B$2:$B$931,Alternativas!$B$2:$B$51,I$2))</f>
        <v>2.55573524174248</v>
      </c>
      <c r="J88" s="0" t="n">
        <f aca="false">SUMPRODUCT((AtractivoAlternativas!$A$2:$A$931=$A88)*AtractivoAlternativas!$C$2:$C$931*COUNTIFS(Alternativas!$A$2:$A$51,AtractivoAlternativas!$B$2:$B$931,Alternativas!$B$2:$B$51,J$2))</f>
        <v>0</v>
      </c>
      <c r="K88" s="0" t="n">
        <f aca="false">SUMPRODUCT((AtractivoAlternativas!$A$2:$A$931=$A88)*AtractivoAlternativas!$C$2:$C$931*COUNTIFS(Alternativas!$A$2:$A$51,AtractivoAlternativas!$B$2:$B$931,Alternativas!$B$2:$B$51,K$2))</f>
        <v>0</v>
      </c>
      <c r="L88" s="0" t="n">
        <f aca="false">SUMPRODUCT((AtractivoAlternativas!$A$2:$A$931=$A88)*AtractivoAlternativas!$C$2:$C$931*COUNTIFS(Alternativas!$A$2:$A$51,AtractivoAlternativas!$B$2:$B$931,Alternativas!$B$2:$B$51,L$2))</f>
        <v>0</v>
      </c>
      <c r="M88" s="0" t="n">
        <f aca="false">SUMIFS(AtractivoSitios!$C:$C,AtractivoSitios!$A:$A,$A88,AtractivoSitios!$B:$B,M$2)</f>
        <v>0</v>
      </c>
      <c r="N88" s="0" t="n">
        <f aca="false">SUMIFS(AtractivoSitios!$C:$C,AtractivoSitios!$A:$A,$A88,AtractivoSitios!$B:$B,N$2)</f>
        <v>0.51167039413042</v>
      </c>
      <c r="O88" s="0" t="n">
        <f aca="false">SUMIFS(AtractivoSitios!$C:$C,AtractivoSitios!$A:$A,$A88,AtractivoSitios!$B:$B,O$2)</f>
        <v>0</v>
      </c>
      <c r="P88" s="0" t="n">
        <f aca="false">SUMIFS(AtractivoSitios!$C:$C,AtractivoSitios!$A:$A,$A88,AtractivoSitios!$B:$B,P$2)</f>
        <v>0</v>
      </c>
      <c r="Q88" s="0" t="n">
        <f aca="false">SUMIFS(AtractivoSitios!$C:$C,AtractivoSitios!$A:$A,$A88,AtractivoSitios!$B:$B,Q$2)</f>
        <v>0</v>
      </c>
      <c r="R88" s="0" t="n">
        <f aca="false">SUMIFS(AtractivoSitios!$C:$C,AtractivoSitios!$A:$A,$A88,AtractivoSitios!$B:$B,R$2)</f>
        <v>0</v>
      </c>
      <c r="S88" s="0" t="n">
        <f aca="false">SUMIFS(AtractivoSitios!$C:$C,AtractivoSitios!$A:$A,$A88,AtractivoSitios!$B:$B,S$2)</f>
        <v>0</v>
      </c>
      <c r="T88" s="0" t="n">
        <f aca="false">SUM(M88:S88)</f>
        <v>0.51167039413042</v>
      </c>
      <c r="U88" s="0" t="n">
        <f aca="false">C88/(AD$4+H88+$T88)</f>
        <v>0.000192380066633213</v>
      </c>
      <c r="V88" s="0" t="n">
        <f aca="false">D88/(AE$4+I88+$T88)</f>
        <v>5.54593594540324E-005</v>
      </c>
      <c r="W88" s="0" t="n">
        <f aca="false">E88/(AF$4+J88+$T88)</f>
        <v>0.000324516401296248</v>
      </c>
      <c r="X88" s="0" t="n">
        <f aca="false">F88/(AG$4+K88+$T88)</f>
        <v>1.7425266287681E-005</v>
      </c>
      <c r="Y88" s="0" t="n">
        <f aca="false">G88/(AH$4+L88+$T88)</f>
        <v>1.08094353933427E-005</v>
      </c>
    </row>
    <row r="89" customFormat="false" ht="15" hidden="false" customHeight="false" outlineLevel="0" collapsed="false">
      <c r="A89" s="0" t="s">
        <v>135</v>
      </c>
      <c r="B89" s="0" t="n">
        <f aca="false">SUMIFS(Sectores!$C:$C,Sectores!$A:$A,$A89)</f>
        <v>1726</v>
      </c>
      <c r="C89" s="0" t="n">
        <f aca="false">SUMIFS(Generacion!$C:$C,Generacion!$A:$A,$A89,Generacion!$B:$B,C$2)</f>
        <v>0.0435338767065874</v>
      </c>
      <c r="D89" s="0" t="n">
        <f aca="false">SUMIFS(Generacion!$C:$C,Generacion!$A:$A,$A89,Generacion!$B:$B,D$2)</f>
        <v>0.0378709333951614</v>
      </c>
      <c r="E89" s="0" t="n">
        <f aca="false">SUMIFS(Generacion!$C:$C,Generacion!$A:$A,$A89,Generacion!$B:$B,E$2)</f>
        <v>0.0134494903646368</v>
      </c>
      <c r="F89" s="0" t="n">
        <f aca="false">SUMIFS(Generacion!$C:$C,Generacion!$A:$A,$A89,Generacion!$B:$B,F$2)</f>
        <v>0.00353933956964125</v>
      </c>
      <c r="G89" s="0" t="n">
        <f aca="false">SUMIFS(Generacion!$C:$C,Generacion!$A:$A,$A89,Generacion!$B:$B,G$2)</f>
        <v>0.00247753769874887</v>
      </c>
      <c r="H89" s="0" t="n">
        <f aca="false">SUMPRODUCT((AtractivoAlternativas!$A$2:$A$931=$A89)*AtractivoAlternativas!$C$2:$C$931*COUNTIFS(Alternativas!$A$2:$A$51,AtractivoAlternativas!$B$2:$B$931,Alternativas!$B$2:$B$51,H$2))</f>
        <v>1.61906794112188</v>
      </c>
      <c r="I89" s="0" t="n">
        <f aca="false">SUMPRODUCT((AtractivoAlternativas!$A$2:$A$931=$A89)*AtractivoAlternativas!$C$2:$C$931*COUNTIFS(Alternativas!$A$2:$A$51,AtractivoAlternativas!$B$2:$B$931,Alternativas!$B$2:$B$51,I$2))</f>
        <v>2.92627708791773</v>
      </c>
      <c r="J89" s="0" t="n">
        <f aca="false">SUMPRODUCT((AtractivoAlternativas!$A$2:$A$931=$A89)*AtractivoAlternativas!$C$2:$C$931*COUNTIFS(Alternativas!$A$2:$A$51,AtractivoAlternativas!$B$2:$B$931,Alternativas!$B$2:$B$51,J$2))</f>
        <v>1.0064925581974</v>
      </c>
      <c r="K89" s="0" t="n">
        <f aca="false">SUMPRODUCT((AtractivoAlternativas!$A$2:$A$931=$A89)*AtractivoAlternativas!$C$2:$C$931*COUNTIFS(Alternativas!$A$2:$A$51,AtractivoAlternativas!$B$2:$B$931,Alternativas!$B$2:$B$51,K$2))</f>
        <v>0</v>
      </c>
      <c r="L89" s="0" t="n">
        <f aca="false">SUMPRODUCT((AtractivoAlternativas!$A$2:$A$931=$A89)*AtractivoAlternativas!$C$2:$C$931*COUNTIFS(Alternativas!$A$2:$A$51,AtractivoAlternativas!$B$2:$B$931,Alternativas!$B$2:$B$51,L$2))</f>
        <v>0</v>
      </c>
      <c r="M89" s="0" t="n">
        <f aca="false">SUMIFS(AtractivoSitios!$C:$C,AtractivoSitios!$A:$A,$A89,AtractivoSitios!$B:$B,M$2)</f>
        <v>0.397740917894093</v>
      </c>
      <c r="N89" s="0" t="n">
        <f aca="false">SUMIFS(AtractivoSitios!$C:$C,AtractivoSitios!$A:$A,$A89,AtractivoSitios!$B:$B,N$2)</f>
        <v>0</v>
      </c>
      <c r="O89" s="0" t="n">
        <f aca="false">SUMIFS(AtractivoSitios!$C:$C,AtractivoSitios!$A:$A,$A89,AtractivoSitios!$B:$B,O$2)</f>
        <v>0</v>
      </c>
      <c r="P89" s="0" t="n">
        <f aca="false">SUMIFS(AtractivoSitios!$C:$C,AtractivoSitios!$A:$A,$A89,AtractivoSitios!$B:$B,P$2)</f>
        <v>0</v>
      </c>
      <c r="Q89" s="0" t="n">
        <f aca="false">SUMIFS(AtractivoSitios!$C:$C,AtractivoSitios!$A:$A,$A89,AtractivoSitios!$B:$B,Q$2)</f>
        <v>0</v>
      </c>
      <c r="R89" s="0" t="n">
        <f aca="false">SUMIFS(AtractivoSitios!$C:$C,AtractivoSitios!$A:$A,$A89,AtractivoSitios!$B:$B,R$2)</f>
        <v>0.704688089718713</v>
      </c>
      <c r="S89" s="0" t="n">
        <f aca="false">SUMIFS(AtractivoSitios!$C:$C,AtractivoSitios!$A:$A,$A89,AtractivoSitios!$B:$B,S$2)</f>
        <v>0.550441642082808</v>
      </c>
      <c r="T89" s="0" t="n">
        <f aca="false">SUM(M89:S89)</f>
        <v>1.65287064969561</v>
      </c>
      <c r="U89" s="0" t="n">
        <f aca="false">C89/(AD$4+H89+$T89)</f>
        <v>0.000190399789122806</v>
      </c>
      <c r="V89" s="0" t="n">
        <f aca="false">D89/(AE$4+I89+$T89)</f>
        <v>5.53368524268876E-005</v>
      </c>
      <c r="W89" s="0" t="n">
        <f aca="false">E89/(AF$4+J89+$T89)</f>
        <v>0.000308528261425086</v>
      </c>
      <c r="X89" s="0" t="n">
        <f aca="false">F89/(AG$4+K89+$T89)</f>
        <v>1.73279097256842E-005</v>
      </c>
      <c r="Y89" s="0" t="n">
        <f aca="false">G89/(AH$4+L89+$T89)</f>
        <v>1.0755881554185E-005</v>
      </c>
    </row>
    <row r="90" customFormat="false" ht="15" hidden="false" customHeight="false" outlineLevel="0" collapsed="false">
      <c r="A90" s="0" t="s">
        <v>136</v>
      </c>
      <c r="B90" s="0" t="n">
        <f aca="false">SUMIFS(Sectores!$C:$C,Sectores!$A:$A,$A90)</f>
        <v>3573</v>
      </c>
      <c r="C90" s="0" t="n">
        <f aca="false">SUMIFS(Generacion!$C:$C,Generacion!$A:$A,$A90,Generacion!$B:$B,C$2)</f>
        <v>0.0435338767065874</v>
      </c>
      <c r="D90" s="0" t="n">
        <f aca="false">SUMIFS(Generacion!$C:$C,Generacion!$A:$A,$A90,Generacion!$B:$B,D$2)</f>
        <v>0.0378709333951614</v>
      </c>
      <c r="E90" s="0" t="n">
        <f aca="false">SUMIFS(Generacion!$C:$C,Generacion!$A:$A,$A90,Generacion!$B:$B,E$2)</f>
        <v>0.0134494903646368</v>
      </c>
      <c r="F90" s="0" t="n">
        <f aca="false">SUMIFS(Generacion!$C:$C,Generacion!$A:$A,$A90,Generacion!$B:$B,F$2)</f>
        <v>0.00353933956964125</v>
      </c>
      <c r="G90" s="0" t="n">
        <f aca="false">SUMIFS(Generacion!$C:$C,Generacion!$A:$A,$A90,Generacion!$B:$B,G$2)</f>
        <v>0.00247753769874887</v>
      </c>
      <c r="H90" s="0" t="n">
        <f aca="false">SUMPRODUCT((AtractivoAlternativas!$A$2:$A$931=$A90)*AtractivoAlternativas!$C$2:$C$931*COUNTIFS(Alternativas!$A$2:$A$51,AtractivoAlternativas!$B$2:$B$931,Alternativas!$B$2:$B$51,H$2))</f>
        <v>1.66894192554709</v>
      </c>
      <c r="I90" s="0" t="n">
        <f aca="false">SUMPRODUCT((AtractivoAlternativas!$A$2:$A$931=$A90)*AtractivoAlternativas!$C$2:$C$931*COUNTIFS(Alternativas!$A$2:$A$51,AtractivoAlternativas!$B$2:$B$931,Alternativas!$B$2:$B$51,I$2))</f>
        <v>3.57016778083036</v>
      </c>
      <c r="J90" s="0" t="n">
        <f aca="false">SUMPRODUCT((AtractivoAlternativas!$A$2:$A$931=$A90)*AtractivoAlternativas!$C$2:$C$931*COUNTIFS(Alternativas!$A$2:$A$51,AtractivoAlternativas!$B$2:$B$931,Alternativas!$B$2:$B$51,J$2))</f>
        <v>1.52602878087126</v>
      </c>
      <c r="K90" s="0" t="n">
        <f aca="false">SUMPRODUCT((AtractivoAlternativas!$A$2:$A$931=$A90)*AtractivoAlternativas!$C$2:$C$931*COUNTIFS(Alternativas!$A$2:$A$51,AtractivoAlternativas!$B$2:$B$931,Alternativas!$B$2:$B$51,K$2))</f>
        <v>0</v>
      </c>
      <c r="L90" s="0" t="n">
        <f aca="false">SUMPRODUCT((AtractivoAlternativas!$A$2:$A$931=$A90)*AtractivoAlternativas!$C$2:$C$931*COUNTIFS(Alternativas!$A$2:$A$51,AtractivoAlternativas!$B$2:$B$931,Alternativas!$B$2:$B$51,L$2))</f>
        <v>0</v>
      </c>
      <c r="M90" s="0" t="n">
        <f aca="false">SUMIFS(AtractivoSitios!$C:$C,AtractivoSitios!$A:$A,$A90,AtractivoSitios!$B:$B,M$2)</f>
        <v>0.396172735243406</v>
      </c>
      <c r="N90" s="0" t="n">
        <f aca="false">SUMIFS(AtractivoSitios!$C:$C,AtractivoSitios!$A:$A,$A90,AtractivoSitios!$B:$B,N$2)</f>
        <v>0</v>
      </c>
      <c r="O90" s="0" t="n">
        <f aca="false">SUMIFS(AtractivoSitios!$C:$C,AtractivoSitios!$A:$A,$A90,AtractivoSitios!$B:$B,O$2)</f>
        <v>0</v>
      </c>
      <c r="P90" s="0" t="n">
        <f aca="false">SUMIFS(AtractivoSitios!$C:$C,AtractivoSitios!$A:$A,$A90,AtractivoSitios!$B:$B,P$2)</f>
        <v>0</v>
      </c>
      <c r="Q90" s="0" t="n">
        <f aca="false">SUMIFS(AtractivoSitios!$C:$C,AtractivoSitios!$A:$A,$A90,AtractivoSitios!$B:$B,Q$2)</f>
        <v>0</v>
      </c>
      <c r="R90" s="0" t="n">
        <f aca="false">SUMIFS(AtractivoSitios!$C:$C,AtractivoSitios!$A:$A,$A90,AtractivoSitios!$B:$B,R$2)</f>
        <v>0.485404633507773</v>
      </c>
      <c r="S90" s="0" t="n">
        <f aca="false">SUMIFS(AtractivoSitios!$C:$C,AtractivoSitios!$A:$A,$A90,AtractivoSitios!$B:$B,S$2)</f>
        <v>0.372866684299409</v>
      </c>
      <c r="T90" s="0" t="n">
        <f aca="false">SUM(M90:S90)</f>
        <v>1.25444405305059</v>
      </c>
      <c r="U90" s="0" t="n">
        <f aca="false">C90/(AD$4+H90+$T90)</f>
        <v>0.000190690483399757</v>
      </c>
      <c r="V90" s="0" t="n">
        <f aca="false">D90/(AE$4+I90+$T90)</f>
        <v>5.53170118117583E-005</v>
      </c>
      <c r="W90" s="0" t="n">
        <f aca="false">E90/(AF$4+J90+$T90)</f>
        <v>0.000307673474554381</v>
      </c>
      <c r="X90" s="0" t="n">
        <f aca="false">F90/(AG$4+K90+$T90)</f>
        <v>1.73617759213807E-005</v>
      </c>
      <c r="Y90" s="0" t="n">
        <f aca="false">G90/(AH$4+L90+$T90)</f>
        <v>1.07745183791989E-005</v>
      </c>
    </row>
    <row r="91" customFormat="false" ht="15" hidden="false" customHeight="false" outlineLevel="0" collapsed="false">
      <c r="A91" s="0" t="s">
        <v>137</v>
      </c>
      <c r="B91" s="0" t="n">
        <f aca="false">SUMIFS(Sectores!$C:$C,Sectores!$A:$A,$A91)</f>
        <v>4580</v>
      </c>
      <c r="C91" s="0" t="n">
        <f aca="false">SUMIFS(Generacion!$C:$C,Generacion!$A:$A,$A91,Generacion!$B:$B,C$2)</f>
        <v>0.0435338767065874</v>
      </c>
      <c r="D91" s="0" t="n">
        <f aca="false">SUMIFS(Generacion!$C:$C,Generacion!$A:$A,$A91,Generacion!$B:$B,D$2)</f>
        <v>0.0378709333951614</v>
      </c>
      <c r="E91" s="0" t="n">
        <f aca="false">SUMIFS(Generacion!$C:$C,Generacion!$A:$A,$A91,Generacion!$B:$B,E$2)</f>
        <v>0.0134494903646368</v>
      </c>
      <c r="F91" s="0" t="n">
        <f aca="false">SUMIFS(Generacion!$C:$C,Generacion!$A:$A,$A91,Generacion!$B:$B,F$2)</f>
        <v>0.00353933956964125</v>
      </c>
      <c r="G91" s="0" t="n">
        <f aca="false">SUMIFS(Generacion!$C:$C,Generacion!$A:$A,$A91,Generacion!$B:$B,G$2)</f>
        <v>0.00247753769874887</v>
      </c>
      <c r="H91" s="0" t="n">
        <f aca="false">SUMPRODUCT((AtractivoAlternativas!$A$2:$A$931=$A91)*AtractivoAlternativas!$C$2:$C$931*COUNTIFS(Alternativas!$A$2:$A$51,AtractivoAlternativas!$B$2:$B$931,Alternativas!$B$2:$B$51,H$2))</f>
        <v>2.08095550788184</v>
      </c>
      <c r="I91" s="0" t="n">
        <f aca="false">SUMPRODUCT((AtractivoAlternativas!$A$2:$A$931=$A91)*AtractivoAlternativas!$C$2:$C$931*COUNTIFS(Alternativas!$A$2:$A$51,AtractivoAlternativas!$B$2:$B$931,Alternativas!$B$2:$B$51,I$2))</f>
        <v>3.32938817352074</v>
      </c>
      <c r="J91" s="0" t="n">
        <f aca="false">SUMPRODUCT((AtractivoAlternativas!$A$2:$A$931=$A91)*AtractivoAlternativas!$C$2:$C$931*COUNTIFS(Alternativas!$A$2:$A$51,AtractivoAlternativas!$B$2:$B$931,Alternativas!$B$2:$B$51,J$2))</f>
        <v>0.916712111062242</v>
      </c>
      <c r="K91" s="0" t="n">
        <f aca="false">SUMPRODUCT((AtractivoAlternativas!$A$2:$A$931=$A91)*AtractivoAlternativas!$C$2:$C$931*COUNTIFS(Alternativas!$A$2:$A$51,AtractivoAlternativas!$B$2:$B$931,Alternativas!$B$2:$B$51,K$2))</f>
        <v>0</v>
      </c>
      <c r="L91" s="0" t="n">
        <f aca="false">SUMPRODUCT((AtractivoAlternativas!$A$2:$A$931=$A91)*AtractivoAlternativas!$C$2:$C$931*COUNTIFS(Alternativas!$A$2:$A$51,AtractivoAlternativas!$B$2:$B$931,Alternativas!$B$2:$B$51,L$2))</f>
        <v>0</v>
      </c>
      <c r="M91" s="0" t="n">
        <f aca="false">SUMIFS(AtractivoSitios!$C:$C,AtractivoSitios!$A:$A,$A91,AtractivoSitios!$B:$B,M$2)</f>
        <v>0</v>
      </c>
      <c r="N91" s="0" t="n">
        <f aca="false">SUMIFS(AtractivoSitios!$C:$C,AtractivoSitios!$A:$A,$A91,AtractivoSitios!$B:$B,N$2)</f>
        <v>0</v>
      </c>
      <c r="O91" s="0" t="n">
        <f aca="false">SUMIFS(AtractivoSitios!$C:$C,AtractivoSitios!$A:$A,$A91,AtractivoSitios!$B:$B,O$2)</f>
        <v>0</v>
      </c>
      <c r="P91" s="0" t="n">
        <f aca="false">SUMIFS(AtractivoSitios!$C:$C,AtractivoSitios!$A:$A,$A91,AtractivoSitios!$B:$B,P$2)</f>
        <v>0</v>
      </c>
      <c r="Q91" s="0" t="n">
        <f aca="false">SUMIFS(AtractivoSitios!$C:$C,AtractivoSitios!$A:$A,$A91,AtractivoSitios!$B:$B,Q$2)</f>
        <v>0</v>
      </c>
      <c r="R91" s="0" t="n">
        <f aca="false">SUMIFS(AtractivoSitios!$C:$C,AtractivoSitios!$A:$A,$A91,AtractivoSitios!$B:$B,R$2)</f>
        <v>0.731155319638067</v>
      </c>
      <c r="S91" s="0" t="n">
        <f aca="false">SUMIFS(AtractivoSitios!$C:$C,AtractivoSitios!$A:$A,$A91,AtractivoSitios!$B:$B,S$2)</f>
        <v>0.593096408596488</v>
      </c>
      <c r="T91" s="0" t="n">
        <f aca="false">SUM(M91:S91)</f>
        <v>1.32425172823455</v>
      </c>
      <c r="U91" s="0" t="n">
        <f aca="false">C91/(AD$4+H91+$T91)</f>
        <v>0.00019028887662003</v>
      </c>
      <c r="V91" s="0" t="n">
        <f aca="false">D91/(AE$4+I91+$T91)</f>
        <v>5.53308297963975E-005</v>
      </c>
      <c r="W91" s="0" t="n">
        <f aca="false">E91/(AF$4+J91+$T91)</f>
        <v>0.000311518209055484</v>
      </c>
      <c r="X91" s="0" t="n">
        <f aca="false">F91/(AG$4+K91+$T91)</f>
        <v>1.7355832718639E-005</v>
      </c>
      <c r="Y91" s="0" t="n">
        <f aca="false">G91/(AH$4+L91+$T91)</f>
        <v>1.07712483862925E-005</v>
      </c>
    </row>
    <row r="92" customFormat="false" ht="15" hidden="false" customHeight="false" outlineLevel="0" collapsed="false">
      <c r="A92" s="0" t="s">
        <v>138</v>
      </c>
      <c r="B92" s="0" t="n">
        <f aca="false">SUMIFS(Sectores!$C:$C,Sectores!$A:$A,$A92)</f>
        <v>3112</v>
      </c>
      <c r="C92" s="0" t="n">
        <f aca="false">SUMIFS(Generacion!$C:$C,Generacion!$A:$A,$A92,Generacion!$B:$B,C$2)</f>
        <v>0.0435338767065874</v>
      </c>
      <c r="D92" s="0" t="n">
        <f aca="false">SUMIFS(Generacion!$C:$C,Generacion!$A:$A,$A92,Generacion!$B:$B,D$2)</f>
        <v>0.0378709333951614</v>
      </c>
      <c r="E92" s="0" t="n">
        <f aca="false">SUMIFS(Generacion!$C:$C,Generacion!$A:$A,$A92,Generacion!$B:$B,E$2)</f>
        <v>0.0134494903646368</v>
      </c>
      <c r="F92" s="0" t="n">
        <f aca="false">SUMIFS(Generacion!$C:$C,Generacion!$A:$A,$A92,Generacion!$B:$B,F$2)</f>
        <v>0.00353933956964125</v>
      </c>
      <c r="G92" s="0" t="n">
        <f aca="false">SUMIFS(Generacion!$C:$C,Generacion!$A:$A,$A92,Generacion!$B:$B,G$2)</f>
        <v>0.00247753769874887</v>
      </c>
      <c r="H92" s="0" t="n">
        <f aca="false">SUMPRODUCT((AtractivoAlternativas!$A$2:$A$931=$A92)*AtractivoAlternativas!$C$2:$C$931*COUNTIFS(Alternativas!$A$2:$A$51,AtractivoAlternativas!$B$2:$B$931,Alternativas!$B$2:$B$51,H$2))</f>
        <v>1.66671767369272</v>
      </c>
      <c r="I92" s="0" t="n">
        <f aca="false">SUMPRODUCT((AtractivoAlternativas!$A$2:$A$931=$A92)*AtractivoAlternativas!$C$2:$C$931*COUNTIFS(Alternativas!$A$2:$A$51,AtractivoAlternativas!$B$2:$B$931,Alternativas!$B$2:$B$51,I$2))</f>
        <v>3.02588461873444</v>
      </c>
      <c r="J92" s="0" t="n">
        <f aca="false">SUMPRODUCT((AtractivoAlternativas!$A$2:$A$931=$A92)*AtractivoAlternativas!$C$2:$C$931*COUNTIFS(Alternativas!$A$2:$A$51,AtractivoAlternativas!$B$2:$B$931,Alternativas!$B$2:$B$51,J$2))</f>
        <v>1.02718490953768</v>
      </c>
      <c r="K92" s="0" t="n">
        <f aca="false">SUMPRODUCT((AtractivoAlternativas!$A$2:$A$931=$A92)*AtractivoAlternativas!$C$2:$C$931*COUNTIFS(Alternativas!$A$2:$A$51,AtractivoAlternativas!$B$2:$B$931,Alternativas!$B$2:$B$51,K$2))</f>
        <v>0</v>
      </c>
      <c r="L92" s="0" t="n">
        <f aca="false">SUMPRODUCT((AtractivoAlternativas!$A$2:$A$931=$A92)*AtractivoAlternativas!$C$2:$C$931*COUNTIFS(Alternativas!$A$2:$A$51,AtractivoAlternativas!$B$2:$B$931,Alternativas!$B$2:$B$51,L$2))</f>
        <v>0</v>
      </c>
      <c r="M92" s="0" t="n">
        <f aca="false">SUMIFS(AtractivoSitios!$C:$C,AtractivoSitios!$A:$A,$A92,AtractivoSitios!$B:$B,M$2)</f>
        <v>0.424284707104892</v>
      </c>
      <c r="N92" s="0" t="n">
        <f aca="false">SUMIFS(AtractivoSitios!$C:$C,AtractivoSitios!$A:$A,$A92,AtractivoSitios!$B:$B,N$2)</f>
        <v>0</v>
      </c>
      <c r="O92" s="0" t="n">
        <f aca="false">SUMIFS(AtractivoSitios!$C:$C,AtractivoSitios!$A:$A,$A92,AtractivoSitios!$B:$B,O$2)</f>
        <v>0</v>
      </c>
      <c r="P92" s="0" t="n">
        <f aca="false">SUMIFS(AtractivoSitios!$C:$C,AtractivoSitios!$A:$A,$A92,AtractivoSitios!$B:$B,P$2)</f>
        <v>0</v>
      </c>
      <c r="Q92" s="0" t="n">
        <f aca="false">SUMIFS(AtractivoSitios!$C:$C,AtractivoSitios!$A:$A,$A92,AtractivoSitios!$B:$B,Q$2)</f>
        <v>0</v>
      </c>
      <c r="R92" s="0" t="n">
        <f aca="false">SUMIFS(AtractivoSitios!$C:$C,AtractivoSitios!$A:$A,$A92,AtractivoSitios!$B:$B,R$2)</f>
        <v>0.629473532005463</v>
      </c>
      <c r="S92" s="0" t="n">
        <f aca="false">SUMIFS(AtractivoSitios!$C:$C,AtractivoSitios!$A:$A,$A92,AtractivoSitios!$B:$B,S$2)</f>
        <v>0.462983004771266</v>
      </c>
      <c r="T92" s="0" t="n">
        <f aca="false">SUM(M92:S92)</f>
        <v>1.51674124388162</v>
      </c>
      <c r="U92" s="0" t="n">
        <f aca="false">C92/(AD$4+H92+$T92)</f>
        <v>0.00019047349755722</v>
      </c>
      <c r="V92" s="0" t="n">
        <f aca="false">D92/(AE$4+I92+$T92)</f>
        <v>5.53398056695866E-005</v>
      </c>
      <c r="W92" s="0" t="n">
        <f aca="false">E92/(AF$4+J92+$T92)</f>
        <v>0.000309347444353059</v>
      </c>
      <c r="X92" s="0" t="n">
        <f aca="false">F92/(AG$4+K92+$T92)</f>
        <v>1.73394658341212E-005</v>
      </c>
      <c r="Y92" s="0" t="n">
        <f aca="false">G92/(AH$4+L92+$T92)</f>
        <v>1.07622418957307E-005</v>
      </c>
    </row>
    <row r="93" customFormat="false" ht="15" hidden="false" customHeight="false" outlineLevel="0" collapsed="false">
      <c r="A93" s="0" t="s">
        <v>139</v>
      </c>
      <c r="B93" s="0" t="n">
        <f aca="false">SUMIFS(Sectores!$C:$C,Sectores!$A:$A,$A93)</f>
        <v>2961</v>
      </c>
      <c r="C93" s="0" t="n">
        <f aca="false">SUMIFS(Generacion!$C:$C,Generacion!$A:$A,$A93,Generacion!$B:$B,C$2)</f>
        <v>0.0435338767065874</v>
      </c>
      <c r="D93" s="0" t="n">
        <f aca="false">SUMIFS(Generacion!$C:$C,Generacion!$A:$A,$A93,Generacion!$B:$B,D$2)</f>
        <v>0.0378709333951614</v>
      </c>
      <c r="E93" s="0" t="n">
        <f aca="false">SUMIFS(Generacion!$C:$C,Generacion!$A:$A,$A93,Generacion!$B:$B,E$2)</f>
        <v>0.0134494903646368</v>
      </c>
      <c r="F93" s="0" t="n">
        <f aca="false">SUMIFS(Generacion!$C:$C,Generacion!$A:$A,$A93,Generacion!$B:$B,F$2)</f>
        <v>0.00353933956964125</v>
      </c>
      <c r="G93" s="0" t="n">
        <f aca="false">SUMIFS(Generacion!$C:$C,Generacion!$A:$A,$A93,Generacion!$B:$B,G$2)</f>
        <v>0.00247753769874887</v>
      </c>
      <c r="H93" s="0" t="n">
        <f aca="false">SUMPRODUCT((AtractivoAlternativas!$A$2:$A$931=$A93)*AtractivoAlternativas!$C$2:$C$931*COUNTIFS(Alternativas!$A$2:$A$51,AtractivoAlternativas!$B$2:$B$931,Alternativas!$B$2:$B$51,H$2))</f>
        <v>1.61905252047003</v>
      </c>
      <c r="I93" s="0" t="n">
        <f aca="false">SUMPRODUCT((AtractivoAlternativas!$A$2:$A$931=$A93)*AtractivoAlternativas!$C$2:$C$931*COUNTIFS(Alternativas!$A$2:$A$51,AtractivoAlternativas!$B$2:$B$931,Alternativas!$B$2:$B$51,I$2))</f>
        <v>2.50798050556806</v>
      </c>
      <c r="J93" s="0" t="n">
        <f aca="false">SUMPRODUCT((AtractivoAlternativas!$A$2:$A$931=$A93)*AtractivoAlternativas!$C$2:$C$931*COUNTIFS(Alternativas!$A$2:$A$51,AtractivoAlternativas!$B$2:$B$931,Alternativas!$B$2:$B$51,J$2))</f>
        <v>0.928310480862565</v>
      </c>
      <c r="K93" s="0" t="n">
        <f aca="false">SUMPRODUCT((AtractivoAlternativas!$A$2:$A$931=$A93)*AtractivoAlternativas!$C$2:$C$931*COUNTIFS(Alternativas!$A$2:$A$51,AtractivoAlternativas!$B$2:$B$931,Alternativas!$B$2:$B$51,K$2))</f>
        <v>0</v>
      </c>
      <c r="L93" s="0" t="n">
        <f aca="false">SUMPRODUCT((AtractivoAlternativas!$A$2:$A$931=$A93)*AtractivoAlternativas!$C$2:$C$931*COUNTIFS(Alternativas!$A$2:$A$51,AtractivoAlternativas!$B$2:$B$931,Alternativas!$B$2:$B$51,L$2))</f>
        <v>0</v>
      </c>
      <c r="M93" s="0" t="n">
        <f aca="false">SUMIFS(AtractivoSitios!$C:$C,AtractivoSitios!$A:$A,$A93,AtractivoSitios!$B:$B,M$2)</f>
        <v>0.391957092097854</v>
      </c>
      <c r="N93" s="0" t="n">
        <f aca="false">SUMIFS(AtractivoSitios!$C:$C,AtractivoSitios!$A:$A,$A93,AtractivoSitios!$B:$B,N$2)</f>
        <v>0</v>
      </c>
      <c r="O93" s="0" t="n">
        <f aca="false">SUMIFS(AtractivoSitios!$C:$C,AtractivoSitios!$A:$A,$A93,AtractivoSitios!$B:$B,O$2)</f>
        <v>0</v>
      </c>
      <c r="P93" s="0" t="n">
        <f aca="false">SUMIFS(AtractivoSitios!$C:$C,AtractivoSitios!$A:$A,$A93,AtractivoSitios!$B:$B,P$2)</f>
        <v>0</v>
      </c>
      <c r="Q93" s="0" t="n">
        <f aca="false">SUMIFS(AtractivoSitios!$C:$C,AtractivoSitios!$A:$A,$A93,AtractivoSitios!$B:$B,Q$2)</f>
        <v>0</v>
      </c>
      <c r="R93" s="0" t="n">
        <f aca="false">SUMIFS(AtractivoSitios!$C:$C,AtractivoSitios!$A:$A,$A93,AtractivoSitios!$B:$B,R$2)</f>
        <v>0.752940348730725</v>
      </c>
      <c r="S93" s="0" t="n">
        <f aca="false">SUMIFS(AtractivoSitios!$C:$C,AtractivoSitios!$A:$A,$A93,AtractivoSitios!$B:$B,S$2)</f>
        <v>0.574486425291385</v>
      </c>
      <c r="T93" s="0" t="n">
        <f aca="false">SUM(M93:S93)</f>
        <v>1.71938386611996</v>
      </c>
      <c r="U93" s="0" t="n">
        <f aca="false">C93/(AD$4+H93+$T93)</f>
        <v>0.000190344430338622</v>
      </c>
      <c r="V93" s="0" t="n">
        <f aca="false">D93/(AE$4+I93+$T93)</f>
        <v>5.53653115485081E-005</v>
      </c>
      <c r="W93" s="0" t="n">
        <f aca="false">E93/(AF$4+J93+$T93)</f>
        <v>0.00030861087069935</v>
      </c>
      <c r="X93" s="0" t="n">
        <f aca="false">F93/(AG$4+K93+$T93)</f>
        <v>1.73222689780099E-005</v>
      </c>
      <c r="Y93" s="0" t="n">
        <f aca="false">G93/(AH$4+L93+$T93)</f>
        <v>1.07527766063185E-005</v>
      </c>
    </row>
    <row r="94" customFormat="false" ht="15" hidden="false" customHeight="false" outlineLevel="0" collapsed="false">
      <c r="A94" s="0" t="s">
        <v>140</v>
      </c>
      <c r="B94" s="0" t="n">
        <f aca="false">SUMIFS(Sectores!$C:$C,Sectores!$A:$A,$A94)</f>
        <v>3926</v>
      </c>
      <c r="C94" s="0" t="n">
        <f aca="false">SUMIFS(Generacion!$C:$C,Generacion!$A:$A,$A94,Generacion!$B:$B,C$2)</f>
        <v>0.0435338767065874</v>
      </c>
      <c r="D94" s="0" t="n">
        <f aca="false">SUMIFS(Generacion!$C:$C,Generacion!$A:$A,$A94,Generacion!$B:$B,D$2)</f>
        <v>0.0378709333951614</v>
      </c>
      <c r="E94" s="0" t="n">
        <f aca="false">SUMIFS(Generacion!$C:$C,Generacion!$A:$A,$A94,Generacion!$B:$B,E$2)</f>
        <v>0.0134494903646368</v>
      </c>
      <c r="F94" s="0" t="n">
        <f aca="false">SUMIFS(Generacion!$C:$C,Generacion!$A:$A,$A94,Generacion!$B:$B,F$2)</f>
        <v>0.00353933956964125</v>
      </c>
      <c r="G94" s="0" t="n">
        <f aca="false">SUMIFS(Generacion!$C:$C,Generacion!$A:$A,$A94,Generacion!$B:$B,G$2)</f>
        <v>0.00247753769874887</v>
      </c>
      <c r="H94" s="0" t="n">
        <f aca="false">SUMPRODUCT((AtractivoAlternativas!$A$2:$A$931=$A94)*AtractivoAlternativas!$C$2:$C$931*COUNTIFS(Alternativas!$A$2:$A$51,AtractivoAlternativas!$B$2:$B$931,Alternativas!$B$2:$B$51,H$2))</f>
        <v>1.61978060264844</v>
      </c>
      <c r="I94" s="0" t="n">
        <f aca="false">SUMPRODUCT((AtractivoAlternativas!$A$2:$A$931=$A94)*AtractivoAlternativas!$C$2:$C$931*COUNTIFS(Alternativas!$A$2:$A$51,AtractivoAlternativas!$B$2:$B$931,Alternativas!$B$2:$B$51,I$2))</f>
        <v>2.72066795978078</v>
      </c>
      <c r="J94" s="0" t="n">
        <f aca="false">SUMPRODUCT((AtractivoAlternativas!$A$2:$A$931=$A94)*AtractivoAlternativas!$C$2:$C$931*COUNTIFS(Alternativas!$A$2:$A$51,AtractivoAlternativas!$B$2:$B$931,Alternativas!$B$2:$B$51,J$2))</f>
        <v>1.72146496359477</v>
      </c>
      <c r="K94" s="0" t="n">
        <f aca="false">SUMPRODUCT((AtractivoAlternativas!$A$2:$A$931=$A94)*AtractivoAlternativas!$C$2:$C$931*COUNTIFS(Alternativas!$A$2:$A$51,AtractivoAlternativas!$B$2:$B$931,Alternativas!$B$2:$B$51,K$2))</f>
        <v>0</v>
      </c>
      <c r="L94" s="0" t="n">
        <f aca="false">SUMPRODUCT((AtractivoAlternativas!$A$2:$A$931=$A94)*AtractivoAlternativas!$C$2:$C$931*COUNTIFS(Alternativas!$A$2:$A$51,AtractivoAlternativas!$B$2:$B$931,Alternativas!$B$2:$B$51,L$2))</f>
        <v>0</v>
      </c>
      <c r="M94" s="0" t="n">
        <f aca="false">SUMIFS(AtractivoSitios!$C:$C,AtractivoSitios!$A:$A,$A94,AtractivoSitios!$B:$B,M$2)</f>
        <v>0</v>
      </c>
      <c r="N94" s="0" t="n">
        <f aca="false">SUMIFS(AtractivoSitios!$C:$C,AtractivoSitios!$A:$A,$A94,AtractivoSitios!$B:$B,N$2)</f>
        <v>0</v>
      </c>
      <c r="O94" s="0" t="n">
        <f aca="false">SUMIFS(AtractivoSitios!$C:$C,AtractivoSitios!$A:$A,$A94,AtractivoSitios!$B:$B,O$2)</f>
        <v>0</v>
      </c>
      <c r="P94" s="0" t="n">
        <f aca="false">SUMIFS(AtractivoSitios!$C:$C,AtractivoSitios!$A:$A,$A94,AtractivoSitios!$B:$B,P$2)</f>
        <v>0</v>
      </c>
      <c r="Q94" s="0" t="n">
        <f aca="false">SUMIFS(AtractivoSitios!$C:$C,AtractivoSitios!$A:$A,$A94,AtractivoSitios!$B:$B,Q$2)</f>
        <v>0</v>
      </c>
      <c r="R94" s="0" t="n">
        <f aca="false">SUMIFS(AtractivoSitios!$C:$C,AtractivoSitios!$A:$A,$A94,AtractivoSitios!$B:$B,R$2)</f>
        <v>0.443947096660068</v>
      </c>
      <c r="S94" s="0" t="n">
        <f aca="false">SUMIFS(AtractivoSitios!$C:$C,AtractivoSitios!$A:$A,$A94,AtractivoSitios!$B:$B,S$2)</f>
        <v>0.428416879577457</v>
      </c>
      <c r="T94" s="0" t="n">
        <f aca="false">SUM(M94:S94)</f>
        <v>0.872363976237524</v>
      </c>
      <c r="U94" s="0" t="n">
        <f aca="false">C94/(AD$4+H94+$T94)</f>
        <v>0.000191051371268017</v>
      </c>
      <c r="V94" s="0" t="n">
        <f aca="false">D94/(AE$4+I94+$T94)</f>
        <v>5.54167028173465E-005</v>
      </c>
      <c r="W94" s="0" t="n">
        <f aca="false">E94/(AF$4+J94+$T94)</f>
        <v>0.00030899278302479</v>
      </c>
      <c r="X94" s="0" t="n">
        <f aca="false">F94/(AG$4+K94+$T94)</f>
        <v>1.73943772419538E-005</v>
      </c>
      <c r="Y94" s="0" t="n">
        <f aca="false">G94/(AH$4+L94+$T94)</f>
        <v>1.07924513436089E-005</v>
      </c>
    </row>
    <row r="95" customFormat="false" ht="15" hidden="false" customHeight="false" outlineLevel="0" collapsed="false">
      <c r="A95" s="0" t="s">
        <v>141</v>
      </c>
      <c r="B95" s="0" t="n">
        <f aca="false">SUMIFS(Sectores!$C:$C,Sectores!$A:$A,$A95)</f>
        <v>4352</v>
      </c>
      <c r="C95" s="0" t="n">
        <f aca="false">SUMIFS(Generacion!$C:$C,Generacion!$A:$A,$A95,Generacion!$B:$B,C$2)</f>
        <v>0.0435338767065874</v>
      </c>
      <c r="D95" s="0" t="n">
        <f aca="false">SUMIFS(Generacion!$C:$C,Generacion!$A:$A,$A95,Generacion!$B:$B,D$2)</f>
        <v>0.0378709333951614</v>
      </c>
      <c r="E95" s="0" t="n">
        <f aca="false">SUMIFS(Generacion!$C:$C,Generacion!$A:$A,$A95,Generacion!$B:$B,E$2)</f>
        <v>0.0134494903646368</v>
      </c>
      <c r="F95" s="0" t="n">
        <f aca="false">SUMIFS(Generacion!$C:$C,Generacion!$A:$A,$A95,Generacion!$B:$B,F$2)</f>
        <v>0.00353933956964125</v>
      </c>
      <c r="G95" s="0" t="n">
        <f aca="false">SUMIFS(Generacion!$C:$C,Generacion!$A:$A,$A95,Generacion!$B:$B,G$2)</f>
        <v>0.00247753769874887</v>
      </c>
      <c r="H95" s="0" t="n">
        <f aca="false">SUMPRODUCT((AtractivoAlternativas!$A$2:$A$931=$A95)*AtractivoAlternativas!$C$2:$C$931*COUNTIFS(Alternativas!$A$2:$A$51,AtractivoAlternativas!$B$2:$B$931,Alternativas!$B$2:$B$51,H$2))</f>
        <v>1.43506917861295</v>
      </c>
      <c r="I95" s="0" t="n">
        <f aca="false">SUMPRODUCT((AtractivoAlternativas!$A$2:$A$931=$A95)*AtractivoAlternativas!$C$2:$C$931*COUNTIFS(Alternativas!$A$2:$A$51,AtractivoAlternativas!$B$2:$B$931,Alternativas!$B$2:$B$51,I$2))</f>
        <v>2.92352579636453</v>
      </c>
      <c r="J95" s="0" t="n">
        <f aca="false">SUMPRODUCT((AtractivoAlternativas!$A$2:$A$931=$A95)*AtractivoAlternativas!$C$2:$C$931*COUNTIFS(Alternativas!$A$2:$A$51,AtractivoAlternativas!$B$2:$B$931,Alternativas!$B$2:$B$51,J$2))</f>
        <v>1.31363131823054</v>
      </c>
      <c r="K95" s="0" t="n">
        <f aca="false">SUMPRODUCT((AtractivoAlternativas!$A$2:$A$931=$A95)*AtractivoAlternativas!$C$2:$C$931*COUNTIFS(Alternativas!$A$2:$A$51,AtractivoAlternativas!$B$2:$B$931,Alternativas!$B$2:$B$51,K$2))</f>
        <v>0</v>
      </c>
      <c r="L95" s="0" t="n">
        <f aca="false">SUMPRODUCT((AtractivoAlternativas!$A$2:$A$931=$A95)*AtractivoAlternativas!$C$2:$C$931*COUNTIFS(Alternativas!$A$2:$A$51,AtractivoAlternativas!$B$2:$B$931,Alternativas!$B$2:$B$51,L$2))</f>
        <v>0</v>
      </c>
      <c r="M95" s="0" t="n">
        <f aca="false">SUMIFS(AtractivoSitios!$C:$C,AtractivoSitios!$A:$A,$A95,AtractivoSitios!$B:$B,M$2)</f>
        <v>0</v>
      </c>
      <c r="N95" s="0" t="n">
        <f aca="false">SUMIFS(AtractivoSitios!$C:$C,AtractivoSitios!$A:$A,$A95,AtractivoSitios!$B:$B,N$2)</f>
        <v>0</v>
      </c>
      <c r="O95" s="0" t="n">
        <f aca="false">SUMIFS(AtractivoSitios!$C:$C,AtractivoSitios!$A:$A,$A95,AtractivoSitios!$B:$B,O$2)</f>
        <v>0</v>
      </c>
      <c r="P95" s="0" t="n">
        <f aca="false">SUMIFS(AtractivoSitios!$C:$C,AtractivoSitios!$A:$A,$A95,AtractivoSitios!$B:$B,P$2)</f>
        <v>0</v>
      </c>
      <c r="Q95" s="0" t="n">
        <f aca="false">SUMIFS(AtractivoSitios!$C:$C,AtractivoSitios!$A:$A,$A95,AtractivoSitios!$B:$B,Q$2)</f>
        <v>0</v>
      </c>
      <c r="R95" s="0" t="n">
        <f aca="false">SUMIFS(AtractivoSitios!$C:$C,AtractivoSitios!$A:$A,$A95,AtractivoSitios!$B:$B,R$2)</f>
        <v>0.510936739650298</v>
      </c>
      <c r="S95" s="0" t="n">
        <f aca="false">SUMIFS(AtractivoSitios!$C:$C,AtractivoSitios!$A:$A,$A95,AtractivoSitios!$B:$B,S$2)</f>
        <v>0.620255164872193</v>
      </c>
      <c r="T95" s="0" t="n">
        <f aca="false">SUM(M95:S95)</f>
        <v>1.13119190452249</v>
      </c>
      <c r="U95" s="0" t="n">
        <f aca="false">C95/(AD$4+H95+$T95)</f>
        <v>0.000190989249091284</v>
      </c>
      <c r="V95" s="0" t="n">
        <f aca="false">D95/(AE$4+I95+$T95)</f>
        <v>5.53792893003245E-005</v>
      </c>
      <c r="W95" s="0" t="n">
        <f aca="false">E95/(AF$4+J95+$T95)</f>
        <v>0.000310054192714775</v>
      </c>
      <c r="X95" s="0" t="n">
        <f aca="false">F95/(AG$4+K95+$T95)</f>
        <v>1.73722791595453E-005</v>
      </c>
      <c r="Y95" s="0" t="n">
        <f aca="false">G95/(AH$4+L95+$T95)</f>
        <v>1.07802967154143E-005</v>
      </c>
    </row>
    <row r="96" customFormat="false" ht="15" hidden="false" customHeight="false" outlineLevel="0" collapsed="false">
      <c r="A96" s="0" t="s">
        <v>142</v>
      </c>
      <c r="B96" s="0" t="n">
        <f aca="false">SUMIFS(Sectores!$C:$C,Sectores!$A:$A,$A96)</f>
        <v>3555</v>
      </c>
      <c r="C96" s="0" t="n">
        <f aca="false">SUMIFS(Generacion!$C:$C,Generacion!$A:$A,$A96,Generacion!$B:$B,C$2)</f>
        <v>0.0435338767065874</v>
      </c>
      <c r="D96" s="0" t="n">
        <f aca="false">SUMIFS(Generacion!$C:$C,Generacion!$A:$A,$A96,Generacion!$B:$B,D$2)</f>
        <v>0.0378709333951614</v>
      </c>
      <c r="E96" s="0" t="n">
        <f aca="false">SUMIFS(Generacion!$C:$C,Generacion!$A:$A,$A96,Generacion!$B:$B,E$2)</f>
        <v>0.0134494903646368</v>
      </c>
      <c r="F96" s="0" t="n">
        <f aca="false">SUMIFS(Generacion!$C:$C,Generacion!$A:$A,$A96,Generacion!$B:$B,F$2)</f>
        <v>0.00353933956964125</v>
      </c>
      <c r="G96" s="0" t="n">
        <f aca="false">SUMIFS(Generacion!$C:$C,Generacion!$A:$A,$A96,Generacion!$B:$B,G$2)</f>
        <v>0.00247753769874887</v>
      </c>
      <c r="H96" s="0" t="n">
        <f aca="false">SUMPRODUCT((AtractivoAlternativas!$A$2:$A$931=$A96)*AtractivoAlternativas!$C$2:$C$931*COUNTIFS(Alternativas!$A$2:$A$51,AtractivoAlternativas!$B$2:$B$931,Alternativas!$B$2:$B$51,H$2))</f>
        <v>1.2679756576752</v>
      </c>
      <c r="I96" s="0" t="n">
        <f aca="false">SUMPRODUCT((AtractivoAlternativas!$A$2:$A$931=$A96)*AtractivoAlternativas!$C$2:$C$931*COUNTIFS(Alternativas!$A$2:$A$51,AtractivoAlternativas!$B$2:$B$931,Alternativas!$B$2:$B$51,I$2))</f>
        <v>2.55726812504079</v>
      </c>
      <c r="J96" s="0" t="n">
        <f aca="false">SUMPRODUCT((AtractivoAlternativas!$A$2:$A$931=$A96)*AtractivoAlternativas!$C$2:$C$931*COUNTIFS(Alternativas!$A$2:$A$51,AtractivoAlternativas!$B$2:$B$931,Alternativas!$B$2:$B$51,J$2))</f>
        <v>1.67178877034601</v>
      </c>
      <c r="K96" s="0" t="n">
        <f aca="false">SUMPRODUCT((AtractivoAlternativas!$A$2:$A$931=$A96)*AtractivoAlternativas!$C$2:$C$931*COUNTIFS(Alternativas!$A$2:$A$51,AtractivoAlternativas!$B$2:$B$931,Alternativas!$B$2:$B$51,K$2))</f>
        <v>0</v>
      </c>
      <c r="L96" s="0" t="n">
        <f aca="false">SUMPRODUCT((AtractivoAlternativas!$A$2:$A$931=$A96)*AtractivoAlternativas!$C$2:$C$931*COUNTIFS(Alternativas!$A$2:$A$51,AtractivoAlternativas!$B$2:$B$931,Alternativas!$B$2:$B$51,L$2))</f>
        <v>0</v>
      </c>
      <c r="M96" s="0" t="n">
        <f aca="false">SUMIFS(AtractivoSitios!$C:$C,AtractivoSitios!$A:$A,$A96,AtractivoSitios!$B:$B,M$2)</f>
        <v>0</v>
      </c>
      <c r="N96" s="0" t="n">
        <f aca="false">SUMIFS(AtractivoSitios!$C:$C,AtractivoSitios!$A:$A,$A96,AtractivoSitios!$B:$B,N$2)</f>
        <v>0</v>
      </c>
      <c r="O96" s="0" t="n">
        <f aca="false">SUMIFS(AtractivoSitios!$C:$C,AtractivoSitios!$A:$A,$A96,AtractivoSitios!$B:$B,O$2)</f>
        <v>0</v>
      </c>
      <c r="P96" s="0" t="n">
        <f aca="false">SUMIFS(AtractivoSitios!$C:$C,AtractivoSitios!$A:$A,$A96,AtractivoSitios!$B:$B,P$2)</f>
        <v>0</v>
      </c>
      <c r="Q96" s="0" t="n">
        <f aca="false">SUMIFS(AtractivoSitios!$C:$C,AtractivoSitios!$A:$A,$A96,AtractivoSitios!$B:$B,Q$2)</f>
        <v>0</v>
      </c>
      <c r="R96" s="0" t="n">
        <f aca="false">SUMIFS(AtractivoSitios!$C:$C,AtractivoSitios!$A:$A,$A96,AtractivoSitios!$B:$B,R$2)</f>
        <v>0.407884191652688</v>
      </c>
      <c r="S96" s="0" t="n">
        <f aca="false">SUMIFS(AtractivoSitios!$C:$C,AtractivoSitios!$A:$A,$A96,AtractivoSitios!$B:$B,S$2)</f>
        <v>0.834230371785623</v>
      </c>
      <c r="T96" s="0" t="n">
        <f aca="false">SUM(M96:S96)</f>
        <v>1.24211456343831</v>
      </c>
      <c r="U96" s="0" t="n">
        <f aca="false">C96/(AD$4+H96+$T96)</f>
        <v>0.000191036326074478</v>
      </c>
      <c r="V96" s="0" t="n">
        <f aca="false">D96/(AE$4+I96+$T96)</f>
        <v>5.53999745756136E-005</v>
      </c>
      <c r="W96" s="0" t="n">
        <f aca="false">E96/(AF$4+J96+$T96)</f>
        <v>0.000306737194477844</v>
      </c>
      <c r="X96" s="0" t="n">
        <f aca="false">F96/(AG$4+K96+$T96)</f>
        <v>1.73628260377497E-005</v>
      </c>
      <c r="Y96" s="0" t="n">
        <f aca="false">G96/(AH$4+L96+$T96)</f>
        <v>1.07750961343782E-005</v>
      </c>
    </row>
    <row r="97" customFormat="false" ht="15" hidden="false" customHeight="false" outlineLevel="0" collapsed="false">
      <c r="A97" s="0" t="s">
        <v>143</v>
      </c>
      <c r="B97" s="0" t="n">
        <f aca="false">SUMIFS(Sectores!$C:$C,Sectores!$A:$A,$A97)</f>
        <v>5192</v>
      </c>
      <c r="C97" s="0" t="n">
        <f aca="false">SUMIFS(Generacion!$C:$C,Generacion!$A:$A,$A97,Generacion!$B:$B,C$2)</f>
        <v>0.0435338767065874</v>
      </c>
      <c r="D97" s="0" t="n">
        <f aca="false">SUMIFS(Generacion!$C:$C,Generacion!$A:$A,$A97,Generacion!$B:$B,D$2)</f>
        <v>0.0378709333951614</v>
      </c>
      <c r="E97" s="0" t="n">
        <f aca="false">SUMIFS(Generacion!$C:$C,Generacion!$A:$A,$A97,Generacion!$B:$B,E$2)</f>
        <v>0.0134494903646368</v>
      </c>
      <c r="F97" s="0" t="n">
        <f aca="false">SUMIFS(Generacion!$C:$C,Generacion!$A:$A,$A97,Generacion!$B:$B,F$2)</f>
        <v>0.00353933956964125</v>
      </c>
      <c r="G97" s="0" t="n">
        <f aca="false">SUMIFS(Generacion!$C:$C,Generacion!$A:$A,$A97,Generacion!$B:$B,G$2)</f>
        <v>0.00247753769874887</v>
      </c>
      <c r="H97" s="0" t="n">
        <f aca="false">SUMPRODUCT((AtractivoAlternativas!$A$2:$A$931=$A97)*AtractivoAlternativas!$C$2:$C$931*COUNTIFS(Alternativas!$A$2:$A$51,AtractivoAlternativas!$B$2:$B$931,Alternativas!$B$2:$B$51,H$2))</f>
        <v>0.909448517770302</v>
      </c>
      <c r="I97" s="0" t="n">
        <f aca="false">SUMPRODUCT((AtractivoAlternativas!$A$2:$A$931=$A97)*AtractivoAlternativas!$C$2:$C$931*COUNTIFS(Alternativas!$A$2:$A$51,AtractivoAlternativas!$B$2:$B$931,Alternativas!$B$2:$B$51,I$2))</f>
        <v>1.45271477029463</v>
      </c>
      <c r="J97" s="0" t="n">
        <f aca="false">SUMPRODUCT((AtractivoAlternativas!$A$2:$A$931=$A97)*AtractivoAlternativas!$C$2:$C$931*COUNTIFS(Alternativas!$A$2:$A$51,AtractivoAlternativas!$B$2:$B$931,Alternativas!$B$2:$B$51,J$2))</f>
        <v>1.45339201878729</v>
      </c>
      <c r="K97" s="0" t="n">
        <f aca="false">SUMPRODUCT((AtractivoAlternativas!$A$2:$A$931=$A97)*AtractivoAlternativas!$C$2:$C$931*COUNTIFS(Alternativas!$A$2:$A$51,AtractivoAlternativas!$B$2:$B$931,Alternativas!$B$2:$B$51,K$2))</f>
        <v>0</v>
      </c>
      <c r="L97" s="0" t="n">
        <f aca="false">SUMPRODUCT((AtractivoAlternativas!$A$2:$A$931=$A97)*AtractivoAlternativas!$C$2:$C$931*COUNTIFS(Alternativas!$A$2:$A$51,AtractivoAlternativas!$B$2:$B$931,Alternativas!$B$2:$B$51,L$2))</f>
        <v>0</v>
      </c>
      <c r="M97" s="0" t="n">
        <f aca="false">SUMIFS(AtractivoSitios!$C:$C,AtractivoSitios!$A:$A,$A97,AtractivoSitios!$B:$B,M$2)</f>
        <v>0</v>
      </c>
      <c r="N97" s="0" t="n">
        <f aca="false">SUMIFS(AtractivoSitios!$C:$C,AtractivoSitios!$A:$A,$A97,AtractivoSitios!$B:$B,N$2)</f>
        <v>0</v>
      </c>
      <c r="O97" s="0" t="n">
        <f aca="false">SUMIFS(AtractivoSitios!$C:$C,AtractivoSitios!$A:$A,$A97,AtractivoSitios!$B:$B,O$2)</f>
        <v>0</v>
      </c>
      <c r="P97" s="0" t="n">
        <f aca="false">SUMIFS(AtractivoSitios!$C:$C,AtractivoSitios!$A:$A,$A97,AtractivoSitios!$B:$B,P$2)</f>
        <v>0</v>
      </c>
      <c r="Q97" s="0" t="n">
        <f aca="false">SUMIFS(AtractivoSitios!$C:$C,AtractivoSitios!$A:$A,$A97,AtractivoSitios!$B:$B,Q$2)</f>
        <v>0</v>
      </c>
      <c r="R97" s="0" t="n">
        <f aca="false">SUMIFS(AtractivoSitios!$C:$C,AtractivoSitios!$A:$A,$A97,AtractivoSitios!$B:$B,R$2)</f>
        <v>0.377676562386101</v>
      </c>
      <c r="S97" s="0" t="n">
        <f aca="false">SUMIFS(AtractivoSitios!$C:$C,AtractivoSitios!$A:$A,$A97,AtractivoSitios!$B:$B,S$2)</f>
        <v>0.587925874289641</v>
      </c>
      <c r="T97" s="0" t="n">
        <f aca="false">SUM(M97:S97)</f>
        <v>0.965602436675742</v>
      </c>
      <c r="U97" s="0" t="n">
        <f aca="false">C97/(AD$4+H97+$T97)</f>
        <v>0.000191570173419082</v>
      </c>
      <c r="V97" s="0" t="n">
        <f aca="false">D97/(AE$4+I97+$T97)</f>
        <v>5.55121262311564E-005</v>
      </c>
      <c r="W97" s="0" t="n">
        <f aca="false">E97/(AF$4+J97+$T97)</f>
        <v>0.00031023892029444</v>
      </c>
      <c r="X97" s="0" t="n">
        <f aca="false">F97/(AG$4+K97+$T97)</f>
        <v>1.73864102996655E-005</v>
      </c>
      <c r="Y97" s="0" t="n">
        <f aca="false">G97/(AH$4+L97+$T97)</f>
        <v>1.07880696837124E-005</v>
      </c>
    </row>
    <row r="98" customFormat="false" ht="15" hidden="false" customHeight="false" outlineLevel="0" collapsed="false">
      <c r="A98" s="0" t="s">
        <v>144</v>
      </c>
      <c r="B98" s="0" t="n">
        <f aca="false">SUMIFS(Sectores!$C:$C,Sectores!$A:$A,$A98)</f>
        <v>4664</v>
      </c>
      <c r="C98" s="0" t="n">
        <f aca="false">SUMIFS(Generacion!$C:$C,Generacion!$A:$A,$A98,Generacion!$B:$B,C$2)</f>
        <v>0.0435338767065874</v>
      </c>
      <c r="D98" s="0" t="n">
        <f aca="false">SUMIFS(Generacion!$C:$C,Generacion!$A:$A,$A98,Generacion!$B:$B,D$2)</f>
        <v>0.0378709333951614</v>
      </c>
      <c r="E98" s="0" t="n">
        <f aca="false">SUMIFS(Generacion!$C:$C,Generacion!$A:$A,$A98,Generacion!$B:$B,E$2)</f>
        <v>0.0134494903646368</v>
      </c>
      <c r="F98" s="0" t="n">
        <f aca="false">SUMIFS(Generacion!$C:$C,Generacion!$A:$A,$A98,Generacion!$B:$B,F$2)</f>
        <v>0.00353933956964125</v>
      </c>
      <c r="G98" s="0" t="n">
        <f aca="false">SUMIFS(Generacion!$C:$C,Generacion!$A:$A,$A98,Generacion!$B:$B,G$2)</f>
        <v>0.00247753769874887</v>
      </c>
      <c r="H98" s="0" t="n">
        <f aca="false">SUMPRODUCT((AtractivoAlternativas!$A$2:$A$931=$A98)*AtractivoAlternativas!$C$2:$C$931*COUNTIFS(Alternativas!$A$2:$A$51,AtractivoAlternativas!$B$2:$B$931,Alternativas!$B$2:$B$51,H$2))</f>
        <v>1.61692988366885</v>
      </c>
      <c r="I98" s="0" t="n">
        <f aca="false">SUMPRODUCT((AtractivoAlternativas!$A$2:$A$931=$A98)*AtractivoAlternativas!$C$2:$C$931*COUNTIFS(Alternativas!$A$2:$A$51,AtractivoAlternativas!$B$2:$B$931,Alternativas!$B$2:$B$51,I$2))</f>
        <v>3.46054164449869</v>
      </c>
      <c r="J98" s="0" t="n">
        <f aca="false">SUMPRODUCT((AtractivoAlternativas!$A$2:$A$931=$A98)*AtractivoAlternativas!$C$2:$C$931*COUNTIFS(Alternativas!$A$2:$A$51,AtractivoAlternativas!$B$2:$B$931,Alternativas!$B$2:$B$51,J$2))</f>
        <v>1.07398995747949</v>
      </c>
      <c r="K98" s="0" t="n">
        <f aca="false">SUMPRODUCT((AtractivoAlternativas!$A$2:$A$931=$A98)*AtractivoAlternativas!$C$2:$C$931*COUNTIFS(Alternativas!$A$2:$A$51,AtractivoAlternativas!$B$2:$B$931,Alternativas!$B$2:$B$51,K$2))</f>
        <v>0</v>
      </c>
      <c r="L98" s="0" t="n">
        <f aca="false">SUMPRODUCT((AtractivoAlternativas!$A$2:$A$931=$A98)*AtractivoAlternativas!$C$2:$C$931*COUNTIFS(Alternativas!$A$2:$A$51,AtractivoAlternativas!$B$2:$B$931,Alternativas!$B$2:$B$51,L$2))</f>
        <v>0</v>
      </c>
      <c r="M98" s="0" t="n">
        <f aca="false">SUMIFS(AtractivoSitios!$C:$C,AtractivoSitios!$A:$A,$A98,AtractivoSitios!$B:$B,M$2)</f>
        <v>0</v>
      </c>
      <c r="N98" s="0" t="n">
        <f aca="false">SUMIFS(AtractivoSitios!$C:$C,AtractivoSitios!$A:$A,$A98,AtractivoSitios!$B:$B,N$2)</f>
        <v>0</v>
      </c>
      <c r="O98" s="0" t="n">
        <f aca="false">SUMIFS(AtractivoSitios!$C:$C,AtractivoSitios!$A:$A,$A98,AtractivoSitios!$B:$B,O$2)</f>
        <v>0</v>
      </c>
      <c r="P98" s="0" t="n">
        <f aca="false">SUMIFS(AtractivoSitios!$C:$C,AtractivoSitios!$A:$A,$A98,AtractivoSitios!$B:$B,P$2)</f>
        <v>0</v>
      </c>
      <c r="Q98" s="0" t="n">
        <f aca="false">SUMIFS(AtractivoSitios!$C:$C,AtractivoSitios!$A:$A,$A98,AtractivoSitios!$B:$B,Q$2)</f>
        <v>0</v>
      </c>
      <c r="R98" s="0" t="n">
        <f aca="false">SUMIFS(AtractivoSitios!$C:$C,AtractivoSitios!$A:$A,$A98,AtractivoSitios!$B:$B,R$2)</f>
        <v>0.581390329814852</v>
      </c>
      <c r="S98" s="0" t="n">
        <f aca="false">SUMIFS(AtractivoSitios!$C:$C,AtractivoSitios!$A:$A,$A98,AtractivoSitios!$B:$B,S$2)</f>
        <v>0.747330827105824</v>
      </c>
      <c r="T98" s="0" t="n">
        <f aca="false">SUM(M98:S98)</f>
        <v>1.32872115692068</v>
      </c>
      <c r="U98" s="0" t="n">
        <f aca="false">C98/(AD$4+H98+$T98)</f>
        <v>0.000190671887711727</v>
      </c>
      <c r="V98" s="0" t="n">
        <f aca="false">D98/(AE$4+I98+$T98)</f>
        <v>5.53198681614164E-005</v>
      </c>
      <c r="W98" s="0" t="n">
        <f aca="false">E98/(AF$4+J98+$T98)</f>
        <v>0.000310355492068731</v>
      </c>
      <c r="X98" s="0" t="n">
        <f aca="false">F98/(AG$4+K98+$T98)</f>
        <v>1.73554523443325E-005</v>
      </c>
      <c r="Y98" s="0" t="n">
        <f aca="false">G98/(AH$4+L98+$T98)</f>
        <v>1.07710390929646E-005</v>
      </c>
    </row>
    <row r="99" customFormat="false" ht="15" hidden="false" customHeight="false" outlineLevel="0" collapsed="false">
      <c r="A99" s="0" t="s">
        <v>145</v>
      </c>
      <c r="B99" s="0" t="n">
        <f aca="false">SUMIFS(Sectores!$C:$C,Sectores!$A:$A,$A99)</f>
        <v>3681</v>
      </c>
      <c r="C99" s="0" t="n">
        <f aca="false">SUMIFS(Generacion!$C:$C,Generacion!$A:$A,$A99,Generacion!$B:$B,C$2)</f>
        <v>0.0435338767065874</v>
      </c>
      <c r="D99" s="0" t="n">
        <f aca="false">SUMIFS(Generacion!$C:$C,Generacion!$A:$A,$A99,Generacion!$B:$B,D$2)</f>
        <v>0.0378709333951614</v>
      </c>
      <c r="E99" s="0" t="n">
        <f aca="false">SUMIFS(Generacion!$C:$C,Generacion!$A:$A,$A99,Generacion!$B:$B,E$2)</f>
        <v>0.0134494903646368</v>
      </c>
      <c r="F99" s="0" t="n">
        <f aca="false">SUMIFS(Generacion!$C:$C,Generacion!$A:$A,$A99,Generacion!$B:$B,F$2)</f>
        <v>0.00353933956964125</v>
      </c>
      <c r="G99" s="0" t="n">
        <f aca="false">SUMIFS(Generacion!$C:$C,Generacion!$A:$A,$A99,Generacion!$B:$B,G$2)</f>
        <v>0.00247753769874887</v>
      </c>
      <c r="H99" s="0" t="n">
        <f aca="false">SUMPRODUCT((AtractivoAlternativas!$A$2:$A$931=$A99)*AtractivoAlternativas!$C$2:$C$931*COUNTIFS(Alternativas!$A$2:$A$51,AtractivoAlternativas!$B$2:$B$931,Alternativas!$B$2:$B$51,H$2))</f>
        <v>1.84287562004318</v>
      </c>
      <c r="I99" s="0" t="n">
        <f aca="false">SUMPRODUCT((AtractivoAlternativas!$A$2:$A$931=$A99)*AtractivoAlternativas!$C$2:$C$931*COUNTIFS(Alternativas!$A$2:$A$51,AtractivoAlternativas!$B$2:$B$931,Alternativas!$B$2:$B$51,I$2))</f>
        <v>3.37042477322478</v>
      </c>
      <c r="J99" s="0" t="n">
        <f aca="false">SUMPRODUCT((AtractivoAlternativas!$A$2:$A$931=$A99)*AtractivoAlternativas!$C$2:$C$931*COUNTIFS(Alternativas!$A$2:$A$51,AtractivoAlternativas!$B$2:$B$931,Alternativas!$B$2:$B$51,J$2))</f>
        <v>1.53488007912612</v>
      </c>
      <c r="K99" s="0" t="n">
        <f aca="false">SUMPRODUCT((AtractivoAlternativas!$A$2:$A$931=$A99)*AtractivoAlternativas!$C$2:$C$931*COUNTIFS(Alternativas!$A$2:$A$51,AtractivoAlternativas!$B$2:$B$931,Alternativas!$B$2:$B$51,K$2))</f>
        <v>0</v>
      </c>
      <c r="L99" s="0" t="n">
        <f aca="false">SUMPRODUCT((AtractivoAlternativas!$A$2:$A$931=$A99)*AtractivoAlternativas!$C$2:$C$931*COUNTIFS(Alternativas!$A$2:$A$51,AtractivoAlternativas!$B$2:$B$931,Alternativas!$B$2:$B$51,L$2))</f>
        <v>0</v>
      </c>
      <c r="M99" s="0" t="n">
        <f aca="false">SUMIFS(AtractivoSitios!$C:$C,AtractivoSitios!$A:$A,$A99,AtractivoSitios!$B:$B,M$2)</f>
        <v>0</v>
      </c>
      <c r="N99" s="0" t="n">
        <f aca="false">SUMIFS(AtractivoSitios!$C:$C,AtractivoSitios!$A:$A,$A99,AtractivoSitios!$B:$B,N$2)</f>
        <v>0</v>
      </c>
      <c r="O99" s="0" t="n">
        <f aca="false">SUMIFS(AtractivoSitios!$C:$C,AtractivoSitios!$A:$A,$A99,AtractivoSitios!$B:$B,O$2)</f>
        <v>0</v>
      </c>
      <c r="P99" s="0" t="n">
        <f aca="false">SUMIFS(AtractivoSitios!$C:$C,AtractivoSitios!$A:$A,$A99,AtractivoSitios!$B:$B,P$2)</f>
        <v>0</v>
      </c>
      <c r="Q99" s="0" t="n">
        <f aca="false">SUMIFS(AtractivoSitios!$C:$C,AtractivoSitios!$A:$A,$A99,AtractivoSitios!$B:$B,Q$2)</f>
        <v>0</v>
      </c>
      <c r="R99" s="0" t="n">
        <f aca="false">SUMIFS(AtractivoSitios!$C:$C,AtractivoSitios!$A:$A,$A99,AtractivoSitios!$B:$B,R$2)</f>
        <v>0.543172798284875</v>
      </c>
      <c r="S99" s="0" t="n">
        <f aca="false">SUMIFS(AtractivoSitios!$C:$C,AtractivoSitios!$A:$A,$A99,AtractivoSitios!$B:$B,S$2)</f>
        <v>0.803893244148284</v>
      </c>
      <c r="T99" s="0" t="n">
        <f aca="false">SUM(M99:S99)</f>
        <v>1.34706604243316</v>
      </c>
      <c r="U99" s="0" t="n">
        <f aca="false">C99/(AD$4+H99+$T99)</f>
        <v>0.000190468095136724</v>
      </c>
      <c r="V99" s="0" t="n">
        <f aca="false">D99/(AE$4+I99+$T99)</f>
        <v>5.5325668545606E-005</v>
      </c>
      <c r="W99" s="0" t="n">
        <f aca="false">E99/(AF$4+J99+$T99)</f>
        <v>0.000306960918482911</v>
      </c>
      <c r="X99" s="0" t="n">
        <f aca="false">F99/(AG$4+K99+$T99)</f>
        <v>1.73538912628092E-005</v>
      </c>
      <c r="Y99" s="0" t="n">
        <f aca="false">G99/(AH$4+L99+$T99)</f>
        <v>1.07701801282908E-005</v>
      </c>
    </row>
    <row r="100" customFormat="false" ht="15" hidden="false" customHeight="false" outlineLevel="0" collapsed="false">
      <c r="A100" s="0" t="s">
        <v>146</v>
      </c>
      <c r="B100" s="0" t="n">
        <f aca="false">SUMIFS(Sectores!$C:$C,Sectores!$A:$A,$A100)</f>
        <v>3850</v>
      </c>
      <c r="C100" s="0" t="n">
        <f aca="false">SUMIFS(Generacion!$C:$C,Generacion!$A:$A,$A100,Generacion!$B:$B,C$2)</f>
        <v>0.0435338767065874</v>
      </c>
      <c r="D100" s="0" t="n">
        <f aca="false">SUMIFS(Generacion!$C:$C,Generacion!$A:$A,$A100,Generacion!$B:$B,D$2)</f>
        <v>0.0378709333951614</v>
      </c>
      <c r="E100" s="0" t="n">
        <f aca="false">SUMIFS(Generacion!$C:$C,Generacion!$A:$A,$A100,Generacion!$B:$B,E$2)</f>
        <v>0.0134494903646368</v>
      </c>
      <c r="F100" s="0" t="n">
        <f aca="false">SUMIFS(Generacion!$C:$C,Generacion!$A:$A,$A100,Generacion!$B:$B,F$2)</f>
        <v>0.00353933956964125</v>
      </c>
      <c r="G100" s="0" t="n">
        <f aca="false">SUMIFS(Generacion!$C:$C,Generacion!$A:$A,$A100,Generacion!$B:$B,G$2)</f>
        <v>0.00247753769874887</v>
      </c>
      <c r="H100" s="0" t="n">
        <f aca="false">SUMPRODUCT((AtractivoAlternativas!$A$2:$A$931=$A100)*AtractivoAlternativas!$C$2:$C$931*COUNTIFS(Alternativas!$A$2:$A$51,AtractivoAlternativas!$B$2:$B$931,Alternativas!$B$2:$B$51,H$2))</f>
        <v>1.31975500273783</v>
      </c>
      <c r="I100" s="0" t="n">
        <f aca="false">SUMPRODUCT((AtractivoAlternativas!$A$2:$A$931=$A100)*AtractivoAlternativas!$C$2:$C$931*COUNTIFS(Alternativas!$A$2:$A$51,AtractivoAlternativas!$B$2:$B$931,Alternativas!$B$2:$B$51,I$2))</f>
        <v>2.93506809857095</v>
      </c>
      <c r="J100" s="0" t="n">
        <f aca="false">SUMPRODUCT((AtractivoAlternativas!$A$2:$A$931=$A100)*AtractivoAlternativas!$C$2:$C$931*COUNTIFS(Alternativas!$A$2:$A$51,AtractivoAlternativas!$B$2:$B$931,Alternativas!$B$2:$B$51,J$2))</f>
        <v>1.15122224518258</v>
      </c>
      <c r="K100" s="0" t="n">
        <f aca="false">SUMPRODUCT((AtractivoAlternativas!$A$2:$A$931=$A100)*AtractivoAlternativas!$C$2:$C$931*COUNTIFS(Alternativas!$A$2:$A$51,AtractivoAlternativas!$B$2:$B$931,Alternativas!$B$2:$B$51,K$2))</f>
        <v>0</v>
      </c>
      <c r="L100" s="0" t="n">
        <f aca="false">SUMPRODUCT((AtractivoAlternativas!$A$2:$A$931=$A100)*AtractivoAlternativas!$C$2:$C$931*COUNTIFS(Alternativas!$A$2:$A$51,AtractivoAlternativas!$B$2:$B$931,Alternativas!$B$2:$B$51,L$2))</f>
        <v>0</v>
      </c>
      <c r="M100" s="0" t="n">
        <f aca="false">SUMIFS(AtractivoSitios!$C:$C,AtractivoSitios!$A:$A,$A100,AtractivoSitios!$B:$B,M$2)</f>
        <v>0</v>
      </c>
      <c r="N100" s="0" t="n">
        <f aca="false">SUMIFS(AtractivoSitios!$C:$C,AtractivoSitios!$A:$A,$A100,AtractivoSitios!$B:$B,N$2)</f>
        <v>0</v>
      </c>
      <c r="O100" s="0" t="n">
        <f aca="false">SUMIFS(AtractivoSitios!$C:$C,AtractivoSitios!$A:$A,$A100,AtractivoSitios!$B:$B,O$2)</f>
        <v>0</v>
      </c>
      <c r="P100" s="0" t="n">
        <f aca="false">SUMIFS(AtractivoSitios!$C:$C,AtractivoSitios!$A:$A,$A100,AtractivoSitios!$B:$B,P$2)</f>
        <v>0</v>
      </c>
      <c r="Q100" s="0" t="n">
        <f aca="false">SUMIFS(AtractivoSitios!$C:$C,AtractivoSitios!$A:$A,$A100,AtractivoSitios!$B:$B,Q$2)</f>
        <v>0</v>
      </c>
      <c r="R100" s="0" t="n">
        <f aca="false">SUMIFS(AtractivoSitios!$C:$C,AtractivoSitios!$A:$A,$A100,AtractivoSitios!$B:$B,R$2)</f>
        <v>0</v>
      </c>
      <c r="S100" s="0" t="n">
        <f aca="false">SUMIFS(AtractivoSitios!$C:$C,AtractivoSitios!$A:$A,$A100,AtractivoSitios!$B:$B,S$2)</f>
        <v>0.770459571395374</v>
      </c>
      <c r="T100" s="0" t="n">
        <f aca="false">SUM(M100:S100)</f>
        <v>0.770459571395374</v>
      </c>
      <c r="U100" s="0" t="n">
        <f aca="false">C100/(AD$4+H100+$T100)</f>
        <v>0.000191388961701159</v>
      </c>
      <c r="V100" s="0" t="n">
        <f aca="false">D100/(AE$4+I100+$T100)</f>
        <v>5.54075818705237E-005</v>
      </c>
      <c r="W100" s="0" t="n">
        <f aca="false">E100/(AF$4+J100+$T100)</f>
        <v>0.000313839123640931</v>
      </c>
      <c r="X100" s="0" t="n">
        <f aca="false">F100/(AG$4+K100+$T100)</f>
        <v>1.74030930177803E-005</v>
      </c>
      <c r="Y100" s="0" t="n">
        <f aca="false">G100/(AH$4+L100+$T100)</f>
        <v>1.07972443246777E-005</v>
      </c>
    </row>
    <row r="101" customFormat="false" ht="15" hidden="false" customHeight="false" outlineLevel="0" collapsed="false">
      <c r="A101" s="0" t="s">
        <v>147</v>
      </c>
      <c r="B101" s="0" t="n">
        <f aca="false">SUMIFS(Sectores!$C:$C,Sectores!$A:$A,$A101)</f>
        <v>5150</v>
      </c>
      <c r="C101" s="0" t="n">
        <f aca="false">SUMIFS(Generacion!$C:$C,Generacion!$A:$A,$A101,Generacion!$B:$B,C$2)</f>
        <v>0.0435338767065874</v>
      </c>
      <c r="D101" s="0" t="n">
        <f aca="false">SUMIFS(Generacion!$C:$C,Generacion!$A:$A,$A101,Generacion!$B:$B,D$2)</f>
        <v>0.0378709333951614</v>
      </c>
      <c r="E101" s="0" t="n">
        <f aca="false">SUMIFS(Generacion!$C:$C,Generacion!$A:$A,$A101,Generacion!$B:$B,E$2)</f>
        <v>0.0134494903646368</v>
      </c>
      <c r="F101" s="0" t="n">
        <f aca="false">SUMIFS(Generacion!$C:$C,Generacion!$A:$A,$A101,Generacion!$B:$B,F$2)</f>
        <v>0.00353933956964125</v>
      </c>
      <c r="G101" s="0" t="n">
        <f aca="false">SUMIFS(Generacion!$C:$C,Generacion!$A:$A,$A101,Generacion!$B:$B,G$2)</f>
        <v>0.00247753769874887</v>
      </c>
      <c r="H101" s="0" t="n">
        <f aca="false">SUMPRODUCT((AtractivoAlternativas!$A$2:$A$931=$A101)*AtractivoAlternativas!$C$2:$C$931*COUNTIFS(Alternativas!$A$2:$A$51,AtractivoAlternativas!$B$2:$B$931,Alternativas!$B$2:$B$51,H$2))</f>
        <v>1.40147309493939</v>
      </c>
      <c r="I101" s="0" t="n">
        <f aca="false">SUMPRODUCT((AtractivoAlternativas!$A$2:$A$931=$A101)*AtractivoAlternativas!$C$2:$C$931*COUNTIFS(Alternativas!$A$2:$A$51,AtractivoAlternativas!$B$2:$B$931,Alternativas!$B$2:$B$51,I$2))</f>
        <v>3.41861076209574</v>
      </c>
      <c r="J101" s="0" t="n">
        <f aca="false">SUMPRODUCT((AtractivoAlternativas!$A$2:$A$931=$A101)*AtractivoAlternativas!$C$2:$C$931*COUNTIFS(Alternativas!$A$2:$A$51,AtractivoAlternativas!$B$2:$B$931,Alternativas!$B$2:$B$51,J$2))</f>
        <v>1.20546641846197</v>
      </c>
      <c r="K101" s="0" t="n">
        <f aca="false">SUMPRODUCT((AtractivoAlternativas!$A$2:$A$931=$A101)*AtractivoAlternativas!$C$2:$C$931*COUNTIFS(Alternativas!$A$2:$A$51,AtractivoAlternativas!$B$2:$B$931,Alternativas!$B$2:$B$51,K$2))</f>
        <v>0</v>
      </c>
      <c r="L101" s="0" t="n">
        <f aca="false">SUMPRODUCT((AtractivoAlternativas!$A$2:$A$931=$A101)*AtractivoAlternativas!$C$2:$C$931*COUNTIFS(Alternativas!$A$2:$A$51,AtractivoAlternativas!$B$2:$B$931,Alternativas!$B$2:$B$51,L$2))</f>
        <v>0</v>
      </c>
      <c r="M101" s="0" t="n">
        <f aca="false">SUMIFS(AtractivoSitios!$C:$C,AtractivoSitios!$A:$A,$A101,AtractivoSitios!$B:$B,M$2)</f>
        <v>0</v>
      </c>
      <c r="N101" s="0" t="n">
        <f aca="false">SUMIFS(AtractivoSitios!$C:$C,AtractivoSitios!$A:$A,$A101,AtractivoSitios!$B:$B,N$2)</f>
        <v>0</v>
      </c>
      <c r="O101" s="0" t="n">
        <f aca="false">SUMIFS(AtractivoSitios!$C:$C,AtractivoSitios!$A:$A,$A101,AtractivoSitios!$B:$B,O$2)</f>
        <v>0</v>
      </c>
      <c r="P101" s="0" t="n">
        <f aca="false">SUMIFS(AtractivoSitios!$C:$C,AtractivoSitios!$A:$A,$A101,AtractivoSitios!$B:$B,P$2)</f>
        <v>0</v>
      </c>
      <c r="Q101" s="0" t="n">
        <f aca="false">SUMIFS(AtractivoSitios!$C:$C,AtractivoSitios!$A:$A,$A101,AtractivoSitios!$B:$B,Q$2)</f>
        <v>0</v>
      </c>
      <c r="R101" s="0" t="n">
        <f aca="false">SUMIFS(AtractivoSitios!$C:$C,AtractivoSitios!$A:$A,$A101,AtractivoSitios!$B:$B,R$2)</f>
        <v>0.410189137662086</v>
      </c>
      <c r="S101" s="0" t="n">
        <f aca="false">SUMIFS(AtractivoSitios!$C:$C,AtractivoSitios!$A:$A,$A101,AtractivoSitios!$B:$B,S$2)</f>
        <v>0.9271279196819</v>
      </c>
      <c r="T101" s="0" t="n">
        <f aca="false">SUM(M101:S101)</f>
        <v>1.33731705734399</v>
      </c>
      <c r="U101" s="0" t="n">
        <f aca="false">C101/(AD$4+H101+$T101)</f>
        <v>0.000190844796884323</v>
      </c>
      <c r="V101" s="0" t="n">
        <f aca="false">D101/(AE$4+I101+$T101)</f>
        <v>5.53225620376351E-005</v>
      </c>
      <c r="W101" s="0" t="n">
        <f aca="false">E101/(AF$4+J101+$T101)</f>
        <v>0.00030935557494884</v>
      </c>
      <c r="X101" s="0" t="n">
        <f aca="false">F101/(AG$4+K101+$T101)</f>
        <v>1.73547208302121E-005</v>
      </c>
      <c r="Y101" s="0" t="n">
        <f aca="false">G101/(AH$4+L101+$T101)</f>
        <v>1.07706365890772E-005</v>
      </c>
    </row>
    <row r="102" customFormat="false" ht="15" hidden="false" customHeight="false" outlineLevel="0" collapsed="false">
      <c r="A102" s="0" t="s">
        <v>148</v>
      </c>
      <c r="B102" s="0" t="n">
        <f aca="false">SUMIFS(Sectores!$C:$C,Sectores!$A:$A,$A102)</f>
        <v>5165</v>
      </c>
      <c r="C102" s="0" t="n">
        <f aca="false">SUMIFS(Generacion!$C:$C,Generacion!$A:$A,$A102,Generacion!$B:$B,C$2)</f>
        <v>0.0435338767065874</v>
      </c>
      <c r="D102" s="0" t="n">
        <f aca="false">SUMIFS(Generacion!$C:$C,Generacion!$A:$A,$A102,Generacion!$B:$B,D$2)</f>
        <v>0.0378709333951614</v>
      </c>
      <c r="E102" s="0" t="n">
        <f aca="false">SUMIFS(Generacion!$C:$C,Generacion!$A:$A,$A102,Generacion!$B:$B,E$2)</f>
        <v>0.0134494903646368</v>
      </c>
      <c r="F102" s="0" t="n">
        <f aca="false">SUMIFS(Generacion!$C:$C,Generacion!$A:$A,$A102,Generacion!$B:$B,F$2)</f>
        <v>0.00353933956964125</v>
      </c>
      <c r="G102" s="0" t="n">
        <f aca="false">SUMIFS(Generacion!$C:$C,Generacion!$A:$A,$A102,Generacion!$B:$B,G$2)</f>
        <v>0.00247753769874887</v>
      </c>
      <c r="H102" s="0" t="n">
        <f aca="false">SUMPRODUCT((AtractivoAlternativas!$A$2:$A$931=$A102)*AtractivoAlternativas!$C$2:$C$931*COUNTIFS(Alternativas!$A$2:$A$51,AtractivoAlternativas!$B$2:$B$931,Alternativas!$B$2:$B$51,H$2))</f>
        <v>1.65219133518553</v>
      </c>
      <c r="I102" s="0" t="n">
        <f aca="false">SUMPRODUCT((AtractivoAlternativas!$A$2:$A$931=$A102)*AtractivoAlternativas!$C$2:$C$931*COUNTIFS(Alternativas!$A$2:$A$51,AtractivoAlternativas!$B$2:$B$931,Alternativas!$B$2:$B$51,I$2))</f>
        <v>3.42968603460661</v>
      </c>
      <c r="J102" s="0" t="n">
        <f aca="false">SUMPRODUCT((AtractivoAlternativas!$A$2:$A$931=$A102)*AtractivoAlternativas!$C$2:$C$931*COUNTIFS(Alternativas!$A$2:$A$51,AtractivoAlternativas!$B$2:$B$931,Alternativas!$B$2:$B$51,J$2))</f>
        <v>0.496363734015975</v>
      </c>
      <c r="K102" s="0" t="n">
        <f aca="false">SUMPRODUCT((AtractivoAlternativas!$A$2:$A$931=$A102)*AtractivoAlternativas!$C$2:$C$931*COUNTIFS(Alternativas!$A$2:$A$51,AtractivoAlternativas!$B$2:$B$931,Alternativas!$B$2:$B$51,K$2))</f>
        <v>0</v>
      </c>
      <c r="L102" s="0" t="n">
        <f aca="false">SUMPRODUCT((AtractivoAlternativas!$A$2:$A$931=$A102)*AtractivoAlternativas!$C$2:$C$931*COUNTIFS(Alternativas!$A$2:$A$51,AtractivoAlternativas!$B$2:$B$931,Alternativas!$B$2:$B$51,L$2))</f>
        <v>0</v>
      </c>
      <c r="M102" s="0" t="n">
        <f aca="false">SUMIFS(AtractivoSitios!$C:$C,AtractivoSitios!$A:$A,$A102,AtractivoSitios!$B:$B,M$2)</f>
        <v>0.902056934484507</v>
      </c>
      <c r="N102" s="0" t="n">
        <f aca="false">SUMIFS(AtractivoSitios!$C:$C,AtractivoSitios!$A:$A,$A102,AtractivoSitios!$B:$B,N$2)</f>
        <v>0</v>
      </c>
      <c r="O102" s="0" t="n">
        <f aca="false">SUMIFS(AtractivoSitios!$C:$C,AtractivoSitios!$A:$A,$A102,AtractivoSitios!$B:$B,O$2)</f>
        <v>0</v>
      </c>
      <c r="P102" s="0" t="n">
        <f aca="false">SUMIFS(AtractivoSitios!$C:$C,AtractivoSitios!$A:$A,$A102,AtractivoSitios!$B:$B,P$2)</f>
        <v>0</v>
      </c>
      <c r="Q102" s="0" t="n">
        <f aca="false">SUMIFS(AtractivoSitios!$C:$C,AtractivoSitios!$A:$A,$A102,AtractivoSitios!$B:$B,Q$2)</f>
        <v>0</v>
      </c>
      <c r="R102" s="0" t="n">
        <f aca="false">SUMIFS(AtractivoSitios!$C:$C,AtractivoSitios!$A:$A,$A102,AtractivoSitios!$B:$B,R$2)</f>
        <v>0.495444572346112</v>
      </c>
      <c r="S102" s="0" t="n">
        <f aca="false">SUMIFS(AtractivoSitios!$C:$C,AtractivoSitios!$A:$A,$A102,AtractivoSitios!$B:$B,S$2)</f>
        <v>0</v>
      </c>
      <c r="T102" s="0" t="n">
        <f aca="false">SUM(M102:S102)</f>
        <v>1.39750150683062</v>
      </c>
      <c r="U102" s="0" t="n">
        <f aca="false">C102/(AD$4+H102+$T102)</f>
        <v>0.000190585040476923</v>
      </c>
      <c r="V102" s="0" t="n">
        <f aca="false">D102/(AE$4+I102+$T102)</f>
        <v>5.53168036953451E-005</v>
      </c>
      <c r="W102" s="0" t="n">
        <f aca="false">E102/(AF$4+J102+$T102)</f>
        <v>0.000314042965790751</v>
      </c>
      <c r="X102" s="0" t="n">
        <f aca="false">F102/(AG$4+K102+$T102)</f>
        <v>1.73496008394161E-005</v>
      </c>
      <c r="Y102" s="0" t="n">
        <f aca="false">G102/(AH$4+L102+$T102)</f>
        <v>1.07678192887101E-005</v>
      </c>
    </row>
    <row r="103" customFormat="false" ht="15" hidden="false" customHeight="false" outlineLevel="0" collapsed="false">
      <c r="A103" s="0" t="s">
        <v>149</v>
      </c>
      <c r="B103" s="0" t="n">
        <f aca="false">SUMIFS(Sectores!$C:$C,Sectores!$A:$A,$A103)</f>
        <v>3012</v>
      </c>
      <c r="C103" s="0" t="n">
        <f aca="false">SUMIFS(Generacion!$C:$C,Generacion!$A:$A,$A103,Generacion!$B:$B,C$2)</f>
        <v>0.0435338767065874</v>
      </c>
      <c r="D103" s="0" t="n">
        <f aca="false">SUMIFS(Generacion!$C:$C,Generacion!$A:$A,$A103,Generacion!$B:$B,D$2)</f>
        <v>0.0378709333951614</v>
      </c>
      <c r="E103" s="0" t="n">
        <f aca="false">SUMIFS(Generacion!$C:$C,Generacion!$A:$A,$A103,Generacion!$B:$B,E$2)</f>
        <v>0.0134494903646368</v>
      </c>
      <c r="F103" s="0" t="n">
        <f aca="false">SUMIFS(Generacion!$C:$C,Generacion!$A:$A,$A103,Generacion!$B:$B,F$2)</f>
        <v>0.00353933956964125</v>
      </c>
      <c r="G103" s="0" t="n">
        <f aca="false">SUMIFS(Generacion!$C:$C,Generacion!$A:$A,$A103,Generacion!$B:$B,G$2)</f>
        <v>0.00247753769874887</v>
      </c>
      <c r="H103" s="0" t="n">
        <f aca="false">SUMPRODUCT((AtractivoAlternativas!$A$2:$A$931=$A103)*AtractivoAlternativas!$C$2:$C$931*COUNTIFS(Alternativas!$A$2:$A$51,AtractivoAlternativas!$B$2:$B$931,Alternativas!$B$2:$B$51,H$2))</f>
        <v>2.17745807693831</v>
      </c>
      <c r="I103" s="0" t="n">
        <f aca="false">SUMPRODUCT((AtractivoAlternativas!$A$2:$A$931=$A103)*AtractivoAlternativas!$C$2:$C$931*COUNTIFS(Alternativas!$A$2:$A$51,AtractivoAlternativas!$B$2:$B$931,Alternativas!$B$2:$B$51,I$2))</f>
        <v>3.15764696468878</v>
      </c>
      <c r="J103" s="0" t="n">
        <f aca="false">SUMPRODUCT((AtractivoAlternativas!$A$2:$A$931=$A103)*AtractivoAlternativas!$C$2:$C$931*COUNTIFS(Alternativas!$A$2:$A$51,AtractivoAlternativas!$B$2:$B$931,Alternativas!$B$2:$B$51,J$2))</f>
        <v>0.379039077464387</v>
      </c>
      <c r="K103" s="0" t="n">
        <f aca="false">SUMPRODUCT((AtractivoAlternativas!$A$2:$A$931=$A103)*AtractivoAlternativas!$C$2:$C$931*COUNTIFS(Alternativas!$A$2:$A$51,AtractivoAlternativas!$B$2:$B$931,Alternativas!$B$2:$B$51,K$2))</f>
        <v>0</v>
      </c>
      <c r="L103" s="0" t="n">
        <f aca="false">SUMPRODUCT((AtractivoAlternativas!$A$2:$A$931=$A103)*AtractivoAlternativas!$C$2:$C$931*COUNTIFS(Alternativas!$A$2:$A$51,AtractivoAlternativas!$B$2:$B$931,Alternativas!$B$2:$B$51,L$2))</f>
        <v>0</v>
      </c>
      <c r="M103" s="0" t="n">
        <f aca="false">SUMIFS(AtractivoSitios!$C:$C,AtractivoSitios!$A:$A,$A103,AtractivoSitios!$B:$B,M$2)</f>
        <v>0.698234340553302</v>
      </c>
      <c r="N103" s="0" t="n">
        <f aca="false">SUMIFS(AtractivoSitios!$C:$C,AtractivoSitios!$A:$A,$A103,AtractivoSitios!$B:$B,N$2)</f>
        <v>0</v>
      </c>
      <c r="O103" s="0" t="n">
        <f aca="false">SUMIFS(AtractivoSitios!$C:$C,AtractivoSitios!$A:$A,$A103,AtractivoSitios!$B:$B,O$2)</f>
        <v>0</v>
      </c>
      <c r="P103" s="0" t="n">
        <f aca="false">SUMIFS(AtractivoSitios!$C:$C,AtractivoSitios!$A:$A,$A103,AtractivoSitios!$B:$B,P$2)</f>
        <v>0</v>
      </c>
      <c r="Q103" s="0" t="n">
        <f aca="false">SUMIFS(AtractivoSitios!$C:$C,AtractivoSitios!$A:$A,$A103,AtractivoSitios!$B:$B,Q$2)</f>
        <v>0</v>
      </c>
      <c r="R103" s="0" t="n">
        <f aca="false">SUMIFS(AtractivoSitios!$C:$C,AtractivoSitios!$A:$A,$A103,AtractivoSitios!$B:$B,R$2)</f>
        <v>0.54222937124057</v>
      </c>
      <c r="S103" s="0" t="n">
        <f aca="false">SUMIFS(AtractivoSitios!$C:$C,AtractivoSitios!$A:$A,$A103,AtractivoSitios!$B:$B,S$2)</f>
        <v>0</v>
      </c>
      <c r="T103" s="0" t="n">
        <f aca="false">SUM(M103:S103)</f>
        <v>1.24046371179387</v>
      </c>
      <c r="U103" s="0" t="n">
        <f aca="false">C103/(AD$4+H103+$T103)</f>
        <v>0.000190278301716621</v>
      </c>
      <c r="V103" s="0" t="n">
        <f aca="false">D103/(AE$4+I103+$T103)</f>
        <v>5.53514945915504E-005</v>
      </c>
      <c r="W103" s="0" t="n">
        <f aca="false">E103/(AF$4+J103+$T103)</f>
        <v>0.000316067793903956</v>
      </c>
      <c r="X103" s="0" t="n">
        <f aca="false">F103/(AG$4+K103+$T103)</f>
        <v>1.7362966652267E-005</v>
      </c>
      <c r="Y103" s="0" t="n">
        <f aca="false">G103/(AH$4+L103+$T103)</f>
        <v>1.077517349736E-005</v>
      </c>
    </row>
    <row r="104" customFormat="false" ht="15" hidden="false" customHeight="false" outlineLevel="0" collapsed="false">
      <c r="A104" s="0" t="s">
        <v>150</v>
      </c>
      <c r="B104" s="0" t="n">
        <f aca="false">SUMIFS(Sectores!$C:$C,Sectores!$A:$A,$A104)</f>
        <v>4281</v>
      </c>
      <c r="C104" s="0" t="n">
        <f aca="false">SUMIFS(Generacion!$C:$C,Generacion!$A:$A,$A104,Generacion!$B:$B,C$2)</f>
        <v>0.0435338767065874</v>
      </c>
      <c r="D104" s="0" t="n">
        <f aca="false">SUMIFS(Generacion!$C:$C,Generacion!$A:$A,$A104,Generacion!$B:$B,D$2)</f>
        <v>0.0378709333951614</v>
      </c>
      <c r="E104" s="0" t="n">
        <f aca="false">SUMIFS(Generacion!$C:$C,Generacion!$A:$A,$A104,Generacion!$B:$B,E$2)</f>
        <v>0.0134494903646368</v>
      </c>
      <c r="F104" s="0" t="n">
        <f aca="false">SUMIFS(Generacion!$C:$C,Generacion!$A:$A,$A104,Generacion!$B:$B,F$2)</f>
        <v>0.00353933956964125</v>
      </c>
      <c r="G104" s="0" t="n">
        <f aca="false">SUMIFS(Generacion!$C:$C,Generacion!$A:$A,$A104,Generacion!$B:$B,G$2)</f>
        <v>0.00247753769874887</v>
      </c>
      <c r="H104" s="0" t="n">
        <f aca="false">SUMPRODUCT((AtractivoAlternativas!$A$2:$A$931=$A104)*AtractivoAlternativas!$C$2:$C$931*COUNTIFS(Alternativas!$A$2:$A$51,AtractivoAlternativas!$B$2:$B$931,Alternativas!$B$2:$B$51,H$2))</f>
        <v>1.7440332507443</v>
      </c>
      <c r="I104" s="0" t="n">
        <f aca="false">SUMPRODUCT((AtractivoAlternativas!$A$2:$A$931=$A104)*AtractivoAlternativas!$C$2:$C$931*COUNTIFS(Alternativas!$A$2:$A$51,AtractivoAlternativas!$B$2:$B$931,Alternativas!$B$2:$B$51,I$2))</f>
        <v>3.62238071747866</v>
      </c>
      <c r="J104" s="0" t="n">
        <f aca="false">SUMPRODUCT((AtractivoAlternativas!$A$2:$A$931=$A104)*AtractivoAlternativas!$C$2:$C$931*COUNTIFS(Alternativas!$A$2:$A$51,AtractivoAlternativas!$B$2:$B$931,Alternativas!$B$2:$B$51,J$2))</f>
        <v>1.18363922010631</v>
      </c>
      <c r="K104" s="0" t="n">
        <f aca="false">SUMPRODUCT((AtractivoAlternativas!$A$2:$A$931=$A104)*AtractivoAlternativas!$C$2:$C$931*COUNTIFS(Alternativas!$A$2:$A$51,AtractivoAlternativas!$B$2:$B$931,Alternativas!$B$2:$B$51,K$2))</f>
        <v>0</v>
      </c>
      <c r="L104" s="0" t="n">
        <f aca="false">SUMPRODUCT((AtractivoAlternativas!$A$2:$A$931=$A104)*AtractivoAlternativas!$C$2:$C$931*COUNTIFS(Alternativas!$A$2:$A$51,AtractivoAlternativas!$B$2:$B$931,Alternativas!$B$2:$B$51,L$2))</f>
        <v>0</v>
      </c>
      <c r="M104" s="0" t="n">
        <f aca="false">SUMIFS(AtractivoSitios!$C:$C,AtractivoSitios!$A:$A,$A104,AtractivoSitios!$B:$B,M$2)</f>
        <v>0.551759646855152</v>
      </c>
      <c r="N104" s="0" t="n">
        <f aca="false">SUMIFS(AtractivoSitios!$C:$C,AtractivoSitios!$A:$A,$A104,AtractivoSitios!$B:$B,N$2)</f>
        <v>0</v>
      </c>
      <c r="O104" s="0" t="n">
        <f aca="false">SUMIFS(AtractivoSitios!$C:$C,AtractivoSitios!$A:$A,$A104,AtractivoSitios!$B:$B,O$2)</f>
        <v>0</v>
      </c>
      <c r="P104" s="0" t="n">
        <f aca="false">SUMIFS(AtractivoSitios!$C:$C,AtractivoSitios!$A:$A,$A104,AtractivoSitios!$B:$B,P$2)</f>
        <v>0</v>
      </c>
      <c r="Q104" s="0" t="n">
        <f aca="false">SUMIFS(AtractivoSitios!$C:$C,AtractivoSitios!$A:$A,$A104,AtractivoSitios!$B:$B,Q$2)</f>
        <v>0</v>
      </c>
      <c r="R104" s="0" t="n">
        <f aca="false">SUMIFS(AtractivoSitios!$C:$C,AtractivoSitios!$A:$A,$A104,AtractivoSitios!$B:$B,R$2)</f>
        <v>0.620791564919129</v>
      </c>
      <c r="S104" s="0" t="n">
        <f aca="false">SUMIFS(AtractivoSitios!$C:$C,AtractivoSitios!$A:$A,$A104,AtractivoSitios!$B:$B,S$2)</f>
        <v>0</v>
      </c>
      <c r="T104" s="0" t="n">
        <f aca="false">SUM(M104:S104)</f>
        <v>1.17255121177428</v>
      </c>
      <c r="U104" s="0" t="n">
        <f aca="false">C104/(AD$4+H104+$T104)</f>
        <v>0.000190696164721233</v>
      </c>
      <c r="V104" s="0" t="n">
        <f aca="false">D104/(AE$4+I104+$T104)</f>
        <v>5.53194100523181E-005</v>
      </c>
      <c r="W104" s="0" t="n">
        <f aca="false">E104/(AF$4+J104+$T104)</f>
        <v>0.000310689014910736</v>
      </c>
      <c r="X104" s="0" t="n">
        <f aca="false">F104/(AG$4+K104+$T104)</f>
        <v>1.7368753206957E-005</v>
      </c>
      <c r="Y104" s="0" t="n">
        <f aca="false">G104/(AH$4+L104+$T104)</f>
        <v>1.07783570078324E-005</v>
      </c>
    </row>
    <row r="105" customFormat="false" ht="15" hidden="false" customHeight="false" outlineLevel="0" collapsed="false">
      <c r="A105" s="0" t="s">
        <v>151</v>
      </c>
      <c r="B105" s="0" t="n">
        <f aca="false">SUMIFS(Sectores!$C:$C,Sectores!$A:$A,$A105)</f>
        <v>4591</v>
      </c>
      <c r="C105" s="0" t="n">
        <f aca="false">SUMIFS(Generacion!$C:$C,Generacion!$A:$A,$A105,Generacion!$B:$B,C$2)</f>
        <v>0.0435338767065874</v>
      </c>
      <c r="D105" s="0" t="n">
        <f aca="false">SUMIFS(Generacion!$C:$C,Generacion!$A:$A,$A105,Generacion!$B:$B,D$2)</f>
        <v>0.0378709333951614</v>
      </c>
      <c r="E105" s="0" t="n">
        <f aca="false">SUMIFS(Generacion!$C:$C,Generacion!$A:$A,$A105,Generacion!$B:$B,E$2)</f>
        <v>0.0134494903646368</v>
      </c>
      <c r="F105" s="0" t="n">
        <f aca="false">SUMIFS(Generacion!$C:$C,Generacion!$A:$A,$A105,Generacion!$B:$B,F$2)</f>
        <v>0.00353933956964125</v>
      </c>
      <c r="G105" s="0" t="n">
        <f aca="false">SUMIFS(Generacion!$C:$C,Generacion!$A:$A,$A105,Generacion!$B:$B,G$2)</f>
        <v>0.00247753769874887</v>
      </c>
      <c r="H105" s="0" t="n">
        <f aca="false">SUMPRODUCT((AtractivoAlternativas!$A$2:$A$931=$A105)*AtractivoAlternativas!$C$2:$C$931*COUNTIFS(Alternativas!$A$2:$A$51,AtractivoAlternativas!$B$2:$B$931,Alternativas!$B$2:$B$51,H$2))</f>
        <v>0.392585865531518</v>
      </c>
      <c r="I105" s="0" t="n">
        <f aca="false">SUMPRODUCT((AtractivoAlternativas!$A$2:$A$931=$A105)*AtractivoAlternativas!$C$2:$C$931*COUNTIFS(Alternativas!$A$2:$A$51,AtractivoAlternativas!$B$2:$B$931,Alternativas!$B$2:$B$51,I$2))</f>
        <v>0.385700718898804</v>
      </c>
      <c r="J105" s="0" t="n">
        <f aca="false">SUMPRODUCT((AtractivoAlternativas!$A$2:$A$931=$A105)*AtractivoAlternativas!$C$2:$C$931*COUNTIFS(Alternativas!$A$2:$A$51,AtractivoAlternativas!$B$2:$B$931,Alternativas!$B$2:$B$51,J$2))</f>
        <v>0</v>
      </c>
      <c r="K105" s="0" t="n">
        <f aca="false">SUMPRODUCT((AtractivoAlternativas!$A$2:$A$931=$A105)*AtractivoAlternativas!$C$2:$C$931*COUNTIFS(Alternativas!$A$2:$A$51,AtractivoAlternativas!$B$2:$B$931,Alternativas!$B$2:$B$51,K$2))</f>
        <v>0</v>
      </c>
      <c r="L105" s="0" t="n">
        <f aca="false">SUMPRODUCT((AtractivoAlternativas!$A$2:$A$931=$A105)*AtractivoAlternativas!$C$2:$C$931*COUNTIFS(Alternativas!$A$2:$A$51,AtractivoAlternativas!$B$2:$B$931,Alternativas!$B$2:$B$51,L$2))</f>
        <v>0</v>
      </c>
      <c r="M105" s="0" t="n">
        <f aca="false">SUMIFS(AtractivoSitios!$C:$C,AtractivoSitios!$A:$A,$A105,AtractivoSitios!$B:$B,M$2)</f>
        <v>0</v>
      </c>
      <c r="N105" s="0" t="n">
        <f aca="false">SUMIFS(AtractivoSitios!$C:$C,AtractivoSitios!$A:$A,$A105,AtractivoSitios!$B:$B,N$2)</f>
        <v>0</v>
      </c>
      <c r="O105" s="0" t="n">
        <f aca="false">SUMIFS(AtractivoSitios!$C:$C,AtractivoSitios!$A:$A,$A105,AtractivoSitios!$B:$B,O$2)</f>
        <v>0.814200972971465</v>
      </c>
      <c r="P105" s="0" t="n">
        <f aca="false">SUMIFS(AtractivoSitios!$C:$C,AtractivoSitios!$A:$A,$A105,AtractivoSitios!$B:$B,P$2)</f>
        <v>0</v>
      </c>
      <c r="Q105" s="0" t="n">
        <f aca="false">SUMIFS(AtractivoSitios!$C:$C,AtractivoSitios!$A:$A,$A105,AtractivoSitios!$B:$B,Q$2)</f>
        <v>0</v>
      </c>
      <c r="R105" s="0" t="n">
        <f aca="false">SUMIFS(AtractivoSitios!$C:$C,AtractivoSitios!$A:$A,$A105,AtractivoSitios!$B:$B,R$2)</f>
        <v>0</v>
      </c>
      <c r="S105" s="0" t="n">
        <f aca="false">SUMIFS(AtractivoSitios!$C:$C,AtractivoSitios!$A:$A,$A105,AtractivoSitios!$B:$B,S$2)</f>
        <v>0</v>
      </c>
      <c r="T105" s="0" t="n">
        <f aca="false">SUM(M105:S105)</f>
        <v>0.814200972971465</v>
      </c>
      <c r="U105" s="0" t="n">
        <f aca="false">C105/(AD$4+H105+$T105)</f>
        <v>0.000192135182708753</v>
      </c>
      <c r="V105" s="0" t="n">
        <f aca="false">D105/(AE$4+I105+$T105)</f>
        <v>5.56114473198649E-005</v>
      </c>
      <c r="W105" s="0" t="n">
        <f aca="false">E105/(AF$4+J105+$T105)</f>
        <v>0.000322164722065255</v>
      </c>
      <c r="X105" s="0" t="n">
        <f aca="false">F105/(AG$4+K105+$T105)</f>
        <v>1.73993507923234E-005</v>
      </c>
      <c r="Y105" s="0" t="n">
        <f aca="false">G105/(AH$4+L105+$T105)</f>
        <v>1.07951864662184E-005</v>
      </c>
    </row>
    <row r="106" customFormat="false" ht="15" hidden="false" customHeight="false" outlineLevel="0" collapsed="false">
      <c r="A106" s="0" t="s">
        <v>152</v>
      </c>
      <c r="B106" s="0" t="n">
        <f aca="false">SUMIFS(Sectores!$C:$C,Sectores!$A:$A,$A106)</f>
        <v>3786</v>
      </c>
      <c r="C106" s="0" t="n">
        <f aca="false">SUMIFS(Generacion!$C:$C,Generacion!$A:$A,$A106,Generacion!$B:$B,C$2)</f>
        <v>0.0435338767065874</v>
      </c>
      <c r="D106" s="0" t="n">
        <f aca="false">SUMIFS(Generacion!$C:$C,Generacion!$A:$A,$A106,Generacion!$B:$B,D$2)</f>
        <v>0.0378709333951614</v>
      </c>
      <c r="E106" s="0" t="n">
        <f aca="false">SUMIFS(Generacion!$C:$C,Generacion!$A:$A,$A106,Generacion!$B:$B,E$2)</f>
        <v>0.0134494903646368</v>
      </c>
      <c r="F106" s="0" t="n">
        <f aca="false">SUMIFS(Generacion!$C:$C,Generacion!$A:$A,$A106,Generacion!$B:$B,F$2)</f>
        <v>0.00353933956964125</v>
      </c>
      <c r="G106" s="0" t="n">
        <f aca="false">SUMIFS(Generacion!$C:$C,Generacion!$A:$A,$A106,Generacion!$B:$B,G$2)</f>
        <v>0.00247753769874887</v>
      </c>
      <c r="H106" s="0" t="n">
        <f aca="false">SUMPRODUCT((AtractivoAlternativas!$A$2:$A$931=$A106)*AtractivoAlternativas!$C$2:$C$931*COUNTIFS(Alternativas!$A$2:$A$51,AtractivoAlternativas!$B$2:$B$931,Alternativas!$B$2:$B$51,H$2))</f>
        <v>0.838501298150596</v>
      </c>
      <c r="I106" s="0" t="n">
        <f aca="false">SUMPRODUCT((AtractivoAlternativas!$A$2:$A$931=$A106)*AtractivoAlternativas!$C$2:$C$931*COUNTIFS(Alternativas!$A$2:$A$51,AtractivoAlternativas!$B$2:$B$931,Alternativas!$B$2:$B$51,I$2))</f>
        <v>3.15624910621087</v>
      </c>
      <c r="J106" s="0" t="n">
        <f aca="false">SUMPRODUCT((AtractivoAlternativas!$A$2:$A$931=$A106)*AtractivoAlternativas!$C$2:$C$931*COUNTIFS(Alternativas!$A$2:$A$51,AtractivoAlternativas!$B$2:$B$931,Alternativas!$B$2:$B$51,J$2))</f>
        <v>0</v>
      </c>
      <c r="K106" s="0" t="n">
        <f aca="false">SUMPRODUCT((AtractivoAlternativas!$A$2:$A$931=$A106)*AtractivoAlternativas!$C$2:$C$931*COUNTIFS(Alternativas!$A$2:$A$51,AtractivoAlternativas!$B$2:$B$931,Alternativas!$B$2:$B$51,K$2))</f>
        <v>0</v>
      </c>
      <c r="L106" s="0" t="n">
        <f aca="false">SUMPRODUCT((AtractivoAlternativas!$A$2:$A$931=$A106)*AtractivoAlternativas!$C$2:$C$931*COUNTIFS(Alternativas!$A$2:$A$51,AtractivoAlternativas!$B$2:$B$931,Alternativas!$B$2:$B$51,L$2))</f>
        <v>0</v>
      </c>
      <c r="M106" s="0" t="n">
        <f aca="false">SUMIFS(AtractivoSitios!$C:$C,AtractivoSitios!$A:$A,$A106,AtractivoSitios!$B:$B,M$2)</f>
        <v>0</v>
      </c>
      <c r="N106" s="0" t="n">
        <f aca="false">SUMIFS(AtractivoSitios!$C:$C,AtractivoSitios!$A:$A,$A106,AtractivoSitios!$B:$B,N$2)</f>
        <v>0</v>
      </c>
      <c r="O106" s="0" t="n">
        <f aca="false">SUMIFS(AtractivoSitios!$C:$C,AtractivoSitios!$A:$A,$A106,AtractivoSitios!$B:$B,O$2)</f>
        <v>0.550995562826877</v>
      </c>
      <c r="P106" s="0" t="n">
        <f aca="false">SUMIFS(AtractivoSitios!$C:$C,AtractivoSitios!$A:$A,$A106,AtractivoSitios!$B:$B,P$2)</f>
        <v>0</v>
      </c>
      <c r="Q106" s="0" t="n">
        <f aca="false">SUMIFS(AtractivoSitios!$C:$C,AtractivoSitios!$A:$A,$A106,AtractivoSitios!$B:$B,Q$2)</f>
        <v>0</v>
      </c>
      <c r="R106" s="0" t="n">
        <f aca="false">SUMIFS(AtractivoSitios!$C:$C,AtractivoSitios!$A:$A,$A106,AtractivoSitios!$B:$B,R$2)</f>
        <v>0</v>
      </c>
      <c r="S106" s="0" t="n">
        <f aca="false">SUMIFS(AtractivoSitios!$C:$C,AtractivoSitios!$A:$A,$A106,AtractivoSitios!$B:$B,S$2)</f>
        <v>0</v>
      </c>
      <c r="T106" s="0" t="n">
        <f aca="false">SUM(M106:S106)</f>
        <v>0.550995562826877</v>
      </c>
      <c r="U106" s="0" t="n">
        <f aca="false">C106/(AD$4+H106+$T106)</f>
        <v>0.000191980372799361</v>
      </c>
      <c r="V106" s="0" t="n">
        <f aca="false">D106/(AE$4+I106+$T106)</f>
        <v>5.54074426826649E-005</v>
      </c>
      <c r="W106" s="0" t="n">
        <f aca="false">E106/(AF$4+J106+$T106)</f>
        <v>0.000324208773070911</v>
      </c>
      <c r="X106" s="0" t="n">
        <f aca="false">F106/(AG$4+K106+$T106)</f>
        <v>1.74218932349206E-005</v>
      </c>
      <c r="Y106" s="0" t="n">
        <f aca="false">G106/(AH$4+L106+$T106)</f>
        <v>1.08075810854984E-005</v>
      </c>
    </row>
    <row r="107" customFormat="false" ht="15" hidden="false" customHeight="false" outlineLevel="0" collapsed="false">
      <c r="A107" s="0" t="s">
        <v>153</v>
      </c>
      <c r="B107" s="0" t="n">
        <f aca="false">SUMIFS(Sectores!$C:$C,Sectores!$A:$A,$A107)</f>
        <v>3885</v>
      </c>
      <c r="C107" s="0" t="n">
        <f aca="false">SUMIFS(Generacion!$C:$C,Generacion!$A:$A,$A107,Generacion!$B:$B,C$2)</f>
        <v>0.0435338767065874</v>
      </c>
      <c r="D107" s="0" t="n">
        <f aca="false">SUMIFS(Generacion!$C:$C,Generacion!$A:$A,$A107,Generacion!$B:$B,D$2)</f>
        <v>0.0378709333951614</v>
      </c>
      <c r="E107" s="0" t="n">
        <f aca="false">SUMIFS(Generacion!$C:$C,Generacion!$A:$A,$A107,Generacion!$B:$B,E$2)</f>
        <v>0.0134494903646368</v>
      </c>
      <c r="F107" s="0" t="n">
        <f aca="false">SUMIFS(Generacion!$C:$C,Generacion!$A:$A,$A107,Generacion!$B:$B,F$2)</f>
        <v>0.00353933956964125</v>
      </c>
      <c r="G107" s="0" t="n">
        <f aca="false">SUMIFS(Generacion!$C:$C,Generacion!$A:$A,$A107,Generacion!$B:$B,G$2)</f>
        <v>0.00247753769874887</v>
      </c>
      <c r="H107" s="0" t="n">
        <f aca="false">SUMPRODUCT((AtractivoAlternativas!$A$2:$A$931=$A107)*AtractivoAlternativas!$C$2:$C$931*COUNTIFS(Alternativas!$A$2:$A$51,AtractivoAlternativas!$B$2:$B$931,Alternativas!$B$2:$B$51,H$2))</f>
        <v>1.13629013276726</v>
      </c>
      <c r="I107" s="0" t="n">
        <f aca="false">SUMPRODUCT((AtractivoAlternativas!$A$2:$A$931=$A107)*AtractivoAlternativas!$C$2:$C$931*COUNTIFS(Alternativas!$A$2:$A$51,AtractivoAlternativas!$B$2:$B$931,Alternativas!$B$2:$B$51,I$2))</f>
        <v>4.62887459232973</v>
      </c>
      <c r="J107" s="0" t="n">
        <f aca="false">SUMPRODUCT((AtractivoAlternativas!$A$2:$A$931=$A107)*AtractivoAlternativas!$C$2:$C$931*COUNTIFS(Alternativas!$A$2:$A$51,AtractivoAlternativas!$B$2:$B$931,Alternativas!$B$2:$B$51,J$2))</f>
        <v>0.445649121263158</v>
      </c>
      <c r="K107" s="0" t="n">
        <f aca="false">SUMPRODUCT((AtractivoAlternativas!$A$2:$A$931=$A107)*AtractivoAlternativas!$C$2:$C$931*COUNTIFS(Alternativas!$A$2:$A$51,AtractivoAlternativas!$B$2:$B$931,Alternativas!$B$2:$B$51,K$2))</f>
        <v>0</v>
      </c>
      <c r="L107" s="0" t="n">
        <f aca="false">SUMPRODUCT((AtractivoAlternativas!$A$2:$A$931=$A107)*AtractivoAlternativas!$C$2:$C$931*COUNTIFS(Alternativas!$A$2:$A$51,AtractivoAlternativas!$B$2:$B$931,Alternativas!$B$2:$B$51,L$2))</f>
        <v>0</v>
      </c>
      <c r="M107" s="0" t="n">
        <f aca="false">SUMIFS(AtractivoSitios!$C:$C,AtractivoSitios!$A:$A,$A107,AtractivoSitios!$B:$B,M$2)</f>
        <v>0</v>
      </c>
      <c r="N107" s="0" t="n">
        <f aca="false">SUMIFS(AtractivoSitios!$C:$C,AtractivoSitios!$A:$A,$A107,AtractivoSitios!$B:$B,N$2)</f>
        <v>0</v>
      </c>
      <c r="O107" s="0" t="n">
        <f aca="false">SUMIFS(AtractivoSitios!$C:$C,AtractivoSitios!$A:$A,$A107,AtractivoSitios!$B:$B,O$2)</f>
        <v>0.45332126068741</v>
      </c>
      <c r="P107" s="0" t="n">
        <f aca="false">SUMIFS(AtractivoSitios!$C:$C,AtractivoSitios!$A:$A,$A107,AtractivoSitios!$B:$B,P$2)</f>
        <v>0</v>
      </c>
      <c r="Q107" s="0" t="n">
        <f aca="false">SUMIFS(AtractivoSitios!$C:$C,AtractivoSitios!$A:$A,$A107,AtractivoSitios!$B:$B,Q$2)</f>
        <v>0</v>
      </c>
      <c r="R107" s="0" t="n">
        <f aca="false">SUMIFS(AtractivoSitios!$C:$C,AtractivoSitios!$A:$A,$A107,AtractivoSitios!$B:$B,R$2)</f>
        <v>0</v>
      </c>
      <c r="S107" s="0" t="n">
        <f aca="false">SUMIFS(AtractivoSitios!$C:$C,AtractivoSitios!$A:$A,$A107,AtractivoSitios!$B:$B,S$2)</f>
        <v>0</v>
      </c>
      <c r="T107" s="0" t="n">
        <f aca="false">SUM(M107:S107)</f>
        <v>0.45332126068741</v>
      </c>
      <c r="U107" s="0" t="n">
        <f aca="false">C107/(AD$4+H107+$T107)</f>
        <v>0.000191811102073337</v>
      </c>
      <c r="V107" s="0" t="n">
        <f aca="false">D107/(AE$4+I107+$T107)</f>
        <v>5.52962068482242E-005</v>
      </c>
      <c r="W107" s="0" t="n">
        <f aca="false">E107/(AF$4+J107+$T107)</f>
        <v>0.000321511879693591</v>
      </c>
      <c r="X107" s="0" t="n">
        <f aca="false">F107/(AG$4+K107+$T107)</f>
        <v>1.74302734976632E-005</v>
      </c>
      <c r="Y107" s="0" t="n">
        <f aca="false">G107/(AH$4+L107+$T107)</f>
        <v>1.08121879149339E-005</v>
      </c>
    </row>
    <row r="108" customFormat="false" ht="15" hidden="false" customHeight="false" outlineLevel="0" collapsed="false">
      <c r="A108" s="0" t="s">
        <v>154</v>
      </c>
      <c r="B108" s="0" t="n">
        <f aca="false">SUMIFS(Sectores!$C:$C,Sectores!$A:$A,$A108)</f>
        <v>2967</v>
      </c>
      <c r="C108" s="0" t="n">
        <f aca="false">SUMIFS(Generacion!$C:$C,Generacion!$A:$A,$A108,Generacion!$B:$B,C$2)</f>
        <v>0.0435338767065874</v>
      </c>
      <c r="D108" s="0" t="n">
        <f aca="false">SUMIFS(Generacion!$C:$C,Generacion!$A:$A,$A108,Generacion!$B:$B,D$2)</f>
        <v>0.0378709333951614</v>
      </c>
      <c r="E108" s="0" t="n">
        <f aca="false">SUMIFS(Generacion!$C:$C,Generacion!$A:$A,$A108,Generacion!$B:$B,E$2)</f>
        <v>0.0134494903646368</v>
      </c>
      <c r="F108" s="0" t="n">
        <f aca="false">SUMIFS(Generacion!$C:$C,Generacion!$A:$A,$A108,Generacion!$B:$B,F$2)</f>
        <v>0.00353933956964125</v>
      </c>
      <c r="G108" s="0" t="n">
        <f aca="false">SUMIFS(Generacion!$C:$C,Generacion!$A:$A,$A108,Generacion!$B:$B,G$2)</f>
        <v>0.00247753769874887</v>
      </c>
      <c r="H108" s="0" t="n">
        <f aca="false">SUMPRODUCT((AtractivoAlternativas!$A$2:$A$931=$A108)*AtractivoAlternativas!$C$2:$C$931*COUNTIFS(Alternativas!$A$2:$A$51,AtractivoAlternativas!$B$2:$B$931,Alternativas!$B$2:$B$51,H$2))</f>
        <v>0.376261376362024</v>
      </c>
      <c r="I108" s="0" t="n">
        <f aca="false">SUMPRODUCT((AtractivoAlternativas!$A$2:$A$931=$A108)*AtractivoAlternativas!$C$2:$C$931*COUNTIFS(Alternativas!$A$2:$A$51,AtractivoAlternativas!$B$2:$B$931,Alternativas!$B$2:$B$51,I$2))</f>
        <v>1.30143106825735</v>
      </c>
      <c r="J108" s="0" t="n">
        <f aca="false">SUMPRODUCT((AtractivoAlternativas!$A$2:$A$931=$A108)*AtractivoAlternativas!$C$2:$C$931*COUNTIFS(Alternativas!$A$2:$A$51,AtractivoAlternativas!$B$2:$B$931,Alternativas!$B$2:$B$51,J$2))</f>
        <v>0</v>
      </c>
      <c r="K108" s="0" t="n">
        <f aca="false">SUMPRODUCT((AtractivoAlternativas!$A$2:$A$931=$A108)*AtractivoAlternativas!$C$2:$C$931*COUNTIFS(Alternativas!$A$2:$A$51,AtractivoAlternativas!$B$2:$B$931,Alternativas!$B$2:$B$51,K$2))</f>
        <v>0</v>
      </c>
      <c r="L108" s="0" t="n">
        <f aca="false">SUMPRODUCT((AtractivoAlternativas!$A$2:$A$931=$A108)*AtractivoAlternativas!$C$2:$C$931*COUNTIFS(Alternativas!$A$2:$A$51,AtractivoAlternativas!$B$2:$B$931,Alternativas!$B$2:$B$51,L$2))</f>
        <v>0</v>
      </c>
      <c r="M108" s="0" t="n">
        <f aca="false">SUMIFS(AtractivoSitios!$C:$C,AtractivoSitios!$A:$A,$A108,AtractivoSitios!$B:$B,M$2)</f>
        <v>0</v>
      </c>
      <c r="N108" s="0" t="n">
        <f aca="false">SUMIFS(AtractivoSitios!$C:$C,AtractivoSitios!$A:$A,$A108,AtractivoSitios!$B:$B,N$2)</f>
        <v>0</v>
      </c>
      <c r="O108" s="0" t="n">
        <f aca="false">SUMIFS(AtractivoSitios!$C:$C,AtractivoSitios!$A:$A,$A108,AtractivoSitios!$B:$B,O$2)</f>
        <v>0.745290434264606</v>
      </c>
      <c r="P108" s="0" t="n">
        <f aca="false">SUMIFS(AtractivoSitios!$C:$C,AtractivoSitios!$A:$A,$A108,AtractivoSitios!$B:$B,P$2)</f>
        <v>0</v>
      </c>
      <c r="Q108" s="0" t="n">
        <f aca="false">SUMIFS(AtractivoSitios!$C:$C,AtractivoSitios!$A:$A,$A108,AtractivoSitios!$B:$B,Q$2)</f>
        <v>0</v>
      </c>
      <c r="R108" s="0" t="n">
        <f aca="false">SUMIFS(AtractivoSitios!$C:$C,AtractivoSitios!$A:$A,$A108,AtractivoSitios!$B:$B,R$2)</f>
        <v>0</v>
      </c>
      <c r="S108" s="0" t="n">
        <f aca="false">SUMIFS(AtractivoSitios!$C:$C,AtractivoSitios!$A:$A,$A108,AtractivoSitios!$B:$B,S$2)</f>
        <v>0</v>
      </c>
      <c r="T108" s="0" t="n">
        <f aca="false">SUM(M108:S108)</f>
        <v>0.745290434264606</v>
      </c>
      <c r="U108" s="0" t="n">
        <f aca="false">C108/(AD$4+H108+$T108)</f>
        <v>0.000192207487647799</v>
      </c>
      <c r="V108" s="0" t="n">
        <f aca="false">D108/(AE$4+I108+$T108)</f>
        <v>5.55423798284659E-005</v>
      </c>
      <c r="W108" s="0" t="n">
        <f aca="false">E108/(AF$4+J108+$T108)</f>
        <v>0.000322697385943107</v>
      </c>
      <c r="X108" s="0" t="n">
        <f aca="false">F108/(AG$4+K108+$T108)</f>
        <v>1.74052470526479E-005</v>
      </c>
      <c r="Y108" s="0" t="n">
        <f aca="false">G108/(AH$4+L108+$T108)</f>
        <v>1.07984287878251E-005</v>
      </c>
    </row>
    <row r="109" customFormat="false" ht="15" hidden="false" customHeight="false" outlineLevel="0" collapsed="false">
      <c r="A109" s="0" t="s">
        <v>155</v>
      </c>
      <c r="B109" s="0" t="n">
        <f aca="false">SUMIFS(Sectores!$C:$C,Sectores!$A:$A,$A109)</f>
        <v>3490</v>
      </c>
      <c r="C109" s="0" t="n">
        <f aca="false">SUMIFS(Generacion!$C:$C,Generacion!$A:$A,$A109,Generacion!$B:$B,C$2)</f>
        <v>0.0435338767065874</v>
      </c>
      <c r="D109" s="0" t="n">
        <f aca="false">SUMIFS(Generacion!$C:$C,Generacion!$A:$A,$A109,Generacion!$B:$B,D$2)</f>
        <v>0.0378709333951614</v>
      </c>
      <c r="E109" s="0" t="n">
        <f aca="false">SUMIFS(Generacion!$C:$C,Generacion!$A:$A,$A109,Generacion!$B:$B,E$2)</f>
        <v>0.0134494903646368</v>
      </c>
      <c r="F109" s="0" t="n">
        <f aca="false">SUMIFS(Generacion!$C:$C,Generacion!$A:$A,$A109,Generacion!$B:$B,F$2)</f>
        <v>0.00353933956964125</v>
      </c>
      <c r="G109" s="0" t="n">
        <f aca="false">SUMIFS(Generacion!$C:$C,Generacion!$A:$A,$A109,Generacion!$B:$B,G$2)</f>
        <v>0.00247753769874887</v>
      </c>
      <c r="H109" s="0" t="n">
        <f aca="false">SUMPRODUCT((AtractivoAlternativas!$A$2:$A$931=$A109)*AtractivoAlternativas!$C$2:$C$931*COUNTIFS(Alternativas!$A$2:$A$51,AtractivoAlternativas!$B$2:$B$931,Alternativas!$B$2:$B$51,H$2))</f>
        <v>0.898860762173105</v>
      </c>
      <c r="I109" s="0" t="n">
        <f aca="false">SUMPRODUCT((AtractivoAlternativas!$A$2:$A$931=$A109)*AtractivoAlternativas!$C$2:$C$931*COUNTIFS(Alternativas!$A$2:$A$51,AtractivoAlternativas!$B$2:$B$931,Alternativas!$B$2:$B$51,I$2))</f>
        <v>2.12515521096479</v>
      </c>
      <c r="J109" s="0" t="n">
        <f aca="false">SUMPRODUCT((AtractivoAlternativas!$A$2:$A$931=$A109)*AtractivoAlternativas!$C$2:$C$931*COUNTIFS(Alternativas!$A$2:$A$51,AtractivoAlternativas!$B$2:$B$931,Alternativas!$B$2:$B$51,J$2))</f>
        <v>0.367879441171442</v>
      </c>
      <c r="K109" s="0" t="n">
        <f aca="false">SUMPRODUCT((AtractivoAlternativas!$A$2:$A$931=$A109)*AtractivoAlternativas!$C$2:$C$931*COUNTIFS(Alternativas!$A$2:$A$51,AtractivoAlternativas!$B$2:$B$931,Alternativas!$B$2:$B$51,K$2))</f>
        <v>0</v>
      </c>
      <c r="L109" s="0" t="n">
        <f aca="false">SUMPRODUCT((AtractivoAlternativas!$A$2:$A$931=$A109)*AtractivoAlternativas!$C$2:$C$931*COUNTIFS(Alternativas!$A$2:$A$51,AtractivoAlternativas!$B$2:$B$931,Alternativas!$B$2:$B$51,L$2))</f>
        <v>0</v>
      </c>
      <c r="M109" s="0" t="n">
        <f aca="false">SUMIFS(AtractivoSitios!$C:$C,AtractivoSitios!$A:$A,$A109,AtractivoSitios!$B:$B,M$2)</f>
        <v>0</v>
      </c>
      <c r="N109" s="0" t="n">
        <f aca="false">SUMIFS(AtractivoSitios!$C:$C,AtractivoSitios!$A:$A,$A109,AtractivoSitios!$B:$B,N$2)</f>
        <v>0</v>
      </c>
      <c r="O109" s="0" t="n">
        <f aca="false">SUMIFS(AtractivoSitios!$C:$C,AtractivoSitios!$A:$A,$A109,AtractivoSitios!$B:$B,O$2)</f>
        <v>0.859708273124989</v>
      </c>
      <c r="P109" s="0" t="n">
        <f aca="false">SUMIFS(AtractivoSitios!$C:$C,AtractivoSitios!$A:$A,$A109,AtractivoSitios!$B:$B,P$2)</f>
        <v>0</v>
      </c>
      <c r="Q109" s="0" t="n">
        <f aca="false">SUMIFS(AtractivoSitios!$C:$C,AtractivoSitios!$A:$A,$A109,AtractivoSitios!$B:$B,Q$2)</f>
        <v>0</v>
      </c>
      <c r="R109" s="0" t="n">
        <f aca="false">SUMIFS(AtractivoSitios!$C:$C,AtractivoSitios!$A:$A,$A109,AtractivoSitios!$B:$B,R$2)</f>
        <v>0</v>
      </c>
      <c r="S109" s="0" t="n">
        <f aca="false">SUMIFS(AtractivoSitios!$C:$C,AtractivoSitios!$A:$A,$A109,AtractivoSitios!$B:$B,S$2)</f>
        <v>0</v>
      </c>
      <c r="T109" s="0" t="n">
        <f aca="false">SUM(M109:S109)</f>
        <v>0.859708273124989</v>
      </c>
      <c r="U109" s="0" t="n">
        <f aca="false">C109/(AD$4+H109+$T109)</f>
        <v>0.000191668418231022</v>
      </c>
      <c r="V109" s="0" t="n">
        <f aca="false">D109/(AE$4+I109+$T109)</f>
        <v>5.54660640401745E-005</v>
      </c>
      <c r="W109" s="0" t="n">
        <f aca="false">E109/(AF$4+J109+$T109)</f>
        <v>0.000319005883797086</v>
      </c>
      <c r="X109" s="0" t="n">
        <f aca="false">F109/(AG$4+K109+$T109)</f>
        <v>1.73954591960337E-005</v>
      </c>
      <c r="Y109" s="0" t="n">
        <f aca="false">G109/(AH$4+L109+$T109)</f>
        <v>1.07930463616703E-005</v>
      </c>
    </row>
    <row r="110" customFormat="false" ht="15" hidden="false" customHeight="false" outlineLevel="0" collapsed="false">
      <c r="A110" s="0" t="s">
        <v>156</v>
      </c>
      <c r="B110" s="0" t="n">
        <f aca="false">SUMIFS(Sectores!$C:$C,Sectores!$A:$A,$A110)</f>
        <v>4208</v>
      </c>
      <c r="C110" s="0" t="n">
        <f aca="false">SUMIFS(Generacion!$C:$C,Generacion!$A:$A,$A110,Generacion!$B:$B,C$2)</f>
        <v>0.0435338767065874</v>
      </c>
      <c r="D110" s="0" t="n">
        <f aca="false">SUMIFS(Generacion!$C:$C,Generacion!$A:$A,$A110,Generacion!$B:$B,D$2)</f>
        <v>0.0378709333951614</v>
      </c>
      <c r="E110" s="0" t="n">
        <f aca="false">SUMIFS(Generacion!$C:$C,Generacion!$A:$A,$A110,Generacion!$B:$B,E$2)</f>
        <v>0.0134494903646368</v>
      </c>
      <c r="F110" s="0" t="n">
        <f aca="false">SUMIFS(Generacion!$C:$C,Generacion!$A:$A,$A110,Generacion!$B:$B,F$2)</f>
        <v>0.00353933956964125</v>
      </c>
      <c r="G110" s="0" t="n">
        <f aca="false">SUMIFS(Generacion!$C:$C,Generacion!$A:$A,$A110,Generacion!$B:$B,G$2)</f>
        <v>0.00247753769874887</v>
      </c>
      <c r="H110" s="0" t="n">
        <f aca="false">SUMPRODUCT((AtractivoAlternativas!$A$2:$A$931=$A110)*AtractivoAlternativas!$C$2:$C$931*COUNTIFS(Alternativas!$A$2:$A$51,AtractivoAlternativas!$B$2:$B$931,Alternativas!$B$2:$B$51,H$2))</f>
        <v>0.955365439053225</v>
      </c>
      <c r="I110" s="0" t="n">
        <f aca="false">SUMPRODUCT((AtractivoAlternativas!$A$2:$A$931=$A110)*AtractivoAlternativas!$C$2:$C$931*COUNTIFS(Alternativas!$A$2:$A$51,AtractivoAlternativas!$B$2:$B$931,Alternativas!$B$2:$B$51,I$2))</f>
        <v>2.82487499613389</v>
      </c>
      <c r="J110" s="0" t="n">
        <f aca="false">SUMPRODUCT((AtractivoAlternativas!$A$2:$A$931=$A110)*AtractivoAlternativas!$C$2:$C$931*COUNTIFS(Alternativas!$A$2:$A$51,AtractivoAlternativas!$B$2:$B$931,Alternativas!$B$2:$B$51,J$2))</f>
        <v>0.430244832816069</v>
      </c>
      <c r="K110" s="0" t="n">
        <f aca="false">SUMPRODUCT((AtractivoAlternativas!$A$2:$A$931=$A110)*AtractivoAlternativas!$C$2:$C$931*COUNTIFS(Alternativas!$A$2:$A$51,AtractivoAlternativas!$B$2:$B$931,Alternativas!$B$2:$B$51,K$2))</f>
        <v>0</v>
      </c>
      <c r="L110" s="0" t="n">
        <f aca="false">SUMPRODUCT((AtractivoAlternativas!$A$2:$A$931=$A110)*AtractivoAlternativas!$C$2:$C$931*COUNTIFS(Alternativas!$A$2:$A$51,AtractivoAlternativas!$B$2:$B$931,Alternativas!$B$2:$B$51,L$2))</f>
        <v>0</v>
      </c>
      <c r="M110" s="0" t="n">
        <f aca="false">SUMIFS(AtractivoSitios!$C:$C,AtractivoSitios!$A:$A,$A110,AtractivoSitios!$B:$B,M$2)</f>
        <v>0</v>
      </c>
      <c r="N110" s="0" t="n">
        <f aca="false">SUMIFS(AtractivoSitios!$C:$C,AtractivoSitios!$A:$A,$A110,AtractivoSitios!$B:$B,N$2)</f>
        <v>0</v>
      </c>
      <c r="O110" s="0" t="n">
        <f aca="false">SUMIFS(AtractivoSitios!$C:$C,AtractivoSitios!$A:$A,$A110,AtractivoSitios!$B:$B,O$2)</f>
        <v>0.74823131793012</v>
      </c>
      <c r="P110" s="0" t="n">
        <f aca="false">SUMIFS(AtractivoSitios!$C:$C,AtractivoSitios!$A:$A,$A110,AtractivoSitios!$B:$B,P$2)</f>
        <v>0</v>
      </c>
      <c r="Q110" s="0" t="n">
        <f aca="false">SUMIFS(AtractivoSitios!$C:$C,AtractivoSitios!$A:$A,$A110,AtractivoSitios!$B:$B,Q$2)</f>
        <v>0</v>
      </c>
      <c r="R110" s="0" t="n">
        <f aca="false">SUMIFS(AtractivoSitios!$C:$C,AtractivoSitios!$A:$A,$A110,AtractivoSitios!$B:$B,R$2)</f>
        <v>0</v>
      </c>
      <c r="S110" s="0" t="n">
        <f aca="false">SUMIFS(AtractivoSitios!$C:$C,AtractivoSitios!$A:$A,$A110,AtractivoSitios!$B:$B,S$2)</f>
        <v>0</v>
      </c>
      <c r="T110" s="0" t="n">
        <f aca="false">SUM(M110:S110)</f>
        <v>0.74823131793012</v>
      </c>
      <c r="U110" s="0" t="n">
        <f aca="false">C110/(AD$4+H110+$T110)</f>
        <v>0.000191714818728379</v>
      </c>
      <c r="V110" s="0" t="n">
        <f aca="false">D110/(AE$4+I110+$T110)</f>
        <v>5.54183186631148E-005</v>
      </c>
      <c r="W110" s="0" t="n">
        <f aca="false">E110/(AF$4+J110+$T110)</f>
        <v>0.000319377916836158</v>
      </c>
      <c r="X110" s="0" t="n">
        <f aca="false">F110/(AG$4+K110+$T110)</f>
        <v>1.74049953372882E-005</v>
      </c>
      <c r="Y110" s="0" t="n">
        <f aca="false">G110/(AH$4+L110+$T110)</f>
        <v>1.07982903760163E-005</v>
      </c>
    </row>
    <row r="111" customFormat="false" ht="15" hidden="false" customHeight="false" outlineLevel="0" collapsed="false">
      <c r="A111" s="0" t="s">
        <v>157</v>
      </c>
      <c r="B111" s="0" t="n">
        <f aca="false">SUMIFS(Sectores!$C:$C,Sectores!$A:$A,$A111)</f>
        <v>5545</v>
      </c>
      <c r="C111" s="0" t="n">
        <f aca="false">SUMIFS(Generacion!$C:$C,Generacion!$A:$A,$A111,Generacion!$B:$B,C$2)</f>
        <v>0.0435338767065874</v>
      </c>
      <c r="D111" s="0" t="n">
        <f aca="false">SUMIFS(Generacion!$C:$C,Generacion!$A:$A,$A111,Generacion!$B:$B,D$2)</f>
        <v>0.0378709333951614</v>
      </c>
      <c r="E111" s="0" t="n">
        <f aca="false">SUMIFS(Generacion!$C:$C,Generacion!$A:$A,$A111,Generacion!$B:$B,E$2)</f>
        <v>0.0134494903646368</v>
      </c>
      <c r="F111" s="0" t="n">
        <f aca="false">SUMIFS(Generacion!$C:$C,Generacion!$A:$A,$A111,Generacion!$B:$B,F$2)</f>
        <v>0.00353933956964125</v>
      </c>
      <c r="G111" s="0" t="n">
        <f aca="false">SUMIFS(Generacion!$C:$C,Generacion!$A:$A,$A111,Generacion!$B:$B,G$2)</f>
        <v>0.00247753769874887</v>
      </c>
      <c r="H111" s="0" t="n">
        <f aca="false">SUMPRODUCT((AtractivoAlternativas!$A$2:$A$931=$A111)*AtractivoAlternativas!$C$2:$C$931*COUNTIFS(Alternativas!$A$2:$A$51,AtractivoAlternativas!$B$2:$B$931,Alternativas!$B$2:$B$51,H$2))</f>
        <v>0.932314430683638</v>
      </c>
      <c r="I111" s="0" t="n">
        <f aca="false">SUMPRODUCT((AtractivoAlternativas!$A$2:$A$931=$A111)*AtractivoAlternativas!$C$2:$C$931*COUNTIFS(Alternativas!$A$2:$A$51,AtractivoAlternativas!$B$2:$B$931,Alternativas!$B$2:$B$51,I$2))</f>
        <v>3.00870155090966</v>
      </c>
      <c r="J111" s="0" t="n">
        <f aca="false">SUMPRODUCT((AtractivoAlternativas!$A$2:$A$931=$A111)*AtractivoAlternativas!$C$2:$C$931*COUNTIFS(Alternativas!$A$2:$A$51,AtractivoAlternativas!$B$2:$B$931,Alternativas!$B$2:$B$51,J$2))</f>
        <v>0.493234368377009</v>
      </c>
      <c r="K111" s="0" t="n">
        <f aca="false">SUMPRODUCT((AtractivoAlternativas!$A$2:$A$931=$A111)*AtractivoAlternativas!$C$2:$C$931*COUNTIFS(Alternativas!$A$2:$A$51,AtractivoAlternativas!$B$2:$B$931,Alternativas!$B$2:$B$51,K$2))</f>
        <v>0</v>
      </c>
      <c r="L111" s="0" t="n">
        <f aca="false">SUMPRODUCT((AtractivoAlternativas!$A$2:$A$931=$A111)*AtractivoAlternativas!$C$2:$C$931*COUNTIFS(Alternativas!$A$2:$A$51,AtractivoAlternativas!$B$2:$B$931,Alternativas!$B$2:$B$51,L$2))</f>
        <v>0</v>
      </c>
      <c r="M111" s="0" t="n">
        <f aca="false">SUMIFS(AtractivoSitios!$C:$C,AtractivoSitios!$A:$A,$A111,AtractivoSitios!$B:$B,M$2)</f>
        <v>0</v>
      </c>
      <c r="N111" s="0" t="n">
        <f aca="false">SUMIFS(AtractivoSitios!$C:$C,AtractivoSitios!$A:$A,$A111,AtractivoSitios!$B:$B,N$2)</f>
        <v>0</v>
      </c>
      <c r="O111" s="0" t="n">
        <f aca="false">SUMIFS(AtractivoSitios!$C:$C,AtractivoSitios!$A:$A,$A111,AtractivoSitios!$B:$B,O$2)</f>
        <v>0.652695949187405</v>
      </c>
      <c r="P111" s="0" t="n">
        <f aca="false">SUMIFS(AtractivoSitios!$C:$C,AtractivoSitios!$A:$A,$A111,AtractivoSitios!$B:$B,P$2)</f>
        <v>0</v>
      </c>
      <c r="Q111" s="0" t="n">
        <f aca="false">SUMIFS(AtractivoSitios!$C:$C,AtractivoSitios!$A:$A,$A111,AtractivoSitios!$B:$B,Q$2)</f>
        <v>0</v>
      </c>
      <c r="R111" s="0" t="n">
        <f aca="false">SUMIFS(AtractivoSitios!$C:$C,AtractivoSitios!$A:$A,$A111,AtractivoSitios!$B:$B,R$2)</f>
        <v>0</v>
      </c>
      <c r="S111" s="0" t="n">
        <f aca="false">SUMIFS(AtractivoSitios!$C:$C,AtractivoSitios!$A:$A,$A111,AtractivoSitios!$B:$B,S$2)</f>
        <v>0</v>
      </c>
      <c r="T111" s="0" t="n">
        <f aca="false">SUM(M111:S111)</f>
        <v>0.652695949187405</v>
      </c>
      <c r="U111" s="0" t="n">
        <f aca="false">C111/(AD$4+H111+$T111)</f>
        <v>0.000191814990576512</v>
      </c>
      <c r="V111" s="0" t="n">
        <f aca="false">D111/(AE$4+I111+$T111)</f>
        <v>5.54111595054767E-005</v>
      </c>
      <c r="W111" s="0" t="n">
        <f aca="false">E111/(AF$4+J111+$T111)</f>
        <v>0.000319624938536792</v>
      </c>
      <c r="X111" s="0" t="n">
        <f aca="false">F111/(AG$4+K111+$T111)</f>
        <v>1.74131761011345E-005</v>
      </c>
      <c r="Y111" s="0" t="n">
        <f aca="false">G111/(AH$4+L111+$T111)</f>
        <v>1.08027885348783E-005</v>
      </c>
    </row>
    <row r="112" customFormat="false" ht="15" hidden="false" customHeight="false" outlineLevel="0" collapsed="false">
      <c r="A112" s="0" t="s">
        <v>158</v>
      </c>
      <c r="B112" s="0" t="n">
        <f aca="false">SUMIFS(Sectores!$C:$C,Sectores!$A:$A,$A112)</f>
        <v>1541</v>
      </c>
      <c r="C112" s="0" t="n">
        <f aca="false">SUMIFS(Generacion!$C:$C,Generacion!$A:$A,$A112,Generacion!$B:$B,C$2)</f>
        <v>0.0435338767065874</v>
      </c>
      <c r="D112" s="0" t="n">
        <f aca="false">SUMIFS(Generacion!$C:$C,Generacion!$A:$A,$A112,Generacion!$B:$B,D$2)</f>
        <v>0.0378709333951614</v>
      </c>
      <c r="E112" s="0" t="n">
        <f aca="false">SUMIFS(Generacion!$C:$C,Generacion!$A:$A,$A112,Generacion!$B:$B,E$2)</f>
        <v>0.0134494903646368</v>
      </c>
      <c r="F112" s="0" t="n">
        <f aca="false">SUMIFS(Generacion!$C:$C,Generacion!$A:$A,$A112,Generacion!$B:$B,F$2)</f>
        <v>0.00353933956964125</v>
      </c>
      <c r="G112" s="0" t="n">
        <f aca="false">SUMIFS(Generacion!$C:$C,Generacion!$A:$A,$A112,Generacion!$B:$B,G$2)</f>
        <v>0.00247753769874887</v>
      </c>
      <c r="H112" s="0" t="n">
        <f aca="false">SUMPRODUCT((AtractivoAlternativas!$A$2:$A$931=$A112)*AtractivoAlternativas!$C$2:$C$931*COUNTIFS(Alternativas!$A$2:$A$51,AtractivoAlternativas!$B$2:$B$931,Alternativas!$B$2:$B$51,H$2))</f>
        <v>1.10110160720987</v>
      </c>
      <c r="I112" s="0" t="n">
        <f aca="false">SUMPRODUCT((AtractivoAlternativas!$A$2:$A$931=$A112)*AtractivoAlternativas!$C$2:$C$931*COUNTIFS(Alternativas!$A$2:$A$51,AtractivoAlternativas!$B$2:$B$931,Alternativas!$B$2:$B$51,I$2))</f>
        <v>4.29214284783692</v>
      </c>
      <c r="J112" s="0" t="n">
        <f aca="false">SUMPRODUCT((AtractivoAlternativas!$A$2:$A$931=$A112)*AtractivoAlternativas!$C$2:$C$931*COUNTIFS(Alternativas!$A$2:$A$51,AtractivoAlternativas!$B$2:$B$931,Alternativas!$B$2:$B$51,J$2))</f>
        <v>0.500841380259057</v>
      </c>
      <c r="K112" s="0" t="n">
        <f aca="false">SUMPRODUCT((AtractivoAlternativas!$A$2:$A$931=$A112)*AtractivoAlternativas!$C$2:$C$931*COUNTIFS(Alternativas!$A$2:$A$51,AtractivoAlternativas!$B$2:$B$931,Alternativas!$B$2:$B$51,K$2))</f>
        <v>0</v>
      </c>
      <c r="L112" s="0" t="n">
        <f aca="false">SUMPRODUCT((AtractivoAlternativas!$A$2:$A$931=$A112)*AtractivoAlternativas!$C$2:$C$931*COUNTIFS(Alternativas!$A$2:$A$51,AtractivoAlternativas!$B$2:$B$931,Alternativas!$B$2:$B$51,L$2))</f>
        <v>0</v>
      </c>
      <c r="M112" s="0" t="n">
        <f aca="false">SUMIFS(AtractivoSitios!$C:$C,AtractivoSitios!$A:$A,$A112,AtractivoSitios!$B:$B,M$2)</f>
        <v>0</v>
      </c>
      <c r="N112" s="0" t="n">
        <f aca="false">SUMIFS(AtractivoSitios!$C:$C,AtractivoSitios!$A:$A,$A112,AtractivoSitios!$B:$B,N$2)</f>
        <v>0</v>
      </c>
      <c r="O112" s="0" t="n">
        <f aca="false">SUMIFS(AtractivoSitios!$C:$C,AtractivoSitios!$A:$A,$A112,AtractivoSitios!$B:$B,O$2)</f>
        <v>0.563734995437452</v>
      </c>
      <c r="P112" s="0" t="n">
        <f aca="false">SUMIFS(AtractivoSitios!$C:$C,AtractivoSitios!$A:$A,$A112,AtractivoSitios!$B:$B,P$2)</f>
        <v>0</v>
      </c>
      <c r="Q112" s="0" t="n">
        <f aca="false">SUMIFS(AtractivoSitios!$C:$C,AtractivoSitios!$A:$A,$A112,AtractivoSitios!$B:$B,Q$2)</f>
        <v>0</v>
      </c>
      <c r="R112" s="0" t="n">
        <f aca="false">SUMIFS(AtractivoSitios!$C:$C,AtractivoSitios!$A:$A,$A112,AtractivoSitios!$B:$B,R$2)</f>
        <v>0</v>
      </c>
      <c r="S112" s="0" t="n">
        <f aca="false">SUMIFS(AtractivoSitios!$C:$C,AtractivoSitios!$A:$A,$A112,AtractivoSitios!$B:$B,S$2)</f>
        <v>0</v>
      </c>
      <c r="T112" s="0" t="n">
        <f aca="false">SUM(M112:S112)</f>
        <v>0.563734995437452</v>
      </c>
      <c r="U112" s="0" t="n">
        <f aca="false">C112/(AD$4+H112+$T112)</f>
        <v>0.000191747548551499</v>
      </c>
      <c r="V112" s="0" t="n">
        <f aca="false">D112/(AE$4+I112+$T112)</f>
        <v>5.53144856332567E-005</v>
      </c>
      <c r="W112" s="0" t="n">
        <f aca="false">E112/(AF$4+J112+$T112)</f>
        <v>0.000320244086643675</v>
      </c>
      <c r="X112" s="0" t="n">
        <f aca="false">F112/(AG$4+K112+$T112)</f>
        <v>1.7420800810708E-005</v>
      </c>
      <c r="Y112" s="0" t="n">
        <f aca="false">G112/(AH$4+L112+$T112)</f>
        <v>1.08069805168106E-005</v>
      </c>
    </row>
    <row r="113" customFormat="false" ht="15" hidden="false" customHeight="false" outlineLevel="0" collapsed="false">
      <c r="A113" s="0" t="s">
        <v>159</v>
      </c>
      <c r="B113" s="0" t="n">
        <f aca="false">SUMIFS(Sectores!$C:$C,Sectores!$A:$A,$A113)</f>
        <v>2388</v>
      </c>
      <c r="C113" s="0" t="n">
        <f aca="false">SUMIFS(Generacion!$C:$C,Generacion!$A:$A,$A113,Generacion!$B:$B,C$2)</f>
        <v>0.0435338767065874</v>
      </c>
      <c r="D113" s="0" t="n">
        <f aca="false">SUMIFS(Generacion!$C:$C,Generacion!$A:$A,$A113,Generacion!$B:$B,D$2)</f>
        <v>0.0378709333951614</v>
      </c>
      <c r="E113" s="0" t="n">
        <f aca="false">SUMIFS(Generacion!$C:$C,Generacion!$A:$A,$A113,Generacion!$B:$B,E$2)</f>
        <v>0.0134494903646368</v>
      </c>
      <c r="F113" s="0" t="n">
        <f aca="false">SUMIFS(Generacion!$C:$C,Generacion!$A:$A,$A113,Generacion!$B:$B,F$2)</f>
        <v>0.00353933956964125</v>
      </c>
      <c r="G113" s="0" t="n">
        <f aca="false">SUMIFS(Generacion!$C:$C,Generacion!$A:$A,$A113,Generacion!$B:$B,G$2)</f>
        <v>0.00247753769874887</v>
      </c>
      <c r="H113" s="0" t="n">
        <f aca="false">SUMPRODUCT((AtractivoAlternativas!$A$2:$A$931=$A113)*AtractivoAlternativas!$C$2:$C$931*COUNTIFS(Alternativas!$A$2:$A$51,AtractivoAlternativas!$B$2:$B$931,Alternativas!$B$2:$B$51,H$2))</f>
        <v>0.814622068440635</v>
      </c>
      <c r="I113" s="0" t="n">
        <f aca="false">SUMPRODUCT((AtractivoAlternativas!$A$2:$A$931=$A113)*AtractivoAlternativas!$C$2:$C$931*COUNTIFS(Alternativas!$A$2:$A$51,AtractivoAlternativas!$B$2:$B$931,Alternativas!$B$2:$B$51,I$2))</f>
        <v>1.76013039461536</v>
      </c>
      <c r="J113" s="0" t="n">
        <f aca="false">SUMPRODUCT((AtractivoAlternativas!$A$2:$A$931=$A113)*AtractivoAlternativas!$C$2:$C$931*COUNTIFS(Alternativas!$A$2:$A$51,AtractivoAlternativas!$B$2:$B$931,Alternativas!$B$2:$B$51,J$2))</f>
        <v>0.377967692885415</v>
      </c>
      <c r="K113" s="0" t="n">
        <f aca="false">SUMPRODUCT((AtractivoAlternativas!$A$2:$A$931=$A113)*AtractivoAlternativas!$C$2:$C$931*COUNTIFS(Alternativas!$A$2:$A$51,AtractivoAlternativas!$B$2:$B$931,Alternativas!$B$2:$B$51,K$2))</f>
        <v>0</v>
      </c>
      <c r="L113" s="0" t="n">
        <f aca="false">SUMPRODUCT((AtractivoAlternativas!$A$2:$A$931=$A113)*AtractivoAlternativas!$C$2:$C$931*COUNTIFS(Alternativas!$A$2:$A$51,AtractivoAlternativas!$B$2:$B$931,Alternativas!$B$2:$B$51,L$2))</f>
        <v>0</v>
      </c>
      <c r="M113" s="0" t="n">
        <f aca="false">SUMIFS(AtractivoSitios!$C:$C,AtractivoSitios!$A:$A,$A113,AtractivoSitios!$B:$B,M$2)</f>
        <v>0</v>
      </c>
      <c r="N113" s="0" t="n">
        <f aca="false">SUMIFS(AtractivoSitios!$C:$C,AtractivoSitios!$A:$A,$A113,AtractivoSitios!$B:$B,N$2)</f>
        <v>0</v>
      </c>
      <c r="O113" s="0" t="n">
        <f aca="false">SUMIFS(AtractivoSitios!$C:$C,AtractivoSitios!$A:$A,$A113,AtractivoSitios!$B:$B,O$2)</f>
        <v>0.825605948706767</v>
      </c>
      <c r="P113" s="0" t="n">
        <f aca="false">SUMIFS(AtractivoSitios!$C:$C,AtractivoSitios!$A:$A,$A113,AtractivoSitios!$B:$B,P$2)</f>
        <v>0</v>
      </c>
      <c r="Q113" s="0" t="n">
        <f aca="false">SUMIFS(AtractivoSitios!$C:$C,AtractivoSitios!$A:$A,$A113,AtractivoSitios!$B:$B,Q$2)</f>
        <v>0</v>
      </c>
      <c r="R113" s="0" t="n">
        <f aca="false">SUMIFS(AtractivoSitios!$C:$C,AtractivoSitios!$A:$A,$A113,AtractivoSitios!$B:$B,R$2)</f>
        <v>0</v>
      </c>
      <c r="S113" s="0" t="n">
        <f aca="false">SUMIFS(AtractivoSitios!$C:$C,AtractivoSitios!$A:$A,$A113,AtractivoSitios!$B:$B,S$2)</f>
        <v>0</v>
      </c>
      <c r="T113" s="0" t="n">
        <f aca="false">SUM(M113:S113)</f>
        <v>0.825605948706767</v>
      </c>
      <c r="U113" s="0" t="n">
        <f aca="false">C113/(AD$4+H113+$T113)</f>
        <v>0.000191768334317057</v>
      </c>
      <c r="V113" s="0" t="n">
        <f aca="false">D113/(AE$4+I113+$T113)</f>
        <v>5.54985065090539E-005</v>
      </c>
      <c r="W113" s="0" t="n">
        <f aca="false">E113/(AF$4+J113+$T113)</f>
        <v>0.00031918768837631</v>
      </c>
      <c r="X113" s="0" t="n">
        <f aca="false">F113/(AG$4+K113+$T113)</f>
        <v>1.7398375322422E-005</v>
      </c>
      <c r="Y113" s="0" t="n">
        <f aca="false">G113/(AH$4+L113+$T113)</f>
        <v>1.07946500365252E-005</v>
      </c>
    </row>
    <row r="114" customFormat="false" ht="15" hidden="false" customHeight="false" outlineLevel="0" collapsed="false">
      <c r="A114" s="0" t="s">
        <v>160</v>
      </c>
      <c r="B114" s="0" t="n">
        <f aca="false">SUMIFS(Sectores!$C:$C,Sectores!$A:$A,$A114)</f>
        <v>2515</v>
      </c>
      <c r="C114" s="0" t="n">
        <f aca="false">SUMIFS(Generacion!$C:$C,Generacion!$A:$A,$A114,Generacion!$B:$B,C$2)</f>
        <v>0.0435338767065874</v>
      </c>
      <c r="D114" s="0" t="n">
        <f aca="false">SUMIFS(Generacion!$C:$C,Generacion!$A:$A,$A114,Generacion!$B:$B,D$2)</f>
        <v>0.0378709333951614</v>
      </c>
      <c r="E114" s="0" t="n">
        <f aca="false">SUMIFS(Generacion!$C:$C,Generacion!$A:$A,$A114,Generacion!$B:$B,E$2)</f>
        <v>0.0134494903646368</v>
      </c>
      <c r="F114" s="0" t="n">
        <f aca="false">SUMIFS(Generacion!$C:$C,Generacion!$A:$A,$A114,Generacion!$B:$B,F$2)</f>
        <v>0.00353933956964125</v>
      </c>
      <c r="G114" s="0" t="n">
        <f aca="false">SUMIFS(Generacion!$C:$C,Generacion!$A:$A,$A114,Generacion!$B:$B,G$2)</f>
        <v>0.00247753769874887</v>
      </c>
      <c r="H114" s="0" t="n">
        <f aca="false">SUMPRODUCT((AtractivoAlternativas!$A$2:$A$931=$A114)*AtractivoAlternativas!$C$2:$C$931*COUNTIFS(Alternativas!$A$2:$A$51,AtractivoAlternativas!$B$2:$B$931,Alternativas!$B$2:$B$51,H$2))</f>
        <v>0.617482370676281</v>
      </c>
      <c r="I114" s="0" t="n">
        <f aca="false">SUMPRODUCT((AtractivoAlternativas!$A$2:$A$931=$A114)*AtractivoAlternativas!$C$2:$C$931*COUNTIFS(Alternativas!$A$2:$A$51,AtractivoAlternativas!$B$2:$B$931,Alternativas!$B$2:$B$51,I$2))</f>
        <v>1.69576330715177</v>
      </c>
      <c r="J114" s="0" t="n">
        <f aca="false">SUMPRODUCT((AtractivoAlternativas!$A$2:$A$931=$A114)*AtractivoAlternativas!$C$2:$C$931*COUNTIFS(Alternativas!$A$2:$A$51,AtractivoAlternativas!$B$2:$B$931,Alternativas!$B$2:$B$51,J$2))</f>
        <v>0</v>
      </c>
      <c r="K114" s="0" t="n">
        <f aca="false">SUMPRODUCT((AtractivoAlternativas!$A$2:$A$931=$A114)*AtractivoAlternativas!$C$2:$C$931*COUNTIFS(Alternativas!$A$2:$A$51,AtractivoAlternativas!$B$2:$B$931,Alternativas!$B$2:$B$51,K$2))</f>
        <v>0</v>
      </c>
      <c r="L114" s="0" t="n">
        <f aca="false">SUMPRODUCT((AtractivoAlternativas!$A$2:$A$931=$A114)*AtractivoAlternativas!$C$2:$C$931*COUNTIFS(Alternativas!$A$2:$A$51,AtractivoAlternativas!$B$2:$B$931,Alternativas!$B$2:$B$51,L$2))</f>
        <v>0</v>
      </c>
      <c r="M114" s="0" t="n">
        <f aca="false">SUMIFS(AtractivoSitios!$C:$C,AtractivoSitios!$A:$A,$A114,AtractivoSitios!$B:$B,M$2)</f>
        <v>0</v>
      </c>
      <c r="N114" s="0" t="n">
        <f aca="false">SUMIFS(AtractivoSitios!$C:$C,AtractivoSitios!$A:$A,$A114,AtractivoSitios!$B:$B,N$2)</f>
        <v>0</v>
      </c>
      <c r="O114" s="0" t="n">
        <f aca="false">SUMIFS(AtractivoSitios!$C:$C,AtractivoSitios!$A:$A,$A114,AtractivoSitios!$B:$B,O$2)</f>
        <v>0.754038475116677</v>
      </c>
      <c r="P114" s="0" t="n">
        <f aca="false">SUMIFS(AtractivoSitios!$C:$C,AtractivoSitios!$A:$A,$A114,AtractivoSitios!$B:$B,P$2)</f>
        <v>0</v>
      </c>
      <c r="Q114" s="0" t="n">
        <f aca="false">SUMIFS(AtractivoSitios!$C:$C,AtractivoSitios!$A:$A,$A114,AtractivoSitios!$B:$B,Q$2)</f>
        <v>0</v>
      </c>
      <c r="R114" s="0" t="n">
        <f aca="false">SUMIFS(AtractivoSitios!$C:$C,AtractivoSitios!$A:$A,$A114,AtractivoSitios!$B:$B,R$2)</f>
        <v>0</v>
      </c>
      <c r="S114" s="0" t="n">
        <f aca="false">SUMIFS(AtractivoSitios!$C:$C,AtractivoSitios!$A:$A,$A114,AtractivoSitios!$B:$B,S$2)</f>
        <v>0</v>
      </c>
      <c r="T114" s="0" t="n">
        <f aca="false">SUM(M114:S114)</f>
        <v>0.754038475116677</v>
      </c>
      <c r="U114" s="0" t="n">
        <f aca="false">C114/(AD$4+H114+$T114)</f>
        <v>0.000191995592782583</v>
      </c>
      <c r="V114" s="0" t="n">
        <f aca="false">D114/(AE$4+I114+$T114)</f>
        <v>5.55095644176461E-005</v>
      </c>
      <c r="W114" s="0" t="n">
        <f aca="false">E114/(AF$4+J114+$T114)</f>
        <v>0.000322629667849606</v>
      </c>
      <c r="X114" s="0" t="n">
        <f aca="false">F114/(AG$4+K114+$T114)</f>
        <v>1.74044983139631E-005</v>
      </c>
      <c r="Y114" s="0" t="n">
        <f aca="false">G114/(AH$4+L114+$T114)</f>
        <v>1.07980170743234E-005</v>
      </c>
    </row>
    <row r="115" customFormat="false" ht="15" hidden="false" customHeight="false" outlineLevel="0" collapsed="false">
      <c r="A115" s="0" t="s">
        <v>161</v>
      </c>
      <c r="B115" s="0" t="n">
        <f aca="false">SUMIFS(Sectores!$C:$C,Sectores!$A:$A,$A115)</f>
        <v>3726</v>
      </c>
      <c r="C115" s="0" t="n">
        <f aca="false">SUMIFS(Generacion!$C:$C,Generacion!$A:$A,$A115,Generacion!$B:$B,C$2)</f>
        <v>0.0435338767065874</v>
      </c>
      <c r="D115" s="0" t="n">
        <f aca="false">SUMIFS(Generacion!$C:$C,Generacion!$A:$A,$A115,Generacion!$B:$B,D$2)</f>
        <v>0.0378709333951614</v>
      </c>
      <c r="E115" s="0" t="n">
        <f aca="false">SUMIFS(Generacion!$C:$C,Generacion!$A:$A,$A115,Generacion!$B:$B,E$2)</f>
        <v>0.0134494903646368</v>
      </c>
      <c r="F115" s="0" t="n">
        <f aca="false">SUMIFS(Generacion!$C:$C,Generacion!$A:$A,$A115,Generacion!$B:$B,F$2)</f>
        <v>0.00353933956964125</v>
      </c>
      <c r="G115" s="0" t="n">
        <f aca="false">SUMIFS(Generacion!$C:$C,Generacion!$A:$A,$A115,Generacion!$B:$B,G$2)</f>
        <v>0.00247753769874887</v>
      </c>
      <c r="H115" s="0" t="n">
        <f aca="false">SUMPRODUCT((AtractivoAlternativas!$A$2:$A$931=$A115)*AtractivoAlternativas!$C$2:$C$931*COUNTIFS(Alternativas!$A$2:$A$51,AtractivoAlternativas!$B$2:$B$931,Alternativas!$B$2:$B$51,H$2))</f>
        <v>1.13453387003332</v>
      </c>
      <c r="I115" s="0" t="n">
        <f aca="false">SUMPRODUCT((AtractivoAlternativas!$A$2:$A$931=$A115)*AtractivoAlternativas!$C$2:$C$931*COUNTIFS(Alternativas!$A$2:$A$51,AtractivoAlternativas!$B$2:$B$931,Alternativas!$B$2:$B$51,I$2))</f>
        <v>4.37992471021391</v>
      </c>
      <c r="J115" s="0" t="n">
        <f aca="false">SUMPRODUCT((AtractivoAlternativas!$A$2:$A$931=$A115)*AtractivoAlternativas!$C$2:$C$931*COUNTIFS(Alternativas!$A$2:$A$51,AtractivoAlternativas!$B$2:$B$931,Alternativas!$B$2:$B$51,J$2))</f>
        <v>0.658913483465655</v>
      </c>
      <c r="K115" s="0" t="n">
        <f aca="false">SUMPRODUCT((AtractivoAlternativas!$A$2:$A$931=$A115)*AtractivoAlternativas!$C$2:$C$931*COUNTIFS(Alternativas!$A$2:$A$51,AtractivoAlternativas!$B$2:$B$931,Alternativas!$B$2:$B$51,K$2))</f>
        <v>0</v>
      </c>
      <c r="L115" s="0" t="n">
        <f aca="false">SUMPRODUCT((AtractivoAlternativas!$A$2:$A$931=$A115)*AtractivoAlternativas!$C$2:$C$931*COUNTIFS(Alternativas!$A$2:$A$51,AtractivoAlternativas!$B$2:$B$931,Alternativas!$B$2:$B$51,L$2))</f>
        <v>0</v>
      </c>
      <c r="M115" s="0" t="n">
        <f aca="false">SUMIFS(AtractivoSitios!$C:$C,AtractivoSitios!$A:$A,$A115,AtractivoSitios!$B:$B,M$2)</f>
        <v>0.389689955763512</v>
      </c>
      <c r="N115" s="0" t="n">
        <f aca="false">SUMIFS(AtractivoSitios!$C:$C,AtractivoSitios!$A:$A,$A115,AtractivoSitios!$B:$B,N$2)</f>
        <v>0</v>
      </c>
      <c r="O115" s="0" t="n">
        <f aca="false">SUMIFS(AtractivoSitios!$C:$C,AtractivoSitios!$A:$A,$A115,AtractivoSitios!$B:$B,O$2)</f>
        <v>0.442530733884869</v>
      </c>
      <c r="P115" s="0" t="n">
        <f aca="false">SUMIFS(AtractivoSitios!$C:$C,AtractivoSitios!$A:$A,$A115,AtractivoSitios!$B:$B,P$2)</f>
        <v>0</v>
      </c>
      <c r="Q115" s="0" t="n">
        <f aca="false">SUMIFS(AtractivoSitios!$C:$C,AtractivoSitios!$A:$A,$A115,AtractivoSitios!$B:$B,Q$2)</f>
        <v>0</v>
      </c>
      <c r="R115" s="0" t="n">
        <f aca="false">SUMIFS(AtractivoSitios!$C:$C,AtractivoSitios!$A:$A,$A115,AtractivoSitios!$B:$B,R$2)</f>
        <v>0</v>
      </c>
      <c r="S115" s="0" t="n">
        <f aca="false">SUMIFS(AtractivoSitios!$C:$C,AtractivoSitios!$A:$A,$A115,AtractivoSitios!$B:$B,S$2)</f>
        <v>0</v>
      </c>
      <c r="T115" s="0" t="n">
        <f aca="false">SUM(M115:S115)</f>
        <v>0.832220689648381</v>
      </c>
      <c r="U115" s="0" t="n">
        <f aca="false">C115/(AD$4+H115+$T115)</f>
        <v>0.000191492898309129</v>
      </c>
      <c r="V115" s="0" t="n">
        <f aca="false">D115/(AE$4+I115+$T115)</f>
        <v>5.5285716810595E-005</v>
      </c>
      <c r="W115" s="0" t="n">
        <f aca="false">E115/(AF$4+J115+$T115)</f>
        <v>0.000317024163236503</v>
      </c>
      <c r="X115" s="0" t="n">
        <f aca="false">F115/(AG$4+K115+$T115)</f>
        <v>1.7397809612393E-005</v>
      </c>
      <c r="Y115" s="0" t="n">
        <f aca="false">G115/(AH$4+L115+$T115)</f>
        <v>1.07943389385486E-005</v>
      </c>
    </row>
    <row r="116" customFormat="false" ht="15" hidden="false" customHeight="false" outlineLevel="0" collapsed="false">
      <c r="A116" s="0" t="s">
        <v>162</v>
      </c>
      <c r="B116" s="0" t="n">
        <f aca="false">SUMIFS(Sectores!$C:$C,Sectores!$A:$A,$A116)</f>
        <v>3481</v>
      </c>
      <c r="C116" s="0" t="n">
        <f aca="false">SUMIFS(Generacion!$C:$C,Generacion!$A:$A,$A116,Generacion!$B:$B,C$2)</f>
        <v>0.0435338767065874</v>
      </c>
      <c r="D116" s="0" t="n">
        <f aca="false">SUMIFS(Generacion!$C:$C,Generacion!$A:$A,$A116,Generacion!$B:$B,D$2)</f>
        <v>0.0378709333951614</v>
      </c>
      <c r="E116" s="0" t="n">
        <f aca="false">SUMIFS(Generacion!$C:$C,Generacion!$A:$A,$A116,Generacion!$B:$B,E$2)</f>
        <v>0.0134494903646368</v>
      </c>
      <c r="F116" s="0" t="n">
        <f aca="false">SUMIFS(Generacion!$C:$C,Generacion!$A:$A,$A116,Generacion!$B:$B,F$2)</f>
        <v>0.00353933956964125</v>
      </c>
      <c r="G116" s="0" t="n">
        <f aca="false">SUMIFS(Generacion!$C:$C,Generacion!$A:$A,$A116,Generacion!$B:$B,G$2)</f>
        <v>0.00247753769874887</v>
      </c>
      <c r="H116" s="0" t="n">
        <f aca="false">SUMPRODUCT((AtractivoAlternativas!$A$2:$A$931=$A116)*AtractivoAlternativas!$C$2:$C$931*COUNTIFS(Alternativas!$A$2:$A$51,AtractivoAlternativas!$B$2:$B$931,Alternativas!$B$2:$B$51,H$2))</f>
        <v>1.10766232717443</v>
      </c>
      <c r="I116" s="0" t="n">
        <f aca="false">SUMPRODUCT((AtractivoAlternativas!$A$2:$A$931=$A116)*AtractivoAlternativas!$C$2:$C$931*COUNTIFS(Alternativas!$A$2:$A$51,AtractivoAlternativas!$B$2:$B$931,Alternativas!$B$2:$B$51,I$2))</f>
        <v>4.92441523016812</v>
      </c>
      <c r="J116" s="0" t="n">
        <f aca="false">SUMPRODUCT((AtractivoAlternativas!$A$2:$A$931=$A116)*AtractivoAlternativas!$C$2:$C$931*COUNTIFS(Alternativas!$A$2:$A$51,AtractivoAlternativas!$B$2:$B$931,Alternativas!$B$2:$B$51,J$2))</f>
        <v>0.557761624842958</v>
      </c>
      <c r="K116" s="0" t="n">
        <f aca="false">SUMPRODUCT((AtractivoAlternativas!$A$2:$A$931=$A116)*AtractivoAlternativas!$C$2:$C$931*COUNTIFS(Alternativas!$A$2:$A$51,AtractivoAlternativas!$B$2:$B$931,Alternativas!$B$2:$B$51,K$2))</f>
        <v>0</v>
      </c>
      <c r="L116" s="0" t="n">
        <f aca="false">SUMPRODUCT((AtractivoAlternativas!$A$2:$A$931=$A116)*AtractivoAlternativas!$C$2:$C$931*COUNTIFS(Alternativas!$A$2:$A$51,AtractivoAlternativas!$B$2:$B$931,Alternativas!$B$2:$B$51,L$2))</f>
        <v>0</v>
      </c>
      <c r="M116" s="0" t="n">
        <f aca="false">SUMIFS(AtractivoSitios!$C:$C,AtractivoSitios!$A:$A,$A116,AtractivoSitios!$B:$B,M$2)</f>
        <v>0</v>
      </c>
      <c r="N116" s="0" t="n">
        <f aca="false">SUMIFS(AtractivoSitios!$C:$C,AtractivoSitios!$A:$A,$A116,AtractivoSitios!$B:$B,N$2)</f>
        <v>0</v>
      </c>
      <c r="O116" s="0" t="n">
        <f aca="false">SUMIFS(AtractivoSitios!$C:$C,AtractivoSitios!$A:$A,$A116,AtractivoSitios!$B:$B,O$2)</f>
        <v>0.422253903382591</v>
      </c>
      <c r="P116" s="0" t="n">
        <f aca="false">SUMIFS(AtractivoSitios!$C:$C,AtractivoSitios!$A:$A,$A116,AtractivoSitios!$B:$B,P$2)</f>
        <v>0</v>
      </c>
      <c r="Q116" s="0" t="n">
        <f aca="false">SUMIFS(AtractivoSitios!$C:$C,AtractivoSitios!$A:$A,$A116,AtractivoSitios!$B:$B,Q$2)</f>
        <v>0</v>
      </c>
      <c r="R116" s="0" t="n">
        <f aca="false">SUMIFS(AtractivoSitios!$C:$C,AtractivoSitios!$A:$A,$A116,AtractivoSitios!$B:$B,R$2)</f>
        <v>0</v>
      </c>
      <c r="S116" s="0" t="n">
        <f aca="false">SUMIFS(AtractivoSitios!$C:$C,AtractivoSitios!$A:$A,$A116,AtractivoSitios!$B:$B,S$2)</f>
        <v>0</v>
      </c>
      <c r="T116" s="0" t="n">
        <f aca="false">SUM(M116:S116)</f>
        <v>0.422253903382591</v>
      </c>
      <c r="U116" s="0" t="n">
        <f aca="false">C116/(AD$4+H116+$T116)</f>
        <v>0.000191861565126408</v>
      </c>
      <c r="V116" s="0" t="n">
        <f aca="false">D116/(AE$4+I116+$T116)</f>
        <v>5.52748617184841E-005</v>
      </c>
      <c r="W116" s="0" t="n">
        <f aca="false">E116/(AF$4+J116+$T116)</f>
        <v>0.000320890188600506</v>
      </c>
      <c r="X116" s="0" t="n">
        <f aca="false">F116/(AG$4+K116+$T116)</f>
        <v>1.74329407059722E-005</v>
      </c>
      <c r="Y116" s="0" t="n">
        <f aca="false">G116/(AH$4+L116+$T116)</f>
        <v>1.08136540368873E-005</v>
      </c>
    </row>
    <row r="117" customFormat="false" ht="15" hidden="false" customHeight="false" outlineLevel="0" collapsed="false">
      <c r="A117" s="0" t="s">
        <v>163</v>
      </c>
      <c r="B117" s="0" t="n">
        <f aca="false">SUMIFS(Sectores!$C:$C,Sectores!$A:$A,$A117)</f>
        <v>5054</v>
      </c>
      <c r="C117" s="0" t="n">
        <f aca="false">SUMIFS(Generacion!$C:$C,Generacion!$A:$A,$A117,Generacion!$B:$B,C$2)</f>
        <v>0.0435338767065874</v>
      </c>
      <c r="D117" s="0" t="n">
        <f aca="false">SUMIFS(Generacion!$C:$C,Generacion!$A:$A,$A117,Generacion!$B:$B,D$2)</f>
        <v>0.0378709333951614</v>
      </c>
      <c r="E117" s="0" t="n">
        <f aca="false">SUMIFS(Generacion!$C:$C,Generacion!$A:$A,$A117,Generacion!$B:$B,E$2)</f>
        <v>0.0134494903646368</v>
      </c>
      <c r="F117" s="0" t="n">
        <f aca="false">SUMIFS(Generacion!$C:$C,Generacion!$A:$A,$A117,Generacion!$B:$B,F$2)</f>
        <v>0.00353933956964125</v>
      </c>
      <c r="G117" s="0" t="n">
        <f aca="false">SUMIFS(Generacion!$C:$C,Generacion!$A:$A,$A117,Generacion!$B:$B,G$2)</f>
        <v>0.00247753769874887</v>
      </c>
      <c r="H117" s="0" t="n">
        <f aca="false">SUMPRODUCT((AtractivoAlternativas!$A$2:$A$931=$A117)*AtractivoAlternativas!$C$2:$C$931*COUNTIFS(Alternativas!$A$2:$A$51,AtractivoAlternativas!$B$2:$B$931,Alternativas!$B$2:$B$51,H$2))</f>
        <v>1.30736985092339</v>
      </c>
      <c r="I117" s="0" t="n">
        <f aca="false">SUMPRODUCT((AtractivoAlternativas!$A$2:$A$931=$A117)*AtractivoAlternativas!$C$2:$C$931*COUNTIFS(Alternativas!$A$2:$A$51,AtractivoAlternativas!$B$2:$B$931,Alternativas!$B$2:$B$51,I$2))</f>
        <v>5.07330137106403</v>
      </c>
      <c r="J117" s="0" t="n">
        <f aca="false">SUMPRODUCT((AtractivoAlternativas!$A$2:$A$931=$A117)*AtractivoAlternativas!$C$2:$C$931*COUNTIFS(Alternativas!$A$2:$A$51,AtractivoAlternativas!$B$2:$B$931,Alternativas!$B$2:$B$51,J$2))</f>
        <v>0.887942186643984</v>
      </c>
      <c r="K117" s="0" t="n">
        <f aca="false">SUMPRODUCT((AtractivoAlternativas!$A$2:$A$931=$A117)*AtractivoAlternativas!$C$2:$C$931*COUNTIFS(Alternativas!$A$2:$A$51,AtractivoAlternativas!$B$2:$B$931,Alternativas!$B$2:$B$51,K$2))</f>
        <v>0</v>
      </c>
      <c r="L117" s="0" t="n">
        <f aca="false">SUMPRODUCT((AtractivoAlternativas!$A$2:$A$931=$A117)*AtractivoAlternativas!$C$2:$C$931*COUNTIFS(Alternativas!$A$2:$A$51,AtractivoAlternativas!$B$2:$B$931,Alternativas!$B$2:$B$51,L$2))</f>
        <v>0</v>
      </c>
      <c r="M117" s="0" t="n">
        <f aca="false">SUMIFS(AtractivoSitios!$C:$C,AtractivoSitios!$A:$A,$A117,AtractivoSitios!$B:$B,M$2)</f>
        <v>0.589928062278919</v>
      </c>
      <c r="N117" s="0" t="n">
        <f aca="false">SUMIFS(AtractivoSitios!$C:$C,AtractivoSitios!$A:$A,$A117,AtractivoSitios!$B:$B,N$2)</f>
        <v>0</v>
      </c>
      <c r="O117" s="0" t="n">
        <f aca="false">SUMIFS(AtractivoSitios!$C:$C,AtractivoSitios!$A:$A,$A117,AtractivoSitios!$B:$B,O$2)</f>
        <v>0</v>
      </c>
      <c r="P117" s="0" t="n">
        <f aca="false">SUMIFS(AtractivoSitios!$C:$C,AtractivoSitios!$A:$A,$A117,AtractivoSitios!$B:$B,P$2)</f>
        <v>0</v>
      </c>
      <c r="Q117" s="0" t="n">
        <f aca="false">SUMIFS(AtractivoSitios!$C:$C,AtractivoSitios!$A:$A,$A117,AtractivoSitios!$B:$B,Q$2)</f>
        <v>0</v>
      </c>
      <c r="R117" s="0" t="n">
        <f aca="false">SUMIFS(AtractivoSitios!$C:$C,AtractivoSitios!$A:$A,$A117,AtractivoSitios!$B:$B,R$2)</f>
        <v>0</v>
      </c>
      <c r="S117" s="0" t="n">
        <f aca="false">SUMIFS(AtractivoSitios!$C:$C,AtractivoSitios!$A:$A,$A117,AtractivoSitios!$B:$B,S$2)</f>
        <v>0</v>
      </c>
      <c r="T117" s="0" t="n">
        <f aca="false">SUM(M117:S117)</f>
        <v>0.589928062278919</v>
      </c>
      <c r="U117" s="0" t="n">
        <f aca="false">C117/(AD$4+H117+$T117)</f>
        <v>0.000191551421031213</v>
      </c>
      <c r="V117" s="0" t="n">
        <f aca="false">D117/(AE$4+I117+$T117)</f>
        <v>5.52493344024839E-005</v>
      </c>
      <c r="W117" s="0" t="n">
        <f aca="false">E117/(AF$4+J117+$T117)</f>
        <v>0.00031712331187074</v>
      </c>
      <c r="X117" s="0" t="n">
        <f aca="false">F117/(AG$4+K117+$T117)</f>
        <v>1.74185551488502E-005</v>
      </c>
      <c r="Y117" s="0" t="n">
        <f aca="false">G117/(AH$4+L117+$T117)</f>
        <v>1.08057459198606E-005</v>
      </c>
    </row>
    <row r="118" customFormat="false" ht="15" hidden="false" customHeight="false" outlineLevel="0" collapsed="false">
      <c r="A118" s="0" t="s">
        <v>164</v>
      </c>
      <c r="B118" s="0" t="n">
        <f aca="false">SUMIFS(Sectores!$C:$C,Sectores!$A:$A,$A118)</f>
        <v>4565</v>
      </c>
      <c r="C118" s="0" t="n">
        <f aca="false">SUMIFS(Generacion!$C:$C,Generacion!$A:$A,$A118,Generacion!$B:$B,C$2)</f>
        <v>0.0435338767065874</v>
      </c>
      <c r="D118" s="0" t="n">
        <f aca="false">SUMIFS(Generacion!$C:$C,Generacion!$A:$A,$A118,Generacion!$B:$B,D$2)</f>
        <v>0.0378709333951614</v>
      </c>
      <c r="E118" s="0" t="n">
        <f aca="false">SUMIFS(Generacion!$C:$C,Generacion!$A:$A,$A118,Generacion!$B:$B,E$2)</f>
        <v>0.0134494903646368</v>
      </c>
      <c r="F118" s="0" t="n">
        <f aca="false">SUMIFS(Generacion!$C:$C,Generacion!$A:$A,$A118,Generacion!$B:$B,F$2)</f>
        <v>0.00353933956964125</v>
      </c>
      <c r="G118" s="0" t="n">
        <f aca="false">SUMIFS(Generacion!$C:$C,Generacion!$A:$A,$A118,Generacion!$B:$B,G$2)</f>
        <v>0.00247753769874887</v>
      </c>
      <c r="H118" s="0" t="n">
        <f aca="false">SUMPRODUCT((AtractivoAlternativas!$A$2:$A$931=$A118)*AtractivoAlternativas!$C$2:$C$931*COUNTIFS(Alternativas!$A$2:$A$51,AtractivoAlternativas!$B$2:$B$931,Alternativas!$B$2:$B$51,H$2))</f>
        <v>1.01140101104698</v>
      </c>
      <c r="I118" s="0" t="n">
        <f aca="false">SUMPRODUCT((AtractivoAlternativas!$A$2:$A$931=$A118)*AtractivoAlternativas!$C$2:$C$931*COUNTIFS(Alternativas!$A$2:$A$51,AtractivoAlternativas!$B$2:$B$931,Alternativas!$B$2:$B$51,I$2))</f>
        <v>5.2860257098441</v>
      </c>
      <c r="J118" s="0" t="n">
        <f aca="false">SUMPRODUCT((AtractivoAlternativas!$A$2:$A$931=$A118)*AtractivoAlternativas!$C$2:$C$931*COUNTIFS(Alternativas!$A$2:$A$51,AtractivoAlternativas!$B$2:$B$931,Alternativas!$B$2:$B$51,J$2))</f>
        <v>0.492789959915647</v>
      </c>
      <c r="K118" s="0" t="n">
        <f aca="false">SUMPRODUCT((AtractivoAlternativas!$A$2:$A$931=$A118)*AtractivoAlternativas!$C$2:$C$931*COUNTIFS(Alternativas!$A$2:$A$51,AtractivoAlternativas!$B$2:$B$931,Alternativas!$B$2:$B$51,K$2))</f>
        <v>0</v>
      </c>
      <c r="L118" s="0" t="n">
        <f aca="false">SUMPRODUCT((AtractivoAlternativas!$A$2:$A$931=$A118)*AtractivoAlternativas!$C$2:$C$931*COUNTIFS(Alternativas!$A$2:$A$51,AtractivoAlternativas!$B$2:$B$931,Alternativas!$B$2:$B$51,L$2))</f>
        <v>0</v>
      </c>
      <c r="M118" s="0" t="n">
        <f aca="false">SUMIFS(AtractivoSitios!$C:$C,AtractivoSitios!$A:$A,$A118,AtractivoSitios!$B:$B,M$2)</f>
        <v>0</v>
      </c>
      <c r="N118" s="0" t="n">
        <f aca="false">SUMIFS(AtractivoSitios!$C:$C,AtractivoSitios!$A:$A,$A118,AtractivoSitios!$B:$B,N$2)</f>
        <v>0</v>
      </c>
      <c r="O118" s="0" t="n">
        <f aca="false">SUMIFS(AtractivoSitios!$C:$C,AtractivoSitios!$A:$A,$A118,AtractivoSitios!$B:$B,O$2)</f>
        <v>0</v>
      </c>
      <c r="P118" s="0" t="n">
        <f aca="false">SUMIFS(AtractivoSitios!$C:$C,AtractivoSitios!$A:$A,$A118,AtractivoSitios!$B:$B,P$2)</f>
        <v>0</v>
      </c>
      <c r="Q118" s="0" t="n">
        <f aca="false">SUMIFS(AtractivoSitios!$C:$C,AtractivoSitios!$A:$A,$A118,AtractivoSitios!$B:$B,Q$2)</f>
        <v>0</v>
      </c>
      <c r="R118" s="0" t="n">
        <f aca="false">SUMIFS(AtractivoSitios!$C:$C,AtractivoSitios!$A:$A,$A118,AtractivoSitios!$B:$B,R$2)</f>
        <v>0</v>
      </c>
      <c r="S118" s="0" t="n">
        <f aca="false">SUMIFS(AtractivoSitios!$C:$C,AtractivoSitios!$A:$A,$A118,AtractivoSitios!$B:$B,S$2)</f>
        <v>0</v>
      </c>
      <c r="T118" s="0" t="n">
        <f aca="false">SUM(M118:S118)</f>
        <v>0</v>
      </c>
      <c r="U118" s="0" t="n">
        <f aca="false">C118/(AD$4+H118+$T118)</f>
        <v>0.000192301009301316</v>
      </c>
      <c r="V118" s="0" t="n">
        <f aca="false">D118/(AE$4+I118+$T118)</f>
        <v>5.52797546763344E-005</v>
      </c>
      <c r="W118" s="0" t="n">
        <f aca="false">E118/(AF$4+J118+$T118)</f>
        <v>0.000324664304418949</v>
      </c>
      <c r="X118" s="0" t="n">
        <f aca="false">F118/(AG$4+K118+$T118)</f>
        <v>1.74692733442245E-005</v>
      </c>
      <c r="Y118" s="0" t="n">
        <f aca="false">G118/(AH$4+L118+$T118)</f>
        <v>1.08336204240265E-005</v>
      </c>
    </row>
    <row r="119" customFormat="false" ht="15" hidden="false" customHeight="false" outlineLevel="0" collapsed="false">
      <c r="A119" s="0" t="s">
        <v>165</v>
      </c>
      <c r="B119" s="0" t="n">
        <f aca="false">SUMIFS(Sectores!$C:$C,Sectores!$A:$A,$A119)</f>
        <v>4302</v>
      </c>
      <c r="C119" s="0" t="n">
        <f aca="false">SUMIFS(Generacion!$C:$C,Generacion!$A:$A,$A119,Generacion!$B:$B,C$2)</f>
        <v>0.0435338767065874</v>
      </c>
      <c r="D119" s="0" t="n">
        <f aca="false">SUMIFS(Generacion!$C:$C,Generacion!$A:$A,$A119,Generacion!$B:$B,D$2)</f>
        <v>0.0378709333951614</v>
      </c>
      <c r="E119" s="0" t="n">
        <f aca="false">SUMIFS(Generacion!$C:$C,Generacion!$A:$A,$A119,Generacion!$B:$B,E$2)</f>
        <v>0.0134494903646368</v>
      </c>
      <c r="F119" s="0" t="n">
        <f aca="false">SUMIFS(Generacion!$C:$C,Generacion!$A:$A,$A119,Generacion!$B:$B,F$2)</f>
        <v>0.00353933956964125</v>
      </c>
      <c r="G119" s="0" t="n">
        <f aca="false">SUMIFS(Generacion!$C:$C,Generacion!$A:$A,$A119,Generacion!$B:$B,G$2)</f>
        <v>0.00247753769874887</v>
      </c>
      <c r="H119" s="0" t="n">
        <f aca="false">SUMPRODUCT((AtractivoAlternativas!$A$2:$A$931=$A119)*AtractivoAlternativas!$C$2:$C$931*COUNTIFS(Alternativas!$A$2:$A$51,AtractivoAlternativas!$B$2:$B$931,Alternativas!$B$2:$B$51,H$2))</f>
        <v>1.09913536834494</v>
      </c>
      <c r="I119" s="0" t="n">
        <f aca="false">SUMPRODUCT((AtractivoAlternativas!$A$2:$A$931=$A119)*AtractivoAlternativas!$C$2:$C$931*COUNTIFS(Alternativas!$A$2:$A$51,AtractivoAlternativas!$B$2:$B$931,Alternativas!$B$2:$B$51,I$2))</f>
        <v>4.7984632170439</v>
      </c>
      <c r="J119" s="0" t="n">
        <f aca="false">SUMPRODUCT((AtractivoAlternativas!$A$2:$A$931=$A119)*AtractivoAlternativas!$C$2:$C$931*COUNTIFS(Alternativas!$A$2:$A$51,AtractivoAlternativas!$B$2:$B$931,Alternativas!$B$2:$B$51,J$2))</f>
        <v>0.663407603865066</v>
      </c>
      <c r="K119" s="0" t="n">
        <f aca="false">SUMPRODUCT((AtractivoAlternativas!$A$2:$A$931=$A119)*AtractivoAlternativas!$C$2:$C$931*COUNTIFS(Alternativas!$A$2:$A$51,AtractivoAlternativas!$B$2:$B$931,Alternativas!$B$2:$B$51,K$2))</f>
        <v>0</v>
      </c>
      <c r="L119" s="0" t="n">
        <f aca="false">SUMPRODUCT((AtractivoAlternativas!$A$2:$A$931=$A119)*AtractivoAlternativas!$C$2:$C$931*COUNTIFS(Alternativas!$A$2:$A$51,AtractivoAlternativas!$B$2:$B$931,Alternativas!$B$2:$B$51,L$2))</f>
        <v>0</v>
      </c>
      <c r="M119" s="0" t="n">
        <f aca="false">SUMIFS(AtractivoSitios!$C:$C,AtractivoSitios!$A:$A,$A119,AtractivoSitios!$B:$B,M$2)</f>
        <v>0.455532255666294</v>
      </c>
      <c r="N119" s="0" t="n">
        <f aca="false">SUMIFS(AtractivoSitios!$C:$C,AtractivoSitios!$A:$A,$A119,AtractivoSitios!$B:$B,N$2)</f>
        <v>0</v>
      </c>
      <c r="O119" s="0" t="n">
        <f aca="false">SUMIFS(AtractivoSitios!$C:$C,AtractivoSitios!$A:$A,$A119,AtractivoSitios!$B:$B,O$2)</f>
        <v>0</v>
      </c>
      <c r="P119" s="0" t="n">
        <f aca="false">SUMIFS(AtractivoSitios!$C:$C,AtractivoSitios!$A:$A,$A119,AtractivoSitios!$B:$B,P$2)</f>
        <v>0</v>
      </c>
      <c r="Q119" s="0" t="n">
        <f aca="false">SUMIFS(AtractivoSitios!$C:$C,AtractivoSitios!$A:$A,$A119,AtractivoSitios!$B:$B,Q$2)</f>
        <v>0</v>
      </c>
      <c r="R119" s="0" t="n">
        <f aca="false">SUMIFS(AtractivoSitios!$C:$C,AtractivoSitios!$A:$A,$A119,AtractivoSitios!$B:$B,R$2)</f>
        <v>0</v>
      </c>
      <c r="S119" s="0" t="n">
        <f aca="false">SUMIFS(AtractivoSitios!$C:$C,AtractivoSitios!$A:$A,$A119,AtractivoSitios!$B:$B,S$2)</f>
        <v>0</v>
      </c>
      <c r="T119" s="0" t="n">
        <f aca="false">SUM(M119:S119)</f>
        <v>0.455532255666294</v>
      </c>
      <c r="U119" s="0" t="n">
        <f aca="false">C119/(AD$4+H119+$T119)</f>
        <v>0.000191840638418868</v>
      </c>
      <c r="V119" s="0" t="n">
        <f aca="false">D119/(AE$4+I119+$T119)</f>
        <v>5.52823393556325E-005</v>
      </c>
      <c r="W119" s="0" t="n">
        <f aca="false">E119/(AF$4+J119+$T119)</f>
        <v>0.000319830085171849</v>
      </c>
      <c r="X119" s="0" t="n">
        <f aca="false">F119/(AG$4+K119+$T119)</f>
        <v>1.74300837094665E-005</v>
      </c>
      <c r="Y119" s="0" t="n">
        <f aca="false">G119/(AH$4+L119+$T119)</f>
        <v>1.08120835894364E-005</v>
      </c>
    </row>
    <row r="120" customFormat="false" ht="15" hidden="false" customHeight="false" outlineLevel="0" collapsed="false">
      <c r="A120" s="0" t="s">
        <v>166</v>
      </c>
      <c r="B120" s="0" t="n">
        <f aca="false">SUMIFS(Sectores!$C:$C,Sectores!$A:$A,$A120)</f>
        <v>4114</v>
      </c>
      <c r="C120" s="0" t="n">
        <f aca="false">SUMIFS(Generacion!$C:$C,Generacion!$A:$A,$A120,Generacion!$B:$B,C$2)</f>
        <v>0.0435338767065874</v>
      </c>
      <c r="D120" s="0" t="n">
        <f aca="false">SUMIFS(Generacion!$C:$C,Generacion!$A:$A,$A120,Generacion!$B:$B,D$2)</f>
        <v>0.0378709333951614</v>
      </c>
      <c r="E120" s="0" t="n">
        <f aca="false">SUMIFS(Generacion!$C:$C,Generacion!$A:$A,$A120,Generacion!$B:$B,E$2)</f>
        <v>0.0134494903646368</v>
      </c>
      <c r="F120" s="0" t="n">
        <f aca="false">SUMIFS(Generacion!$C:$C,Generacion!$A:$A,$A120,Generacion!$B:$B,F$2)</f>
        <v>0.00353933956964125</v>
      </c>
      <c r="G120" s="0" t="n">
        <f aca="false">SUMIFS(Generacion!$C:$C,Generacion!$A:$A,$A120,Generacion!$B:$B,G$2)</f>
        <v>0.00247753769874887</v>
      </c>
      <c r="H120" s="0" t="n">
        <f aca="false">SUMPRODUCT((AtractivoAlternativas!$A$2:$A$931=$A120)*AtractivoAlternativas!$C$2:$C$931*COUNTIFS(Alternativas!$A$2:$A$51,AtractivoAlternativas!$B$2:$B$931,Alternativas!$B$2:$B$51,H$2))</f>
        <v>0.949378968471027</v>
      </c>
      <c r="I120" s="0" t="n">
        <f aca="false">SUMPRODUCT((AtractivoAlternativas!$A$2:$A$931=$A120)*AtractivoAlternativas!$C$2:$C$931*COUNTIFS(Alternativas!$A$2:$A$51,AtractivoAlternativas!$B$2:$B$931,Alternativas!$B$2:$B$51,I$2))</f>
        <v>4.77622942762072</v>
      </c>
      <c r="J120" s="0" t="n">
        <f aca="false">SUMPRODUCT((AtractivoAlternativas!$A$2:$A$931=$A120)*AtractivoAlternativas!$C$2:$C$931*COUNTIFS(Alternativas!$A$2:$A$51,AtractivoAlternativas!$B$2:$B$931,Alternativas!$B$2:$B$51,J$2))</f>
        <v>0.549212200813587</v>
      </c>
      <c r="K120" s="0" t="n">
        <f aca="false">SUMPRODUCT((AtractivoAlternativas!$A$2:$A$931=$A120)*AtractivoAlternativas!$C$2:$C$931*COUNTIFS(Alternativas!$A$2:$A$51,AtractivoAlternativas!$B$2:$B$931,Alternativas!$B$2:$B$51,K$2))</f>
        <v>0</v>
      </c>
      <c r="L120" s="0" t="n">
        <f aca="false">SUMPRODUCT((AtractivoAlternativas!$A$2:$A$931=$A120)*AtractivoAlternativas!$C$2:$C$931*COUNTIFS(Alternativas!$A$2:$A$51,AtractivoAlternativas!$B$2:$B$931,Alternativas!$B$2:$B$51,L$2))</f>
        <v>0</v>
      </c>
      <c r="M120" s="0" t="n">
        <f aca="false">SUMIFS(AtractivoSitios!$C:$C,AtractivoSitios!$A:$A,$A120,AtractivoSitios!$B:$B,M$2)</f>
        <v>0.507204540439571</v>
      </c>
      <c r="N120" s="0" t="n">
        <f aca="false">SUMIFS(AtractivoSitios!$C:$C,AtractivoSitios!$A:$A,$A120,AtractivoSitios!$B:$B,N$2)</f>
        <v>0</v>
      </c>
      <c r="O120" s="0" t="n">
        <f aca="false">SUMIFS(AtractivoSitios!$C:$C,AtractivoSitios!$A:$A,$A120,AtractivoSitios!$B:$B,O$2)</f>
        <v>0</v>
      </c>
      <c r="P120" s="0" t="n">
        <f aca="false">SUMIFS(AtractivoSitios!$C:$C,AtractivoSitios!$A:$A,$A120,AtractivoSitios!$B:$B,P$2)</f>
        <v>0</v>
      </c>
      <c r="Q120" s="0" t="n">
        <f aca="false">SUMIFS(AtractivoSitios!$C:$C,AtractivoSitios!$A:$A,$A120,AtractivoSitios!$B:$B,Q$2)</f>
        <v>0</v>
      </c>
      <c r="R120" s="0" t="n">
        <f aca="false">SUMIFS(AtractivoSitios!$C:$C,AtractivoSitios!$A:$A,$A120,AtractivoSitios!$B:$B,R$2)</f>
        <v>0</v>
      </c>
      <c r="S120" s="0" t="n">
        <f aca="false">SUMIFS(AtractivoSitios!$C:$C,AtractivoSitios!$A:$A,$A120,AtractivoSitios!$B:$B,S$2)</f>
        <v>0</v>
      </c>
      <c r="T120" s="0" t="n">
        <f aca="false">SUM(M120:S120)</f>
        <v>0.507204540439571</v>
      </c>
      <c r="U120" s="0" t="n">
        <f aca="false">C120/(AD$4+H120+$T120)</f>
        <v>0.000191923592987977</v>
      </c>
      <c r="V120" s="0" t="n">
        <f aca="false">D120/(AE$4+I120+$T120)</f>
        <v>5.5279963807895E-005</v>
      </c>
      <c r="W120" s="0" t="n">
        <f aca="false">E120/(AF$4+J120+$T120)</f>
        <v>0.000320306318319928</v>
      </c>
      <c r="X120" s="0" t="n">
        <f aca="false">F120/(AG$4+K120+$T120)</f>
        <v>1.7425649421647E-005</v>
      </c>
      <c r="Y120" s="0" t="n">
        <f aca="false">G120/(AH$4+L120+$T120)</f>
        <v>1.08096460129029E-005</v>
      </c>
    </row>
    <row r="121" customFormat="false" ht="15" hidden="false" customHeight="false" outlineLevel="0" collapsed="false">
      <c r="A121" s="0" t="s">
        <v>167</v>
      </c>
      <c r="B121" s="0" t="n">
        <f aca="false">SUMIFS(Sectores!$C:$C,Sectores!$A:$A,$A121)</f>
        <v>4648</v>
      </c>
      <c r="C121" s="0" t="n">
        <f aca="false">SUMIFS(Generacion!$C:$C,Generacion!$A:$A,$A121,Generacion!$B:$B,C$2)</f>
        <v>0.0435338767065874</v>
      </c>
      <c r="D121" s="0" t="n">
        <f aca="false">SUMIFS(Generacion!$C:$C,Generacion!$A:$A,$A121,Generacion!$B:$B,D$2)</f>
        <v>0.0378709333951614</v>
      </c>
      <c r="E121" s="0" t="n">
        <f aca="false">SUMIFS(Generacion!$C:$C,Generacion!$A:$A,$A121,Generacion!$B:$B,E$2)</f>
        <v>0.0134494903646368</v>
      </c>
      <c r="F121" s="0" t="n">
        <f aca="false">SUMIFS(Generacion!$C:$C,Generacion!$A:$A,$A121,Generacion!$B:$B,F$2)</f>
        <v>0.00353933956964125</v>
      </c>
      <c r="G121" s="0" t="n">
        <f aca="false">SUMIFS(Generacion!$C:$C,Generacion!$A:$A,$A121,Generacion!$B:$B,G$2)</f>
        <v>0.00247753769874887</v>
      </c>
      <c r="H121" s="0" t="n">
        <f aca="false">SUMPRODUCT((AtractivoAlternativas!$A$2:$A$931=$A121)*AtractivoAlternativas!$C$2:$C$931*COUNTIFS(Alternativas!$A$2:$A$51,AtractivoAlternativas!$B$2:$B$931,Alternativas!$B$2:$B$51,H$2))</f>
        <v>1.16678004042786</v>
      </c>
      <c r="I121" s="0" t="n">
        <f aca="false">SUMPRODUCT((AtractivoAlternativas!$A$2:$A$931=$A121)*AtractivoAlternativas!$C$2:$C$931*COUNTIFS(Alternativas!$A$2:$A$51,AtractivoAlternativas!$B$2:$B$931,Alternativas!$B$2:$B$51,I$2))</f>
        <v>4.83809487122022</v>
      </c>
      <c r="J121" s="0" t="n">
        <f aca="false">SUMPRODUCT((AtractivoAlternativas!$A$2:$A$931=$A121)*AtractivoAlternativas!$C$2:$C$931*COUNTIFS(Alternativas!$A$2:$A$51,AtractivoAlternativas!$B$2:$B$931,Alternativas!$B$2:$B$51,J$2))</f>
        <v>0.698720945955739</v>
      </c>
      <c r="K121" s="0" t="n">
        <f aca="false">SUMPRODUCT((AtractivoAlternativas!$A$2:$A$931=$A121)*AtractivoAlternativas!$C$2:$C$931*COUNTIFS(Alternativas!$A$2:$A$51,AtractivoAlternativas!$B$2:$B$931,Alternativas!$B$2:$B$51,K$2))</f>
        <v>0</v>
      </c>
      <c r="L121" s="0" t="n">
        <f aca="false">SUMPRODUCT((AtractivoAlternativas!$A$2:$A$931=$A121)*AtractivoAlternativas!$C$2:$C$931*COUNTIFS(Alternativas!$A$2:$A$51,AtractivoAlternativas!$B$2:$B$931,Alternativas!$B$2:$B$51,L$2))</f>
        <v>0</v>
      </c>
      <c r="M121" s="0" t="n">
        <f aca="false">SUMIFS(AtractivoSitios!$C:$C,AtractivoSitios!$A:$A,$A121,AtractivoSitios!$B:$B,M$2)</f>
        <v>0.634378260638177</v>
      </c>
      <c r="N121" s="0" t="n">
        <f aca="false">SUMIFS(AtractivoSitios!$C:$C,AtractivoSitios!$A:$A,$A121,AtractivoSitios!$B:$B,N$2)</f>
        <v>0</v>
      </c>
      <c r="O121" s="0" t="n">
        <f aca="false">SUMIFS(AtractivoSitios!$C:$C,AtractivoSitios!$A:$A,$A121,AtractivoSitios!$B:$B,O$2)</f>
        <v>0</v>
      </c>
      <c r="P121" s="0" t="n">
        <f aca="false">SUMIFS(AtractivoSitios!$C:$C,AtractivoSitios!$A:$A,$A121,AtractivoSitios!$B:$B,P$2)</f>
        <v>0</v>
      </c>
      <c r="Q121" s="0" t="n">
        <f aca="false">SUMIFS(AtractivoSitios!$C:$C,AtractivoSitios!$A:$A,$A121,AtractivoSitios!$B:$B,Q$2)</f>
        <v>0</v>
      </c>
      <c r="R121" s="0" t="n">
        <f aca="false">SUMIFS(AtractivoSitios!$C:$C,AtractivoSitios!$A:$A,$A121,AtractivoSitios!$B:$B,R$2)</f>
        <v>0</v>
      </c>
      <c r="S121" s="0" t="n">
        <f aca="false">SUMIFS(AtractivoSitios!$C:$C,AtractivoSitios!$A:$A,$A121,AtractivoSitios!$B:$B,S$2)</f>
        <v>0</v>
      </c>
      <c r="T121" s="0" t="n">
        <f aca="false">SUM(M121:S121)</f>
        <v>0.634378260638177</v>
      </c>
      <c r="U121" s="0" t="n">
        <f aca="false">C121/(AD$4+H121+$T121)</f>
        <v>0.000191632485311818</v>
      </c>
      <c r="V121" s="0" t="n">
        <f aca="false">D121/(AE$4+I121+$T121)</f>
        <v>5.52647141024192E-005</v>
      </c>
      <c r="W121" s="0" t="n">
        <f aca="false">E121/(AF$4+J121+$T121)</f>
        <v>0.000318209530443256</v>
      </c>
      <c r="X121" s="0" t="n">
        <f aca="false">F121/(AG$4+K121+$T121)</f>
        <v>1.74147455369675E-005</v>
      </c>
      <c r="Y121" s="0" t="n">
        <f aca="false">G121/(AH$4+L121+$T121)</f>
        <v>1.08036514276627E-005</v>
      </c>
    </row>
    <row r="122" customFormat="false" ht="15" hidden="false" customHeight="false" outlineLevel="0" collapsed="false">
      <c r="A122" s="0" t="s">
        <v>168</v>
      </c>
      <c r="B122" s="0" t="n">
        <f aca="false">SUMIFS(Sectores!$C:$C,Sectores!$A:$A,$A122)</f>
        <v>3892</v>
      </c>
      <c r="C122" s="0" t="n">
        <f aca="false">SUMIFS(Generacion!$C:$C,Generacion!$A:$A,$A122,Generacion!$B:$B,C$2)</f>
        <v>0.0435338767065874</v>
      </c>
      <c r="D122" s="0" t="n">
        <f aca="false">SUMIFS(Generacion!$C:$C,Generacion!$A:$A,$A122,Generacion!$B:$B,D$2)</f>
        <v>0.0378709333951614</v>
      </c>
      <c r="E122" s="0" t="n">
        <f aca="false">SUMIFS(Generacion!$C:$C,Generacion!$A:$A,$A122,Generacion!$B:$B,E$2)</f>
        <v>0.0134494903646368</v>
      </c>
      <c r="F122" s="0" t="n">
        <f aca="false">SUMIFS(Generacion!$C:$C,Generacion!$A:$A,$A122,Generacion!$B:$B,F$2)</f>
        <v>0.00353933956964125</v>
      </c>
      <c r="G122" s="0" t="n">
        <f aca="false">SUMIFS(Generacion!$C:$C,Generacion!$A:$A,$A122,Generacion!$B:$B,G$2)</f>
        <v>0.00247753769874887</v>
      </c>
      <c r="H122" s="0" t="n">
        <f aca="false">SUMPRODUCT((AtractivoAlternativas!$A$2:$A$931=$A122)*AtractivoAlternativas!$C$2:$C$931*COUNTIFS(Alternativas!$A$2:$A$51,AtractivoAlternativas!$B$2:$B$931,Alternativas!$B$2:$B$51,H$2))</f>
        <v>1.18109830056689</v>
      </c>
      <c r="I122" s="0" t="n">
        <f aca="false">SUMPRODUCT((AtractivoAlternativas!$A$2:$A$931=$A122)*AtractivoAlternativas!$C$2:$C$931*COUNTIFS(Alternativas!$A$2:$A$51,AtractivoAlternativas!$B$2:$B$931,Alternativas!$B$2:$B$51,I$2))</f>
        <v>4.9004715591706</v>
      </c>
      <c r="J122" s="0" t="n">
        <f aca="false">SUMPRODUCT((AtractivoAlternativas!$A$2:$A$931=$A122)*AtractivoAlternativas!$C$2:$C$931*COUNTIFS(Alternativas!$A$2:$A$51,AtractivoAlternativas!$B$2:$B$931,Alternativas!$B$2:$B$51,J$2))</f>
        <v>0.554644623400049</v>
      </c>
      <c r="K122" s="0" t="n">
        <f aca="false">SUMPRODUCT((AtractivoAlternativas!$A$2:$A$931=$A122)*AtractivoAlternativas!$C$2:$C$931*COUNTIFS(Alternativas!$A$2:$A$51,AtractivoAlternativas!$B$2:$B$931,Alternativas!$B$2:$B$51,K$2))</f>
        <v>0</v>
      </c>
      <c r="L122" s="0" t="n">
        <f aca="false">SUMPRODUCT((AtractivoAlternativas!$A$2:$A$931=$A122)*AtractivoAlternativas!$C$2:$C$931*COUNTIFS(Alternativas!$A$2:$A$51,AtractivoAlternativas!$B$2:$B$931,Alternativas!$B$2:$B$51,L$2))</f>
        <v>0</v>
      </c>
      <c r="M122" s="0" t="n">
        <f aca="false">SUMIFS(AtractivoSitios!$C:$C,AtractivoSitios!$A:$A,$A122,AtractivoSitios!$B:$B,M$2)</f>
        <v>0.788068623484084</v>
      </c>
      <c r="N122" s="0" t="n">
        <f aca="false">SUMIFS(AtractivoSitios!$C:$C,AtractivoSitios!$A:$A,$A122,AtractivoSitios!$B:$B,N$2)</f>
        <v>0</v>
      </c>
      <c r="O122" s="0" t="n">
        <f aca="false">SUMIFS(AtractivoSitios!$C:$C,AtractivoSitios!$A:$A,$A122,AtractivoSitios!$B:$B,O$2)</f>
        <v>0</v>
      </c>
      <c r="P122" s="0" t="n">
        <f aca="false">SUMIFS(AtractivoSitios!$C:$C,AtractivoSitios!$A:$A,$A122,AtractivoSitios!$B:$B,P$2)</f>
        <v>0</v>
      </c>
      <c r="Q122" s="0" t="n">
        <f aca="false">SUMIFS(AtractivoSitios!$C:$C,AtractivoSitios!$A:$A,$A122,AtractivoSitios!$B:$B,Q$2)</f>
        <v>0</v>
      </c>
      <c r="R122" s="0" t="n">
        <f aca="false">SUMIFS(AtractivoSitios!$C:$C,AtractivoSitios!$A:$A,$A122,AtractivoSitios!$B:$B,R$2)</f>
        <v>0.396231577314736</v>
      </c>
      <c r="S122" s="0" t="n">
        <f aca="false">SUMIFS(AtractivoSitios!$C:$C,AtractivoSitios!$A:$A,$A122,AtractivoSitios!$B:$B,S$2)</f>
        <v>0</v>
      </c>
      <c r="T122" s="0" t="n">
        <f aca="false">SUM(M122:S122)</f>
        <v>1.18430020079882</v>
      </c>
      <c r="U122" s="0" t="n">
        <f aca="false">C122/(AD$4+H122+$T122)</f>
        <v>0.000191157699633973</v>
      </c>
      <c r="V122" s="0" t="n">
        <f aca="false">D122/(AE$4+I122+$T122)</f>
        <v>5.52153779526142E-005</v>
      </c>
      <c r="W122" s="0" t="n">
        <f aca="false">E122/(AF$4+J122+$T122)</f>
        <v>0.000315183096955177</v>
      </c>
      <c r="X122" s="0" t="n">
        <f aca="false">F122/(AG$4+K122+$T122)</f>
        <v>1.73677518463186E-005</v>
      </c>
      <c r="Y122" s="0" t="n">
        <f aca="false">G122/(AH$4+L122+$T122)</f>
        <v>1.07778061200281E-005</v>
      </c>
    </row>
    <row r="123" customFormat="false" ht="15" hidden="false" customHeight="false" outlineLevel="0" collapsed="false">
      <c r="A123" s="0" t="s">
        <v>169</v>
      </c>
      <c r="B123" s="0" t="n">
        <f aca="false">SUMIFS(Sectores!$C:$C,Sectores!$A:$A,$A123)</f>
        <v>2779</v>
      </c>
      <c r="C123" s="0" t="n">
        <f aca="false">SUMIFS(Generacion!$C:$C,Generacion!$A:$A,$A123,Generacion!$B:$B,C$2)</f>
        <v>0.0435338767065874</v>
      </c>
      <c r="D123" s="0" t="n">
        <f aca="false">SUMIFS(Generacion!$C:$C,Generacion!$A:$A,$A123,Generacion!$B:$B,D$2)</f>
        <v>0.0378709333951614</v>
      </c>
      <c r="E123" s="0" t="n">
        <f aca="false">SUMIFS(Generacion!$C:$C,Generacion!$A:$A,$A123,Generacion!$B:$B,E$2)</f>
        <v>0.0134494903646368</v>
      </c>
      <c r="F123" s="0" t="n">
        <f aca="false">SUMIFS(Generacion!$C:$C,Generacion!$A:$A,$A123,Generacion!$B:$B,F$2)</f>
        <v>0.00353933956964125</v>
      </c>
      <c r="G123" s="0" t="n">
        <f aca="false">SUMIFS(Generacion!$C:$C,Generacion!$A:$A,$A123,Generacion!$B:$B,G$2)</f>
        <v>0.00247753769874887</v>
      </c>
      <c r="H123" s="0" t="n">
        <f aca="false">SUMPRODUCT((AtractivoAlternativas!$A$2:$A$931=$A123)*AtractivoAlternativas!$C$2:$C$931*COUNTIFS(Alternativas!$A$2:$A$51,AtractivoAlternativas!$B$2:$B$931,Alternativas!$B$2:$B$51,H$2))</f>
        <v>1.61247761808247</v>
      </c>
      <c r="I123" s="0" t="n">
        <f aca="false">SUMPRODUCT((AtractivoAlternativas!$A$2:$A$931=$A123)*AtractivoAlternativas!$C$2:$C$931*COUNTIFS(Alternativas!$A$2:$A$51,AtractivoAlternativas!$B$2:$B$931,Alternativas!$B$2:$B$51,I$2))</f>
        <v>4.22901066812836</v>
      </c>
      <c r="J123" s="0" t="n">
        <f aca="false">SUMPRODUCT((AtractivoAlternativas!$A$2:$A$931=$A123)*AtractivoAlternativas!$C$2:$C$931*COUNTIFS(Alternativas!$A$2:$A$51,AtractivoAlternativas!$B$2:$B$931,Alternativas!$B$2:$B$51,J$2))</f>
        <v>0.667120964818478</v>
      </c>
      <c r="K123" s="0" t="n">
        <f aca="false">SUMPRODUCT((AtractivoAlternativas!$A$2:$A$931=$A123)*AtractivoAlternativas!$C$2:$C$931*COUNTIFS(Alternativas!$A$2:$A$51,AtractivoAlternativas!$B$2:$B$931,Alternativas!$B$2:$B$51,K$2))</f>
        <v>0</v>
      </c>
      <c r="L123" s="0" t="n">
        <f aca="false">SUMPRODUCT((AtractivoAlternativas!$A$2:$A$931=$A123)*AtractivoAlternativas!$C$2:$C$931*COUNTIFS(Alternativas!$A$2:$A$51,AtractivoAlternativas!$B$2:$B$931,Alternativas!$B$2:$B$51,L$2))</f>
        <v>0</v>
      </c>
      <c r="M123" s="0" t="n">
        <f aca="false">SUMIFS(AtractivoSitios!$C:$C,AtractivoSitios!$A:$A,$A123,AtractivoSitios!$B:$B,M$2)</f>
        <v>0.802336522142675</v>
      </c>
      <c r="N123" s="0" t="n">
        <f aca="false">SUMIFS(AtractivoSitios!$C:$C,AtractivoSitios!$A:$A,$A123,AtractivoSitios!$B:$B,N$2)</f>
        <v>0</v>
      </c>
      <c r="O123" s="0" t="n">
        <f aca="false">SUMIFS(AtractivoSitios!$C:$C,AtractivoSitios!$A:$A,$A123,AtractivoSitios!$B:$B,O$2)</f>
        <v>0</v>
      </c>
      <c r="P123" s="0" t="n">
        <f aca="false">SUMIFS(AtractivoSitios!$C:$C,AtractivoSitios!$A:$A,$A123,AtractivoSitios!$B:$B,P$2)</f>
        <v>0</v>
      </c>
      <c r="Q123" s="0" t="n">
        <f aca="false">SUMIFS(AtractivoSitios!$C:$C,AtractivoSitios!$A:$A,$A123,AtractivoSitios!$B:$B,Q$2)</f>
        <v>0</v>
      </c>
      <c r="R123" s="0" t="n">
        <f aca="false">SUMIFS(AtractivoSitios!$C:$C,AtractivoSitios!$A:$A,$A123,AtractivoSitios!$B:$B,R$2)</f>
        <v>0.455488809517601</v>
      </c>
      <c r="S123" s="0" t="n">
        <f aca="false">SUMIFS(AtractivoSitios!$C:$C,AtractivoSitios!$A:$A,$A123,AtractivoSitios!$B:$B,S$2)</f>
        <v>0</v>
      </c>
      <c r="T123" s="0" t="n">
        <f aca="false">SUM(M123:S123)</f>
        <v>1.25782533166028</v>
      </c>
      <c r="U123" s="0" t="n">
        <f aca="false">C123/(AD$4+H123+$T123)</f>
        <v>0.000190734832762605</v>
      </c>
      <c r="V123" s="0" t="n">
        <f aca="false">D123/(AE$4+I123+$T123)</f>
        <v>5.52635558001408E-005</v>
      </c>
      <c r="W123" s="0" t="n">
        <f aca="false">E123/(AF$4+J123+$T123)</f>
        <v>0.00031381521861306</v>
      </c>
      <c r="X123" s="0" t="n">
        <f aca="false">F123/(AG$4+K123+$T123)</f>
        <v>1.73614879563078E-005</v>
      </c>
      <c r="Y123" s="0" t="n">
        <f aca="false">G123/(AH$4+L123+$T123)</f>
        <v>1.07743599445988E-005</v>
      </c>
    </row>
    <row r="124" customFormat="false" ht="15" hidden="false" customHeight="false" outlineLevel="0" collapsed="false">
      <c r="A124" s="0" t="s">
        <v>170</v>
      </c>
      <c r="B124" s="0" t="n">
        <f aca="false">SUMIFS(Sectores!$C:$C,Sectores!$A:$A,$A124)</f>
        <v>7145</v>
      </c>
      <c r="C124" s="0" t="n">
        <f aca="false">SUMIFS(Generacion!$C:$C,Generacion!$A:$A,$A124,Generacion!$B:$B,C$2)</f>
        <v>0.0435338767065874</v>
      </c>
      <c r="D124" s="0" t="n">
        <f aca="false">SUMIFS(Generacion!$C:$C,Generacion!$A:$A,$A124,Generacion!$B:$B,D$2)</f>
        <v>0.0378709333951614</v>
      </c>
      <c r="E124" s="0" t="n">
        <f aca="false">SUMIFS(Generacion!$C:$C,Generacion!$A:$A,$A124,Generacion!$B:$B,E$2)</f>
        <v>0.0134494903646368</v>
      </c>
      <c r="F124" s="0" t="n">
        <f aca="false">SUMIFS(Generacion!$C:$C,Generacion!$A:$A,$A124,Generacion!$B:$B,F$2)</f>
        <v>0.00353933956964125</v>
      </c>
      <c r="G124" s="0" t="n">
        <f aca="false">SUMIFS(Generacion!$C:$C,Generacion!$A:$A,$A124,Generacion!$B:$B,G$2)</f>
        <v>0.00247753769874887</v>
      </c>
      <c r="H124" s="0" t="n">
        <f aca="false">SUMPRODUCT((AtractivoAlternativas!$A$2:$A$931=$A124)*AtractivoAlternativas!$C$2:$C$931*COUNTIFS(Alternativas!$A$2:$A$51,AtractivoAlternativas!$B$2:$B$931,Alternativas!$B$2:$B$51,H$2))</f>
        <v>1.16534374277867</v>
      </c>
      <c r="I124" s="0" t="n">
        <f aca="false">SUMPRODUCT((AtractivoAlternativas!$A$2:$A$931=$A124)*AtractivoAlternativas!$C$2:$C$931*COUNTIFS(Alternativas!$A$2:$A$51,AtractivoAlternativas!$B$2:$B$931,Alternativas!$B$2:$B$51,I$2))</f>
        <v>4.32982809080882</v>
      </c>
      <c r="J124" s="0" t="n">
        <f aca="false">SUMPRODUCT((AtractivoAlternativas!$A$2:$A$931=$A124)*AtractivoAlternativas!$C$2:$C$931*COUNTIFS(Alternativas!$A$2:$A$51,AtractivoAlternativas!$B$2:$B$931,Alternativas!$B$2:$B$51,J$2))</f>
        <v>0.516059963387967</v>
      </c>
      <c r="K124" s="0" t="n">
        <f aca="false">SUMPRODUCT((AtractivoAlternativas!$A$2:$A$931=$A124)*AtractivoAlternativas!$C$2:$C$931*COUNTIFS(Alternativas!$A$2:$A$51,AtractivoAlternativas!$B$2:$B$931,Alternativas!$B$2:$B$51,K$2))</f>
        <v>0</v>
      </c>
      <c r="L124" s="0" t="n">
        <f aca="false">SUMPRODUCT((AtractivoAlternativas!$A$2:$A$931=$A124)*AtractivoAlternativas!$C$2:$C$931*COUNTIFS(Alternativas!$A$2:$A$51,AtractivoAlternativas!$B$2:$B$931,Alternativas!$B$2:$B$51,L$2))</f>
        <v>0</v>
      </c>
      <c r="M124" s="0" t="n">
        <f aca="false">SUMIFS(AtractivoSitios!$C:$C,AtractivoSitios!$A:$A,$A124,AtractivoSitios!$B:$B,M$2)</f>
        <v>0</v>
      </c>
      <c r="N124" s="0" t="n">
        <f aca="false">SUMIFS(AtractivoSitios!$C:$C,AtractivoSitios!$A:$A,$A124,AtractivoSitios!$B:$B,N$2)</f>
        <v>0</v>
      </c>
      <c r="O124" s="0" t="n">
        <f aca="false">SUMIFS(AtractivoSitios!$C:$C,AtractivoSitios!$A:$A,$A124,AtractivoSitios!$B:$B,O$2)</f>
        <v>0</v>
      </c>
      <c r="P124" s="0" t="n">
        <f aca="false">SUMIFS(AtractivoSitios!$C:$C,AtractivoSitios!$A:$A,$A124,AtractivoSitios!$B:$B,P$2)</f>
        <v>0.796096328290004</v>
      </c>
      <c r="Q124" s="0" t="n">
        <f aca="false">SUMIFS(AtractivoSitios!$C:$C,AtractivoSitios!$A:$A,$A124,AtractivoSitios!$B:$B,Q$2)</f>
        <v>0</v>
      </c>
      <c r="R124" s="0" t="n">
        <f aca="false">SUMIFS(AtractivoSitios!$C:$C,AtractivoSitios!$A:$A,$A124,AtractivoSitios!$B:$B,R$2)</f>
        <v>0</v>
      </c>
      <c r="S124" s="0" t="n">
        <f aca="false">SUMIFS(AtractivoSitios!$C:$C,AtractivoSitios!$A:$A,$A124,AtractivoSitios!$B:$B,S$2)</f>
        <v>0</v>
      </c>
      <c r="T124" s="0" t="n">
        <f aca="false">SUM(M124:S124)</f>
        <v>0.796096328290004</v>
      </c>
      <c r="U124" s="0" t="n">
        <f aca="false">C124/(AD$4+H124+$T124)</f>
        <v>0.000191497374922992</v>
      </c>
      <c r="V124" s="0" t="n">
        <f aca="false">D124/(AE$4+I124+$T124)</f>
        <v>5.52926764623157E-005</v>
      </c>
      <c r="W124" s="0" t="n">
        <f aca="false">E124/(AF$4+J124+$T124)</f>
        <v>0.000318367281730697</v>
      </c>
      <c r="X124" s="0" t="n">
        <f aca="false">F124/(AG$4+K124+$T124)</f>
        <v>1.74008995109349E-005</v>
      </c>
      <c r="Y124" s="0" t="n">
        <f aca="false">G124/(AH$4+L124+$T124)</f>
        <v>1.07960381223786E-005</v>
      </c>
    </row>
    <row r="125" customFormat="false" ht="15" hidden="false" customHeight="false" outlineLevel="0" collapsed="false">
      <c r="A125" s="0" t="s">
        <v>171</v>
      </c>
      <c r="B125" s="0" t="n">
        <f aca="false">SUMIFS(Sectores!$C:$C,Sectores!$A:$A,$A125)</f>
        <v>3382</v>
      </c>
      <c r="C125" s="0" t="n">
        <f aca="false">SUMIFS(Generacion!$C:$C,Generacion!$A:$A,$A125,Generacion!$B:$B,C$2)</f>
        <v>0.0435338767065874</v>
      </c>
      <c r="D125" s="0" t="n">
        <f aca="false">SUMIFS(Generacion!$C:$C,Generacion!$A:$A,$A125,Generacion!$B:$B,D$2)</f>
        <v>0.0378709333951614</v>
      </c>
      <c r="E125" s="0" t="n">
        <f aca="false">SUMIFS(Generacion!$C:$C,Generacion!$A:$A,$A125,Generacion!$B:$B,E$2)</f>
        <v>0.0134494903646368</v>
      </c>
      <c r="F125" s="0" t="n">
        <f aca="false">SUMIFS(Generacion!$C:$C,Generacion!$A:$A,$A125,Generacion!$B:$B,F$2)</f>
        <v>0.00353933956964125</v>
      </c>
      <c r="G125" s="0" t="n">
        <f aca="false">SUMIFS(Generacion!$C:$C,Generacion!$A:$A,$A125,Generacion!$B:$B,G$2)</f>
        <v>0.00247753769874887</v>
      </c>
      <c r="H125" s="0" t="n">
        <f aca="false">SUMPRODUCT((AtractivoAlternativas!$A$2:$A$931=$A125)*AtractivoAlternativas!$C$2:$C$931*COUNTIFS(Alternativas!$A$2:$A$51,AtractivoAlternativas!$B$2:$B$931,Alternativas!$B$2:$B$51,H$2))</f>
        <v>0.967967614951209</v>
      </c>
      <c r="I125" s="0" t="n">
        <f aca="false">SUMPRODUCT((AtractivoAlternativas!$A$2:$A$931=$A125)*AtractivoAlternativas!$C$2:$C$931*COUNTIFS(Alternativas!$A$2:$A$51,AtractivoAlternativas!$B$2:$B$931,Alternativas!$B$2:$B$51,I$2))</f>
        <v>3.69335399024608</v>
      </c>
      <c r="J125" s="0" t="n">
        <f aca="false">SUMPRODUCT((AtractivoAlternativas!$A$2:$A$931=$A125)*AtractivoAlternativas!$C$2:$C$931*COUNTIFS(Alternativas!$A$2:$A$51,AtractivoAlternativas!$B$2:$B$931,Alternativas!$B$2:$B$51,J$2))</f>
        <v>0.429958093146281</v>
      </c>
      <c r="K125" s="0" t="n">
        <f aca="false">SUMPRODUCT((AtractivoAlternativas!$A$2:$A$931=$A125)*AtractivoAlternativas!$C$2:$C$931*COUNTIFS(Alternativas!$A$2:$A$51,AtractivoAlternativas!$B$2:$B$931,Alternativas!$B$2:$B$51,K$2))</f>
        <v>0</v>
      </c>
      <c r="L125" s="0" t="n">
        <f aca="false">SUMPRODUCT((AtractivoAlternativas!$A$2:$A$931=$A125)*AtractivoAlternativas!$C$2:$C$931*COUNTIFS(Alternativas!$A$2:$A$51,AtractivoAlternativas!$B$2:$B$931,Alternativas!$B$2:$B$51,L$2))</f>
        <v>0</v>
      </c>
      <c r="M125" s="0" t="n">
        <f aca="false">SUMIFS(AtractivoSitios!$C:$C,AtractivoSitios!$A:$A,$A125,AtractivoSitios!$B:$B,M$2)</f>
        <v>0</v>
      </c>
      <c r="N125" s="0" t="n">
        <f aca="false">SUMIFS(AtractivoSitios!$C:$C,AtractivoSitios!$A:$A,$A125,AtractivoSitios!$B:$B,N$2)</f>
        <v>0</v>
      </c>
      <c r="O125" s="0" t="n">
        <f aca="false">SUMIFS(AtractivoSitios!$C:$C,AtractivoSitios!$A:$A,$A125,AtractivoSitios!$B:$B,O$2)</f>
        <v>0</v>
      </c>
      <c r="P125" s="0" t="n">
        <f aca="false">SUMIFS(AtractivoSitios!$C:$C,AtractivoSitios!$A:$A,$A125,AtractivoSitios!$B:$B,P$2)</f>
        <v>0.960490402762715</v>
      </c>
      <c r="Q125" s="0" t="n">
        <f aca="false">SUMIFS(AtractivoSitios!$C:$C,AtractivoSitios!$A:$A,$A125,AtractivoSitios!$B:$B,Q$2)</f>
        <v>0</v>
      </c>
      <c r="R125" s="0" t="n">
        <f aca="false">SUMIFS(AtractivoSitios!$C:$C,AtractivoSitios!$A:$A,$A125,AtractivoSitios!$B:$B,R$2)</f>
        <v>0</v>
      </c>
      <c r="S125" s="0" t="n">
        <f aca="false">SUMIFS(AtractivoSitios!$C:$C,AtractivoSitios!$A:$A,$A125,AtractivoSitios!$B:$B,S$2)</f>
        <v>0</v>
      </c>
      <c r="T125" s="0" t="n">
        <f aca="false">SUM(M125:S125)</f>
        <v>0.960490402762715</v>
      </c>
      <c r="U125" s="0" t="n">
        <f aca="false">C125/(AD$4+H125+$T125)</f>
        <v>0.000191525161753353</v>
      </c>
      <c r="V125" s="0" t="n">
        <f aca="false">D125/(AE$4+I125+$T125)</f>
        <v>5.53308132652514E-005</v>
      </c>
      <c r="W125" s="0" t="n">
        <f aca="false">E125/(AF$4+J125+$T125)</f>
        <v>0.000317778349359431</v>
      </c>
      <c r="X125" s="0" t="n">
        <f aca="false">F125/(AG$4+K125+$T125)</f>
        <v>1.73868469182823E-005</v>
      </c>
      <c r="Y125" s="0" t="n">
        <f aca="false">G125/(AH$4+L125+$T125)</f>
        <v>1.07883098270864E-005</v>
      </c>
    </row>
    <row r="126" customFormat="false" ht="15" hidden="false" customHeight="false" outlineLevel="0" collapsed="false">
      <c r="A126" s="0" t="s">
        <v>172</v>
      </c>
      <c r="B126" s="0" t="n">
        <f aca="false">SUMIFS(Sectores!$C:$C,Sectores!$A:$A,$A126)</f>
        <v>4835</v>
      </c>
      <c r="C126" s="0" t="n">
        <f aca="false">SUMIFS(Generacion!$C:$C,Generacion!$A:$A,$A126,Generacion!$B:$B,C$2)</f>
        <v>0.0435338767065874</v>
      </c>
      <c r="D126" s="0" t="n">
        <f aca="false">SUMIFS(Generacion!$C:$C,Generacion!$A:$A,$A126,Generacion!$B:$B,D$2)</f>
        <v>0.0378709333951614</v>
      </c>
      <c r="E126" s="0" t="n">
        <f aca="false">SUMIFS(Generacion!$C:$C,Generacion!$A:$A,$A126,Generacion!$B:$B,E$2)</f>
        <v>0.0134494903646368</v>
      </c>
      <c r="F126" s="0" t="n">
        <f aca="false">SUMIFS(Generacion!$C:$C,Generacion!$A:$A,$A126,Generacion!$B:$B,F$2)</f>
        <v>0.00353933956964125</v>
      </c>
      <c r="G126" s="0" t="n">
        <f aca="false">SUMIFS(Generacion!$C:$C,Generacion!$A:$A,$A126,Generacion!$B:$B,G$2)</f>
        <v>0.00247753769874887</v>
      </c>
      <c r="H126" s="0" t="n">
        <f aca="false">SUMPRODUCT((AtractivoAlternativas!$A$2:$A$931=$A126)*AtractivoAlternativas!$C$2:$C$931*COUNTIFS(Alternativas!$A$2:$A$51,AtractivoAlternativas!$B$2:$B$931,Alternativas!$B$2:$B$51,H$2))</f>
        <v>0.989233937058344</v>
      </c>
      <c r="I126" s="0" t="n">
        <f aca="false">SUMPRODUCT((AtractivoAlternativas!$A$2:$A$931=$A126)*AtractivoAlternativas!$C$2:$C$931*COUNTIFS(Alternativas!$A$2:$A$51,AtractivoAlternativas!$B$2:$B$931,Alternativas!$B$2:$B$51,I$2))</f>
        <v>3.7336844870883</v>
      </c>
      <c r="J126" s="0" t="n">
        <f aca="false">SUMPRODUCT((AtractivoAlternativas!$A$2:$A$931=$A126)*AtractivoAlternativas!$C$2:$C$931*COUNTIFS(Alternativas!$A$2:$A$51,AtractivoAlternativas!$B$2:$B$931,Alternativas!$B$2:$B$51,J$2))</f>
        <v>0.451332877509497</v>
      </c>
      <c r="K126" s="0" t="n">
        <f aca="false">SUMPRODUCT((AtractivoAlternativas!$A$2:$A$931=$A126)*AtractivoAlternativas!$C$2:$C$931*COUNTIFS(Alternativas!$A$2:$A$51,AtractivoAlternativas!$B$2:$B$931,Alternativas!$B$2:$B$51,K$2))</f>
        <v>0</v>
      </c>
      <c r="L126" s="0" t="n">
        <f aca="false">SUMPRODUCT((AtractivoAlternativas!$A$2:$A$931=$A126)*AtractivoAlternativas!$C$2:$C$931*COUNTIFS(Alternativas!$A$2:$A$51,AtractivoAlternativas!$B$2:$B$931,Alternativas!$B$2:$B$51,L$2))</f>
        <v>0</v>
      </c>
      <c r="M126" s="0" t="n">
        <f aca="false">SUMIFS(AtractivoSitios!$C:$C,AtractivoSitios!$A:$A,$A126,AtractivoSitios!$B:$B,M$2)</f>
        <v>0</v>
      </c>
      <c r="N126" s="0" t="n">
        <f aca="false">SUMIFS(AtractivoSitios!$C:$C,AtractivoSitios!$A:$A,$A126,AtractivoSitios!$B:$B,N$2)</f>
        <v>0</v>
      </c>
      <c r="O126" s="0" t="n">
        <f aca="false">SUMIFS(AtractivoSitios!$C:$C,AtractivoSitios!$A:$A,$A126,AtractivoSitios!$B:$B,O$2)</f>
        <v>0</v>
      </c>
      <c r="P126" s="0" t="n">
        <f aca="false">SUMIFS(AtractivoSitios!$C:$C,AtractivoSitios!$A:$A,$A126,AtractivoSitios!$B:$B,P$2)</f>
        <v>0.80247320748514</v>
      </c>
      <c r="Q126" s="0" t="n">
        <f aca="false">SUMIFS(AtractivoSitios!$C:$C,AtractivoSitios!$A:$A,$A126,AtractivoSitios!$B:$B,Q$2)</f>
        <v>0</v>
      </c>
      <c r="R126" s="0" t="n">
        <f aca="false">SUMIFS(AtractivoSitios!$C:$C,AtractivoSitios!$A:$A,$A126,AtractivoSitios!$B:$B,R$2)</f>
        <v>0</v>
      </c>
      <c r="S126" s="0" t="n">
        <f aca="false">SUMIFS(AtractivoSitios!$C:$C,AtractivoSitios!$A:$A,$A126,AtractivoSitios!$B:$B,S$2)</f>
        <v>0</v>
      </c>
      <c r="T126" s="0" t="n">
        <f aca="false">SUM(M126:S126)</f>
        <v>0.80247320748514</v>
      </c>
      <c r="U126" s="0" t="n">
        <f aca="false">C126/(AD$4+H126+$T126)</f>
        <v>0.000191640458168278</v>
      </c>
      <c r="V126" s="0" t="n">
        <f aca="false">D126/(AE$4+I126+$T126)</f>
        <v>5.53403287333684E-005</v>
      </c>
      <c r="W126" s="0" t="n">
        <f aca="false">E126/(AF$4+J126+$T126)</f>
        <v>0.000318807627373278</v>
      </c>
      <c r="X126" s="0" t="n">
        <f aca="false">F126/(AG$4+K126+$T126)</f>
        <v>1.74003539845749E-005</v>
      </c>
      <c r="Y126" s="0" t="n">
        <f aca="false">G126/(AH$4+L126+$T126)</f>
        <v>1.07957381338352E-005</v>
      </c>
    </row>
    <row r="127" customFormat="false" ht="15" hidden="false" customHeight="false" outlineLevel="0" collapsed="false">
      <c r="A127" s="0" t="s">
        <v>173</v>
      </c>
      <c r="B127" s="0" t="n">
        <f aca="false">SUMIFS(Sectores!$C:$C,Sectores!$A:$A,$A127)</f>
        <v>1931</v>
      </c>
      <c r="C127" s="0" t="n">
        <f aca="false">SUMIFS(Generacion!$C:$C,Generacion!$A:$A,$A127,Generacion!$B:$B,C$2)</f>
        <v>0.0435338767065874</v>
      </c>
      <c r="D127" s="0" t="n">
        <f aca="false">SUMIFS(Generacion!$C:$C,Generacion!$A:$A,$A127,Generacion!$B:$B,D$2)</f>
        <v>0.0378709333951614</v>
      </c>
      <c r="E127" s="0" t="n">
        <f aca="false">SUMIFS(Generacion!$C:$C,Generacion!$A:$A,$A127,Generacion!$B:$B,E$2)</f>
        <v>0.0134494903646368</v>
      </c>
      <c r="F127" s="0" t="n">
        <f aca="false">SUMIFS(Generacion!$C:$C,Generacion!$A:$A,$A127,Generacion!$B:$B,F$2)</f>
        <v>0.00353933956964125</v>
      </c>
      <c r="G127" s="0" t="n">
        <f aca="false">SUMIFS(Generacion!$C:$C,Generacion!$A:$A,$A127,Generacion!$B:$B,G$2)</f>
        <v>0.00247753769874887</v>
      </c>
      <c r="H127" s="0" t="n">
        <f aca="false">SUMPRODUCT((AtractivoAlternativas!$A$2:$A$931=$A127)*AtractivoAlternativas!$C$2:$C$931*COUNTIFS(Alternativas!$A$2:$A$51,AtractivoAlternativas!$B$2:$B$931,Alternativas!$B$2:$B$51,H$2))</f>
        <v>0.95850641520916</v>
      </c>
      <c r="I127" s="0" t="n">
        <f aca="false">SUMPRODUCT((AtractivoAlternativas!$A$2:$A$931=$A127)*AtractivoAlternativas!$C$2:$C$931*COUNTIFS(Alternativas!$A$2:$A$51,AtractivoAlternativas!$B$2:$B$931,Alternativas!$B$2:$B$51,I$2))</f>
        <v>3.21652639403726</v>
      </c>
      <c r="J127" s="0" t="n">
        <f aca="false">SUMPRODUCT((AtractivoAlternativas!$A$2:$A$931=$A127)*AtractivoAlternativas!$C$2:$C$931*COUNTIFS(Alternativas!$A$2:$A$51,AtractivoAlternativas!$B$2:$B$931,Alternativas!$B$2:$B$51,J$2))</f>
        <v>0.449076376391037</v>
      </c>
      <c r="K127" s="0" t="n">
        <f aca="false">SUMPRODUCT((AtractivoAlternativas!$A$2:$A$931=$A127)*AtractivoAlternativas!$C$2:$C$931*COUNTIFS(Alternativas!$A$2:$A$51,AtractivoAlternativas!$B$2:$B$931,Alternativas!$B$2:$B$51,K$2))</f>
        <v>0</v>
      </c>
      <c r="L127" s="0" t="n">
        <f aca="false">SUMPRODUCT((AtractivoAlternativas!$A$2:$A$931=$A127)*AtractivoAlternativas!$C$2:$C$931*COUNTIFS(Alternativas!$A$2:$A$51,AtractivoAlternativas!$B$2:$B$931,Alternativas!$B$2:$B$51,L$2))</f>
        <v>0</v>
      </c>
      <c r="M127" s="0" t="n">
        <f aca="false">SUMIFS(AtractivoSitios!$C:$C,AtractivoSitios!$A:$A,$A127,AtractivoSitios!$B:$B,M$2)</f>
        <v>0</v>
      </c>
      <c r="N127" s="0" t="n">
        <f aca="false">SUMIFS(AtractivoSitios!$C:$C,AtractivoSitios!$A:$A,$A127,AtractivoSitios!$B:$B,N$2)</f>
        <v>0</v>
      </c>
      <c r="O127" s="0" t="n">
        <f aca="false">SUMIFS(AtractivoSitios!$C:$C,AtractivoSitios!$A:$A,$A127,AtractivoSitios!$B:$B,O$2)</f>
        <v>0</v>
      </c>
      <c r="P127" s="0" t="n">
        <f aca="false">SUMIFS(AtractivoSitios!$C:$C,AtractivoSitios!$A:$A,$A127,AtractivoSitios!$B:$B,P$2)</f>
        <v>0.676515134000536</v>
      </c>
      <c r="Q127" s="0" t="n">
        <f aca="false">SUMIFS(AtractivoSitios!$C:$C,AtractivoSitios!$A:$A,$A127,AtractivoSitios!$B:$B,Q$2)</f>
        <v>0</v>
      </c>
      <c r="R127" s="0" t="n">
        <f aca="false">SUMIFS(AtractivoSitios!$C:$C,AtractivoSitios!$A:$A,$A127,AtractivoSitios!$B:$B,R$2)</f>
        <v>0</v>
      </c>
      <c r="S127" s="0" t="n">
        <f aca="false">SUMIFS(AtractivoSitios!$C:$C,AtractivoSitios!$A:$A,$A127,AtractivoSitios!$B:$B,S$2)</f>
        <v>0</v>
      </c>
      <c r="T127" s="0" t="n">
        <f aca="false">SUM(M127:S127)</f>
        <v>0.676515134000536</v>
      </c>
      <c r="U127" s="0" t="n">
        <f aca="false">C127/(AD$4+H127+$T127)</f>
        <v>0.000191772732563983</v>
      </c>
      <c r="V127" s="0" t="n">
        <f aca="false">D127/(AE$4+I127+$T127)</f>
        <v>5.53923852638177E-005</v>
      </c>
      <c r="W127" s="0" t="n">
        <f aca="false">E127/(AF$4+J127+$T127)</f>
        <v>0.000319779503456319</v>
      </c>
      <c r="X127" s="0" t="n">
        <f aca="false">F127/(AG$4+K127+$T127)</f>
        <v>1.7411135727252E-005</v>
      </c>
      <c r="Y127" s="0" t="n">
        <f aca="false">G127/(AH$4+L127+$T127)</f>
        <v>1.08016666888121E-005</v>
      </c>
    </row>
    <row r="128" customFormat="false" ht="15" hidden="false" customHeight="false" outlineLevel="0" collapsed="false">
      <c r="A128" s="0" t="s">
        <v>174</v>
      </c>
      <c r="B128" s="0" t="n">
        <f aca="false">SUMIFS(Sectores!$C:$C,Sectores!$A:$A,$A128)</f>
        <v>4371</v>
      </c>
      <c r="C128" s="0" t="n">
        <f aca="false">SUMIFS(Generacion!$C:$C,Generacion!$A:$A,$A128,Generacion!$B:$B,C$2)</f>
        <v>0.0435338767065874</v>
      </c>
      <c r="D128" s="0" t="n">
        <f aca="false">SUMIFS(Generacion!$C:$C,Generacion!$A:$A,$A128,Generacion!$B:$B,D$2)</f>
        <v>0.0378709333951614</v>
      </c>
      <c r="E128" s="0" t="n">
        <f aca="false">SUMIFS(Generacion!$C:$C,Generacion!$A:$A,$A128,Generacion!$B:$B,E$2)</f>
        <v>0.0134494903646368</v>
      </c>
      <c r="F128" s="0" t="n">
        <f aca="false">SUMIFS(Generacion!$C:$C,Generacion!$A:$A,$A128,Generacion!$B:$B,F$2)</f>
        <v>0.00353933956964125</v>
      </c>
      <c r="G128" s="0" t="n">
        <f aca="false">SUMIFS(Generacion!$C:$C,Generacion!$A:$A,$A128,Generacion!$B:$B,G$2)</f>
        <v>0.00247753769874887</v>
      </c>
      <c r="H128" s="0" t="n">
        <f aca="false">SUMPRODUCT((AtractivoAlternativas!$A$2:$A$931=$A128)*AtractivoAlternativas!$C$2:$C$931*COUNTIFS(Alternativas!$A$2:$A$51,AtractivoAlternativas!$B$2:$B$931,Alternativas!$B$2:$B$51,H$2))</f>
        <v>0.907977792527803</v>
      </c>
      <c r="I128" s="0" t="n">
        <f aca="false">SUMPRODUCT((AtractivoAlternativas!$A$2:$A$931=$A128)*AtractivoAlternativas!$C$2:$C$931*COUNTIFS(Alternativas!$A$2:$A$51,AtractivoAlternativas!$B$2:$B$931,Alternativas!$B$2:$B$51,I$2))</f>
        <v>2.99750636934389</v>
      </c>
      <c r="J128" s="0" t="n">
        <f aca="false">SUMPRODUCT((AtractivoAlternativas!$A$2:$A$931=$A128)*AtractivoAlternativas!$C$2:$C$931*COUNTIFS(Alternativas!$A$2:$A$51,AtractivoAlternativas!$B$2:$B$931,Alternativas!$B$2:$B$51,J$2))</f>
        <v>0.441063766399237</v>
      </c>
      <c r="K128" s="0" t="n">
        <f aca="false">SUMPRODUCT((AtractivoAlternativas!$A$2:$A$931=$A128)*AtractivoAlternativas!$C$2:$C$931*COUNTIFS(Alternativas!$A$2:$A$51,AtractivoAlternativas!$B$2:$B$931,Alternativas!$B$2:$B$51,K$2))</f>
        <v>0</v>
      </c>
      <c r="L128" s="0" t="n">
        <f aca="false">SUMPRODUCT((AtractivoAlternativas!$A$2:$A$931=$A128)*AtractivoAlternativas!$C$2:$C$931*COUNTIFS(Alternativas!$A$2:$A$51,AtractivoAlternativas!$B$2:$B$931,Alternativas!$B$2:$B$51,L$2))</f>
        <v>0</v>
      </c>
      <c r="M128" s="0" t="n">
        <f aca="false">SUMIFS(AtractivoSitios!$C:$C,AtractivoSitios!$A:$A,$A128,AtractivoSitios!$B:$B,M$2)</f>
        <v>0</v>
      </c>
      <c r="N128" s="0" t="n">
        <f aca="false">SUMIFS(AtractivoSitios!$C:$C,AtractivoSitios!$A:$A,$A128,AtractivoSitios!$B:$B,N$2)</f>
        <v>0</v>
      </c>
      <c r="O128" s="0" t="n">
        <f aca="false">SUMIFS(AtractivoSitios!$C:$C,AtractivoSitios!$A:$A,$A128,AtractivoSitios!$B:$B,O$2)</f>
        <v>0</v>
      </c>
      <c r="P128" s="0" t="n">
        <f aca="false">SUMIFS(AtractivoSitios!$C:$C,AtractivoSitios!$A:$A,$A128,AtractivoSitios!$B:$B,P$2)</f>
        <v>0.54046515216261</v>
      </c>
      <c r="Q128" s="0" t="n">
        <f aca="false">SUMIFS(AtractivoSitios!$C:$C,AtractivoSitios!$A:$A,$A128,AtractivoSitios!$B:$B,Q$2)</f>
        <v>0</v>
      </c>
      <c r="R128" s="0" t="n">
        <f aca="false">SUMIFS(AtractivoSitios!$C:$C,AtractivoSitios!$A:$A,$A128,AtractivoSitios!$B:$B,R$2)</f>
        <v>0</v>
      </c>
      <c r="S128" s="0" t="n">
        <f aca="false">SUMIFS(AtractivoSitios!$C:$C,AtractivoSitios!$A:$A,$A128,AtractivoSitios!$B:$B,S$2)</f>
        <v>0</v>
      </c>
      <c r="T128" s="0" t="n">
        <f aca="false">SUM(M128:S128)</f>
        <v>0.54046515216261</v>
      </c>
      <c r="U128" s="0" t="n">
        <f aca="false">C128/(AD$4+H128+$T128)</f>
        <v>0.000191930481088574</v>
      </c>
      <c r="V128" s="0" t="n">
        <f aca="false">D128/(AE$4+I128+$T128)</f>
        <v>5.54211681089455E-005</v>
      </c>
      <c r="W128" s="0" t="n">
        <f aca="false">E128/(AF$4+J128+$T128)</f>
        <v>0.000320878602365739</v>
      </c>
      <c r="X128" s="0" t="n">
        <f aca="false">F128/(AG$4+K128+$T128)</f>
        <v>1.74227963358402E-005</v>
      </c>
      <c r="Y128" s="0" t="n">
        <f aca="false">G128/(AH$4+L128+$T128)</f>
        <v>1.08080775657656E-005</v>
      </c>
    </row>
    <row r="129" customFormat="false" ht="15" hidden="false" customHeight="false" outlineLevel="0" collapsed="false">
      <c r="A129" s="0" t="s">
        <v>175</v>
      </c>
      <c r="B129" s="0" t="n">
        <f aca="false">SUMIFS(Sectores!$C:$C,Sectores!$A:$A,$A129)</f>
        <v>26</v>
      </c>
      <c r="C129" s="0" t="n">
        <f aca="false">SUMIFS(Generacion!$C:$C,Generacion!$A:$A,$A129,Generacion!$B:$B,C$2)</f>
        <v>0.0435338767065874</v>
      </c>
      <c r="D129" s="0" t="n">
        <f aca="false">SUMIFS(Generacion!$C:$C,Generacion!$A:$A,$A129,Generacion!$B:$B,D$2)</f>
        <v>0.0378709333951614</v>
      </c>
      <c r="E129" s="0" t="n">
        <f aca="false">SUMIFS(Generacion!$C:$C,Generacion!$A:$A,$A129,Generacion!$B:$B,E$2)</f>
        <v>0.0134494903646368</v>
      </c>
      <c r="F129" s="0" t="n">
        <f aca="false">SUMIFS(Generacion!$C:$C,Generacion!$A:$A,$A129,Generacion!$B:$B,F$2)</f>
        <v>0.00353933956964125</v>
      </c>
      <c r="G129" s="0" t="n">
        <f aca="false">SUMIFS(Generacion!$C:$C,Generacion!$A:$A,$A129,Generacion!$B:$B,G$2)</f>
        <v>0.00247753769874887</v>
      </c>
      <c r="H129" s="0" t="n">
        <f aca="false">SUMPRODUCT((AtractivoAlternativas!$A$2:$A$931=$A129)*AtractivoAlternativas!$C$2:$C$931*COUNTIFS(Alternativas!$A$2:$A$51,AtractivoAlternativas!$B$2:$B$931,Alternativas!$B$2:$B$51,H$2))</f>
        <v>0.824197576305026</v>
      </c>
      <c r="I129" s="0" t="n">
        <f aca="false">SUMPRODUCT((AtractivoAlternativas!$A$2:$A$931=$A129)*AtractivoAlternativas!$C$2:$C$931*COUNTIFS(Alternativas!$A$2:$A$51,AtractivoAlternativas!$B$2:$B$931,Alternativas!$B$2:$B$51,I$2))</f>
        <v>2.29238043903263</v>
      </c>
      <c r="J129" s="0" t="n">
        <f aca="false">SUMPRODUCT((AtractivoAlternativas!$A$2:$A$931=$A129)*AtractivoAlternativas!$C$2:$C$931*COUNTIFS(Alternativas!$A$2:$A$51,AtractivoAlternativas!$B$2:$B$931,Alternativas!$B$2:$B$51,J$2))</f>
        <v>0.423248209834399</v>
      </c>
      <c r="K129" s="0" t="n">
        <f aca="false">SUMPRODUCT((AtractivoAlternativas!$A$2:$A$931=$A129)*AtractivoAlternativas!$C$2:$C$931*COUNTIFS(Alternativas!$A$2:$A$51,AtractivoAlternativas!$B$2:$B$931,Alternativas!$B$2:$B$51,K$2))</f>
        <v>0</v>
      </c>
      <c r="L129" s="0" t="n">
        <f aca="false">SUMPRODUCT((AtractivoAlternativas!$A$2:$A$931=$A129)*AtractivoAlternativas!$C$2:$C$931*COUNTIFS(Alternativas!$A$2:$A$51,AtractivoAlternativas!$B$2:$B$931,Alternativas!$B$2:$B$51,L$2))</f>
        <v>0</v>
      </c>
      <c r="M129" s="0" t="n">
        <f aca="false">SUMIFS(AtractivoSitios!$C:$C,AtractivoSitios!$A:$A,$A129,AtractivoSitios!$B:$B,M$2)</f>
        <v>0</v>
      </c>
      <c r="N129" s="0" t="n">
        <f aca="false">SUMIFS(AtractivoSitios!$C:$C,AtractivoSitios!$A:$A,$A129,AtractivoSitios!$B:$B,N$2)</f>
        <v>0</v>
      </c>
      <c r="O129" s="0" t="n">
        <f aca="false">SUMIFS(AtractivoSitios!$C:$C,AtractivoSitios!$A:$A,$A129,AtractivoSitios!$B:$B,O$2)</f>
        <v>0</v>
      </c>
      <c r="P129" s="0" t="n">
        <f aca="false">SUMIFS(AtractivoSitios!$C:$C,AtractivoSitios!$A:$A,$A129,AtractivoSitios!$B:$B,P$2)</f>
        <v>0.378609784885586</v>
      </c>
      <c r="Q129" s="0" t="n">
        <f aca="false">SUMIFS(AtractivoSitios!$C:$C,AtractivoSitios!$A:$A,$A129,AtractivoSitios!$B:$B,Q$2)</f>
        <v>0</v>
      </c>
      <c r="R129" s="0" t="n">
        <f aca="false">SUMIFS(AtractivoSitios!$C:$C,AtractivoSitios!$A:$A,$A129,AtractivoSitios!$B:$B,R$2)</f>
        <v>0</v>
      </c>
      <c r="S129" s="0" t="n">
        <f aca="false">SUMIFS(AtractivoSitios!$C:$C,AtractivoSitios!$A:$A,$A129,AtractivoSitios!$B:$B,S$2)</f>
        <v>0</v>
      </c>
      <c r="T129" s="0" t="n">
        <f aca="false">SUM(M129:S129)</f>
        <v>0.378609784885586</v>
      </c>
      <c r="U129" s="0" t="n">
        <f aca="false">C129/(AD$4+H129+$T129)</f>
        <v>0.000192138557291744</v>
      </c>
      <c r="V129" s="0" t="n">
        <f aca="false">D129/(AE$4+I129+$T129)</f>
        <v>5.5491573584346E-005</v>
      </c>
      <c r="W129" s="0" t="n">
        <f aca="false">E129/(AF$4+J129+$T129)</f>
        <v>0.000322260001357499</v>
      </c>
      <c r="X129" s="0" t="n">
        <f aca="false">F129/(AG$4+K129+$T129)</f>
        <v>1.74366890390054E-005</v>
      </c>
      <c r="Y129" s="0" t="n">
        <f aca="false">G129/(AH$4+L129+$T129)</f>
        <v>1.0815714349563E-005</v>
      </c>
    </row>
    <row r="130" customFormat="false" ht="15" hidden="false" customHeight="false" outlineLevel="0" collapsed="false">
      <c r="A130" s="0" t="s">
        <v>176</v>
      </c>
      <c r="B130" s="0" t="n">
        <f aca="false">SUMIFS(Sectores!$C:$C,Sectores!$A:$A,$A130)</f>
        <v>4012</v>
      </c>
      <c r="C130" s="0" t="n">
        <f aca="false">SUMIFS(Generacion!$C:$C,Generacion!$A:$A,$A130,Generacion!$B:$B,C$2)</f>
        <v>0.0435338767065874</v>
      </c>
      <c r="D130" s="0" t="n">
        <f aca="false">SUMIFS(Generacion!$C:$C,Generacion!$A:$A,$A130,Generacion!$B:$B,D$2)</f>
        <v>0.0378709333951614</v>
      </c>
      <c r="E130" s="0" t="n">
        <f aca="false">SUMIFS(Generacion!$C:$C,Generacion!$A:$A,$A130,Generacion!$B:$B,E$2)</f>
        <v>0.0134494903646368</v>
      </c>
      <c r="F130" s="0" t="n">
        <f aca="false">SUMIFS(Generacion!$C:$C,Generacion!$A:$A,$A130,Generacion!$B:$B,F$2)</f>
        <v>0.00353933956964125</v>
      </c>
      <c r="G130" s="0" t="n">
        <f aca="false">SUMIFS(Generacion!$C:$C,Generacion!$A:$A,$A130,Generacion!$B:$B,G$2)</f>
        <v>0.00247753769874887</v>
      </c>
      <c r="H130" s="0" t="n">
        <f aca="false">SUMPRODUCT((AtractivoAlternativas!$A$2:$A$931=$A130)*AtractivoAlternativas!$C$2:$C$931*COUNTIFS(Alternativas!$A$2:$A$51,AtractivoAlternativas!$B$2:$B$931,Alternativas!$B$2:$B$51,H$2))</f>
        <v>1.117521127916</v>
      </c>
      <c r="I130" s="0" t="n">
        <f aca="false">SUMPRODUCT((AtractivoAlternativas!$A$2:$A$931=$A130)*AtractivoAlternativas!$C$2:$C$931*COUNTIFS(Alternativas!$A$2:$A$51,AtractivoAlternativas!$B$2:$B$931,Alternativas!$B$2:$B$51,I$2))</f>
        <v>3.97553203282667</v>
      </c>
      <c r="J130" s="0" t="n">
        <f aca="false">SUMPRODUCT((AtractivoAlternativas!$A$2:$A$931=$A130)*AtractivoAlternativas!$C$2:$C$931*COUNTIFS(Alternativas!$A$2:$A$51,AtractivoAlternativas!$B$2:$B$931,Alternativas!$B$2:$B$51,J$2))</f>
        <v>0.553577024415857</v>
      </c>
      <c r="K130" s="0" t="n">
        <f aca="false">SUMPRODUCT((AtractivoAlternativas!$A$2:$A$931=$A130)*AtractivoAlternativas!$C$2:$C$931*COUNTIFS(Alternativas!$A$2:$A$51,AtractivoAlternativas!$B$2:$B$931,Alternativas!$B$2:$B$51,K$2))</f>
        <v>0</v>
      </c>
      <c r="L130" s="0" t="n">
        <f aca="false">SUMPRODUCT((AtractivoAlternativas!$A$2:$A$931=$A130)*AtractivoAlternativas!$C$2:$C$931*COUNTIFS(Alternativas!$A$2:$A$51,AtractivoAlternativas!$B$2:$B$931,Alternativas!$B$2:$B$51,L$2))</f>
        <v>0</v>
      </c>
      <c r="M130" s="0" t="n">
        <f aca="false">SUMIFS(AtractivoSitios!$C:$C,AtractivoSitios!$A:$A,$A130,AtractivoSitios!$B:$B,M$2)</f>
        <v>0</v>
      </c>
      <c r="N130" s="0" t="n">
        <f aca="false">SUMIFS(AtractivoSitios!$C:$C,AtractivoSitios!$A:$A,$A130,AtractivoSitios!$B:$B,N$2)</f>
        <v>0</v>
      </c>
      <c r="O130" s="0" t="n">
        <f aca="false">SUMIFS(AtractivoSitios!$C:$C,AtractivoSitios!$A:$A,$A130,AtractivoSitios!$B:$B,O$2)</f>
        <v>0</v>
      </c>
      <c r="P130" s="0" t="n">
        <f aca="false">SUMIFS(AtractivoSitios!$C:$C,AtractivoSitios!$A:$A,$A130,AtractivoSitios!$B:$B,P$2)</f>
        <v>0.523729217740518</v>
      </c>
      <c r="Q130" s="0" t="n">
        <f aca="false">SUMIFS(AtractivoSitios!$C:$C,AtractivoSitios!$A:$A,$A130,AtractivoSitios!$B:$B,Q$2)</f>
        <v>0</v>
      </c>
      <c r="R130" s="0" t="n">
        <f aca="false">SUMIFS(AtractivoSitios!$C:$C,AtractivoSitios!$A:$A,$A130,AtractivoSitios!$B:$B,R$2)</f>
        <v>0</v>
      </c>
      <c r="S130" s="0" t="n">
        <f aca="false">SUMIFS(AtractivoSitios!$C:$C,AtractivoSitios!$A:$A,$A130,AtractivoSitios!$B:$B,S$2)</f>
        <v>0</v>
      </c>
      <c r="T130" s="0" t="n">
        <f aca="false">SUM(M130:S130)</f>
        <v>0.523729217740518</v>
      </c>
      <c r="U130" s="0" t="n">
        <f aca="false">C130/(AD$4+H130+$T130)</f>
        <v>0.00019176747071242</v>
      </c>
      <c r="V130" s="0" t="n">
        <f aca="false">D130/(AE$4+I130+$T130)</f>
        <v>5.53433126410887E-005</v>
      </c>
      <c r="W130" s="0" t="n">
        <f aca="false">E130/(AF$4+J130+$T130)</f>
        <v>0.000320147047123752</v>
      </c>
      <c r="X130" s="0" t="n">
        <f aca="false">F130/(AG$4+K130+$T130)</f>
        <v>1.74242318227433E-005</v>
      </c>
      <c r="Y130" s="0" t="n">
        <f aca="false">G130/(AH$4+L130+$T130)</f>
        <v>1.08088667134895E-005</v>
      </c>
    </row>
    <row r="131" customFormat="false" ht="15" hidden="false" customHeight="false" outlineLevel="0" collapsed="false">
      <c r="A131" s="0" t="s">
        <v>177</v>
      </c>
      <c r="B131" s="0" t="n">
        <f aca="false">SUMIFS(Sectores!$C:$C,Sectores!$A:$A,$A131)</f>
        <v>2361</v>
      </c>
      <c r="C131" s="0" t="n">
        <f aca="false">SUMIFS(Generacion!$C:$C,Generacion!$A:$A,$A131,Generacion!$B:$B,C$2)</f>
        <v>0.0435338767065874</v>
      </c>
      <c r="D131" s="0" t="n">
        <f aca="false">SUMIFS(Generacion!$C:$C,Generacion!$A:$A,$A131,Generacion!$B:$B,D$2)</f>
        <v>0.0378709333951614</v>
      </c>
      <c r="E131" s="0" t="n">
        <f aca="false">SUMIFS(Generacion!$C:$C,Generacion!$A:$A,$A131,Generacion!$B:$B,E$2)</f>
        <v>0.0134494903646368</v>
      </c>
      <c r="F131" s="0" t="n">
        <f aca="false">SUMIFS(Generacion!$C:$C,Generacion!$A:$A,$A131,Generacion!$B:$B,F$2)</f>
        <v>0.00353933956964125</v>
      </c>
      <c r="G131" s="0" t="n">
        <f aca="false">SUMIFS(Generacion!$C:$C,Generacion!$A:$A,$A131,Generacion!$B:$B,G$2)</f>
        <v>0.00247753769874887</v>
      </c>
      <c r="H131" s="0" t="n">
        <f aca="false">SUMPRODUCT((AtractivoAlternativas!$A$2:$A$931=$A131)*AtractivoAlternativas!$C$2:$C$931*COUNTIFS(Alternativas!$A$2:$A$51,AtractivoAlternativas!$B$2:$B$931,Alternativas!$B$2:$B$51,H$2))</f>
        <v>1.15738776911104</v>
      </c>
      <c r="I131" s="0" t="n">
        <f aca="false">SUMPRODUCT((AtractivoAlternativas!$A$2:$A$931=$A131)*AtractivoAlternativas!$C$2:$C$931*COUNTIFS(Alternativas!$A$2:$A$51,AtractivoAlternativas!$B$2:$B$931,Alternativas!$B$2:$B$51,I$2))</f>
        <v>4.16500468866157</v>
      </c>
      <c r="J131" s="0" t="n">
        <f aca="false">SUMPRODUCT((AtractivoAlternativas!$A$2:$A$931=$A131)*AtractivoAlternativas!$C$2:$C$931*COUNTIFS(Alternativas!$A$2:$A$51,AtractivoAlternativas!$B$2:$B$931,Alternativas!$B$2:$B$51,J$2))</f>
        <v>0.559596918353993</v>
      </c>
      <c r="K131" s="0" t="n">
        <f aca="false">SUMPRODUCT((AtractivoAlternativas!$A$2:$A$931=$A131)*AtractivoAlternativas!$C$2:$C$931*COUNTIFS(Alternativas!$A$2:$A$51,AtractivoAlternativas!$B$2:$B$931,Alternativas!$B$2:$B$51,K$2))</f>
        <v>0</v>
      </c>
      <c r="L131" s="0" t="n">
        <f aca="false">SUMPRODUCT((AtractivoAlternativas!$A$2:$A$931=$A131)*AtractivoAlternativas!$C$2:$C$931*COUNTIFS(Alternativas!$A$2:$A$51,AtractivoAlternativas!$B$2:$B$931,Alternativas!$B$2:$B$51,L$2))</f>
        <v>0</v>
      </c>
      <c r="M131" s="0" t="n">
        <f aca="false">SUMIFS(AtractivoSitios!$C:$C,AtractivoSitios!$A:$A,$A131,AtractivoSitios!$B:$B,M$2)</f>
        <v>0</v>
      </c>
      <c r="N131" s="0" t="n">
        <f aca="false">SUMIFS(AtractivoSitios!$C:$C,AtractivoSitios!$A:$A,$A131,AtractivoSitios!$B:$B,N$2)</f>
        <v>0</v>
      </c>
      <c r="O131" s="0" t="n">
        <f aca="false">SUMIFS(AtractivoSitios!$C:$C,AtractivoSitios!$A:$A,$A131,AtractivoSitios!$B:$B,O$2)</f>
        <v>0</v>
      </c>
      <c r="P131" s="0" t="n">
        <f aca="false">SUMIFS(AtractivoSitios!$C:$C,AtractivoSitios!$A:$A,$A131,AtractivoSitios!$B:$B,P$2)</f>
        <v>0.583613412227582</v>
      </c>
      <c r="Q131" s="0" t="n">
        <f aca="false">SUMIFS(AtractivoSitios!$C:$C,AtractivoSitios!$A:$A,$A131,AtractivoSitios!$B:$B,Q$2)</f>
        <v>0</v>
      </c>
      <c r="R131" s="0" t="n">
        <f aca="false">SUMIFS(AtractivoSitios!$C:$C,AtractivoSitios!$A:$A,$A131,AtractivoSitios!$B:$B,R$2)</f>
        <v>0</v>
      </c>
      <c r="S131" s="0" t="n">
        <f aca="false">SUMIFS(AtractivoSitios!$C:$C,AtractivoSitios!$A:$A,$A131,AtractivoSitios!$B:$B,S$2)</f>
        <v>0</v>
      </c>
      <c r="T131" s="0" t="n">
        <f aca="false">SUM(M131:S131)</f>
        <v>0.583613412227582</v>
      </c>
      <c r="U131" s="0" t="n">
        <f aca="false">C131/(AD$4+H131+$T131)</f>
        <v>0.000191683244302164</v>
      </c>
      <c r="V131" s="0" t="n">
        <f aca="false">D131/(AE$4+I131+$T131)</f>
        <v>5.53231527878016E-005</v>
      </c>
      <c r="W131" s="0" t="n">
        <f aca="false">E131/(AF$4+J131+$T131)</f>
        <v>0.000319645600443022</v>
      </c>
      <c r="X131" s="0" t="n">
        <f aca="false">F131/(AG$4+K131+$T131)</f>
        <v>1.74190964822315E-005</v>
      </c>
      <c r="Y131" s="0" t="n">
        <f aca="false">G131/(AH$4+L131+$T131)</f>
        <v>1.08060435318893E-005</v>
      </c>
    </row>
    <row r="132" customFormat="false" ht="15" hidden="false" customHeight="false" outlineLevel="0" collapsed="false">
      <c r="A132" s="0" t="s">
        <v>178</v>
      </c>
      <c r="B132" s="0" t="n">
        <f aca="false">SUMIFS(Sectores!$C:$C,Sectores!$A:$A,$A132)</f>
        <v>4419</v>
      </c>
      <c r="C132" s="0" t="n">
        <f aca="false">SUMIFS(Generacion!$C:$C,Generacion!$A:$A,$A132,Generacion!$B:$B,C$2)</f>
        <v>0.0435338767065874</v>
      </c>
      <c r="D132" s="0" t="n">
        <f aca="false">SUMIFS(Generacion!$C:$C,Generacion!$A:$A,$A132,Generacion!$B:$B,D$2)</f>
        <v>0.0378709333951614</v>
      </c>
      <c r="E132" s="0" t="n">
        <f aca="false">SUMIFS(Generacion!$C:$C,Generacion!$A:$A,$A132,Generacion!$B:$B,E$2)</f>
        <v>0.0134494903646368</v>
      </c>
      <c r="F132" s="0" t="n">
        <f aca="false">SUMIFS(Generacion!$C:$C,Generacion!$A:$A,$A132,Generacion!$B:$B,F$2)</f>
        <v>0.00353933956964125</v>
      </c>
      <c r="G132" s="0" t="n">
        <f aca="false">SUMIFS(Generacion!$C:$C,Generacion!$A:$A,$A132,Generacion!$B:$B,G$2)</f>
        <v>0.00247753769874887</v>
      </c>
      <c r="H132" s="0" t="n">
        <f aca="false">SUMPRODUCT((AtractivoAlternativas!$A$2:$A$931=$A132)*AtractivoAlternativas!$C$2:$C$931*COUNTIFS(Alternativas!$A$2:$A$51,AtractivoAlternativas!$B$2:$B$931,Alternativas!$B$2:$B$51,H$2))</f>
        <v>1.20842844850324</v>
      </c>
      <c r="I132" s="0" t="n">
        <f aca="false">SUMPRODUCT((AtractivoAlternativas!$A$2:$A$931=$A132)*AtractivoAlternativas!$C$2:$C$931*COUNTIFS(Alternativas!$A$2:$A$51,AtractivoAlternativas!$B$2:$B$931,Alternativas!$B$2:$B$51,I$2))</f>
        <v>4.44228333446432</v>
      </c>
      <c r="J132" s="0" t="n">
        <f aca="false">SUMPRODUCT((AtractivoAlternativas!$A$2:$A$931=$A132)*AtractivoAlternativas!$C$2:$C$931*COUNTIFS(Alternativas!$A$2:$A$51,AtractivoAlternativas!$B$2:$B$931,Alternativas!$B$2:$B$51,J$2))</f>
        <v>0.560623651317197</v>
      </c>
      <c r="K132" s="0" t="n">
        <f aca="false">SUMPRODUCT((AtractivoAlternativas!$A$2:$A$931=$A132)*AtractivoAlternativas!$C$2:$C$931*COUNTIFS(Alternativas!$A$2:$A$51,AtractivoAlternativas!$B$2:$B$931,Alternativas!$B$2:$B$51,K$2))</f>
        <v>0</v>
      </c>
      <c r="L132" s="0" t="n">
        <f aca="false">SUMPRODUCT((AtractivoAlternativas!$A$2:$A$931=$A132)*AtractivoAlternativas!$C$2:$C$931*COUNTIFS(Alternativas!$A$2:$A$51,AtractivoAlternativas!$B$2:$B$931,Alternativas!$B$2:$B$51,L$2))</f>
        <v>0</v>
      </c>
      <c r="M132" s="0" t="n">
        <f aca="false">SUMIFS(AtractivoSitios!$C:$C,AtractivoSitios!$A:$A,$A132,AtractivoSitios!$B:$B,M$2)</f>
        <v>0</v>
      </c>
      <c r="N132" s="0" t="n">
        <f aca="false">SUMIFS(AtractivoSitios!$C:$C,AtractivoSitios!$A:$A,$A132,AtractivoSitios!$B:$B,N$2)</f>
        <v>0</v>
      </c>
      <c r="O132" s="0" t="n">
        <f aca="false">SUMIFS(AtractivoSitios!$C:$C,AtractivoSitios!$A:$A,$A132,AtractivoSitios!$B:$B,O$2)</f>
        <v>0</v>
      </c>
      <c r="P132" s="0" t="n">
        <f aca="false">SUMIFS(AtractivoSitios!$C:$C,AtractivoSitios!$A:$A,$A132,AtractivoSitios!$B:$B,P$2)</f>
        <v>0.683838915114794</v>
      </c>
      <c r="Q132" s="0" t="n">
        <f aca="false">SUMIFS(AtractivoSitios!$C:$C,AtractivoSitios!$A:$A,$A132,AtractivoSitios!$B:$B,Q$2)</f>
        <v>0</v>
      </c>
      <c r="R132" s="0" t="n">
        <f aca="false">SUMIFS(AtractivoSitios!$C:$C,AtractivoSitios!$A:$A,$A132,AtractivoSitios!$B:$B,R$2)</f>
        <v>0</v>
      </c>
      <c r="S132" s="0" t="n">
        <f aca="false">SUMIFS(AtractivoSitios!$C:$C,AtractivoSitios!$A:$A,$A132,AtractivoSitios!$B:$B,S$2)</f>
        <v>0</v>
      </c>
      <c r="T132" s="0" t="n">
        <f aca="false">SUM(M132:S132)</f>
        <v>0.683838915114794</v>
      </c>
      <c r="U132" s="0" t="n">
        <f aca="false">C132/(AD$4+H132+$T132)</f>
        <v>0.000191555661056634</v>
      </c>
      <c r="V132" s="0" t="n">
        <f aca="false">D132/(AE$4+I132+$T132)</f>
        <v>5.52926604916766E-005</v>
      </c>
      <c r="W132" s="0" t="n">
        <f aca="false">E132/(AF$4+J132+$T132)</f>
        <v>0.000318878252335571</v>
      </c>
      <c r="X132" s="0" t="n">
        <f aca="false">F132/(AG$4+K132+$T132)</f>
        <v>1.74105084613499E-005</v>
      </c>
      <c r="Y132" s="0" t="n">
        <f aca="false">G132/(AH$4+L132+$T132)</f>
        <v>1.08013217970974E-005</v>
      </c>
    </row>
    <row r="133" customFormat="false" ht="15" hidden="false" customHeight="false" outlineLevel="0" collapsed="false">
      <c r="A133" s="0" t="s">
        <v>179</v>
      </c>
      <c r="B133" s="0" t="n">
        <f aca="false">SUMIFS(Sectores!$C:$C,Sectores!$A:$A,$A133)</f>
        <v>4825</v>
      </c>
      <c r="C133" s="0" t="n">
        <f aca="false">SUMIFS(Generacion!$C:$C,Generacion!$A:$A,$A133,Generacion!$B:$B,C$2)</f>
        <v>0.0435338767065874</v>
      </c>
      <c r="D133" s="0" t="n">
        <f aca="false">SUMIFS(Generacion!$C:$C,Generacion!$A:$A,$A133,Generacion!$B:$B,D$2)</f>
        <v>0.0378709333951614</v>
      </c>
      <c r="E133" s="0" t="n">
        <f aca="false">SUMIFS(Generacion!$C:$C,Generacion!$A:$A,$A133,Generacion!$B:$B,E$2)</f>
        <v>0.0134494903646368</v>
      </c>
      <c r="F133" s="0" t="n">
        <f aca="false">SUMIFS(Generacion!$C:$C,Generacion!$A:$A,$A133,Generacion!$B:$B,F$2)</f>
        <v>0.00353933956964125</v>
      </c>
      <c r="G133" s="0" t="n">
        <f aca="false">SUMIFS(Generacion!$C:$C,Generacion!$A:$A,$A133,Generacion!$B:$B,G$2)</f>
        <v>0.00247753769874887</v>
      </c>
      <c r="H133" s="0" t="n">
        <f aca="false">SUMPRODUCT((AtractivoAlternativas!$A$2:$A$931=$A133)*AtractivoAlternativas!$C$2:$C$931*COUNTIFS(Alternativas!$A$2:$A$51,AtractivoAlternativas!$B$2:$B$931,Alternativas!$B$2:$B$51,H$2))</f>
        <v>1.28508846970571</v>
      </c>
      <c r="I133" s="0" t="n">
        <f aca="false">SUMPRODUCT((AtractivoAlternativas!$A$2:$A$931=$A133)*AtractivoAlternativas!$C$2:$C$931*COUNTIFS(Alternativas!$A$2:$A$51,AtractivoAlternativas!$B$2:$B$931,Alternativas!$B$2:$B$51,I$2))</f>
        <v>4.15451026690653</v>
      </c>
      <c r="J133" s="0" t="n">
        <f aca="false">SUMPRODUCT((AtractivoAlternativas!$A$2:$A$931=$A133)*AtractivoAlternativas!$C$2:$C$931*COUNTIFS(Alternativas!$A$2:$A$51,AtractivoAlternativas!$B$2:$B$931,Alternativas!$B$2:$B$51,J$2))</f>
        <v>0.829946890874708</v>
      </c>
      <c r="K133" s="0" t="n">
        <f aca="false">SUMPRODUCT((AtractivoAlternativas!$A$2:$A$931=$A133)*AtractivoAlternativas!$C$2:$C$931*COUNTIFS(Alternativas!$A$2:$A$51,AtractivoAlternativas!$B$2:$B$931,Alternativas!$B$2:$B$51,K$2))</f>
        <v>0</v>
      </c>
      <c r="L133" s="0" t="n">
        <f aca="false">SUMPRODUCT((AtractivoAlternativas!$A$2:$A$931=$A133)*AtractivoAlternativas!$C$2:$C$931*COUNTIFS(Alternativas!$A$2:$A$51,AtractivoAlternativas!$B$2:$B$931,Alternativas!$B$2:$B$51,L$2))</f>
        <v>0</v>
      </c>
      <c r="M133" s="0" t="n">
        <f aca="false">SUMIFS(AtractivoSitios!$C:$C,AtractivoSitios!$A:$A,$A133,AtractivoSitios!$B:$B,M$2)</f>
        <v>0.49658530379141</v>
      </c>
      <c r="N133" s="0" t="n">
        <f aca="false">SUMIFS(AtractivoSitios!$C:$C,AtractivoSitios!$A:$A,$A133,AtractivoSitios!$B:$B,N$2)</f>
        <v>0</v>
      </c>
      <c r="O133" s="0" t="n">
        <f aca="false">SUMIFS(AtractivoSitios!$C:$C,AtractivoSitios!$A:$A,$A133,AtractivoSitios!$B:$B,O$2)</f>
        <v>0</v>
      </c>
      <c r="P133" s="0" t="n">
        <f aca="false">SUMIFS(AtractivoSitios!$C:$C,AtractivoSitios!$A:$A,$A133,AtractivoSitios!$B:$B,P$2)</f>
        <v>0</v>
      </c>
      <c r="Q133" s="0" t="n">
        <f aca="false">SUMIFS(AtractivoSitios!$C:$C,AtractivoSitios!$A:$A,$A133,AtractivoSitios!$B:$B,Q$2)</f>
        <v>0</v>
      </c>
      <c r="R133" s="0" t="n">
        <f aca="false">SUMIFS(AtractivoSitios!$C:$C,AtractivoSitios!$A:$A,$A133,AtractivoSitios!$B:$B,R$2)</f>
        <v>0</v>
      </c>
      <c r="S133" s="0" t="n">
        <f aca="false">SUMIFS(AtractivoSitios!$C:$C,AtractivoSitios!$A:$A,$A133,AtractivoSitios!$B:$B,S$2)</f>
        <v>0</v>
      </c>
      <c r="T133" s="0" t="n">
        <f aca="false">SUM(M133:S133)</f>
        <v>0.49658530379141</v>
      </c>
      <c r="U133" s="0" t="n">
        <f aca="false">C133/(AD$4+H133+$T133)</f>
        <v>0.000191648922898349</v>
      </c>
      <c r="V133" s="0" t="n">
        <f aca="false">D133/(AE$4+I133+$T133)</f>
        <v>5.5331035481857E-005</v>
      </c>
      <c r="W133" s="0" t="n">
        <f aca="false">E133/(AF$4+J133+$T133)</f>
        <v>0.000318258979251046</v>
      </c>
      <c r="X133" s="0" t="n">
        <f aca="false">F133/(AG$4+K133+$T133)</f>
        <v>1.74265605335475E-005</v>
      </c>
      <c r="Y133" s="0" t="n">
        <f aca="false">G133/(AH$4+L133+$T133)</f>
        <v>1.0810146872609E-005</v>
      </c>
    </row>
    <row r="134" customFormat="false" ht="15" hidden="false" customHeight="false" outlineLevel="0" collapsed="false">
      <c r="A134" s="0" t="s">
        <v>180</v>
      </c>
      <c r="B134" s="0" t="n">
        <f aca="false">SUMIFS(Sectores!$C:$C,Sectores!$A:$A,$A134)</f>
        <v>2895</v>
      </c>
      <c r="C134" s="0" t="n">
        <f aca="false">SUMIFS(Generacion!$C:$C,Generacion!$A:$A,$A134,Generacion!$B:$B,C$2)</f>
        <v>0.0435338767065874</v>
      </c>
      <c r="D134" s="0" t="n">
        <f aca="false">SUMIFS(Generacion!$C:$C,Generacion!$A:$A,$A134,Generacion!$B:$B,D$2)</f>
        <v>0.0378709333951614</v>
      </c>
      <c r="E134" s="0" t="n">
        <f aca="false">SUMIFS(Generacion!$C:$C,Generacion!$A:$A,$A134,Generacion!$B:$B,E$2)</f>
        <v>0.0134494903646368</v>
      </c>
      <c r="F134" s="0" t="n">
        <f aca="false">SUMIFS(Generacion!$C:$C,Generacion!$A:$A,$A134,Generacion!$B:$B,F$2)</f>
        <v>0.00353933956964125</v>
      </c>
      <c r="G134" s="0" t="n">
        <f aca="false">SUMIFS(Generacion!$C:$C,Generacion!$A:$A,$A134,Generacion!$B:$B,G$2)</f>
        <v>0.00247753769874887</v>
      </c>
      <c r="H134" s="0" t="n">
        <f aca="false">SUMPRODUCT((AtractivoAlternativas!$A$2:$A$931=$A134)*AtractivoAlternativas!$C$2:$C$931*COUNTIFS(Alternativas!$A$2:$A$51,AtractivoAlternativas!$B$2:$B$931,Alternativas!$B$2:$B$51,H$2))</f>
        <v>0.495930152545834</v>
      </c>
      <c r="I134" s="0" t="n">
        <f aca="false">SUMPRODUCT((AtractivoAlternativas!$A$2:$A$931=$A134)*AtractivoAlternativas!$C$2:$C$931*COUNTIFS(Alternativas!$A$2:$A$51,AtractivoAlternativas!$B$2:$B$931,Alternativas!$B$2:$B$51,I$2))</f>
        <v>2.38773745554947</v>
      </c>
      <c r="J134" s="0" t="n">
        <f aca="false">SUMPRODUCT((AtractivoAlternativas!$A$2:$A$931=$A134)*AtractivoAlternativas!$C$2:$C$931*COUNTIFS(Alternativas!$A$2:$A$51,AtractivoAlternativas!$B$2:$B$931,Alternativas!$B$2:$B$51,J$2))</f>
        <v>0.495930152545834</v>
      </c>
      <c r="K134" s="0" t="n">
        <f aca="false">SUMPRODUCT((AtractivoAlternativas!$A$2:$A$931=$A134)*AtractivoAlternativas!$C$2:$C$931*COUNTIFS(Alternativas!$A$2:$A$51,AtractivoAlternativas!$B$2:$B$931,Alternativas!$B$2:$B$51,K$2))</f>
        <v>0</v>
      </c>
      <c r="L134" s="0" t="n">
        <f aca="false">SUMPRODUCT((AtractivoAlternativas!$A$2:$A$931=$A134)*AtractivoAlternativas!$C$2:$C$931*COUNTIFS(Alternativas!$A$2:$A$51,AtractivoAlternativas!$B$2:$B$931,Alternativas!$B$2:$B$51,L$2))</f>
        <v>0</v>
      </c>
      <c r="M134" s="0" t="n">
        <f aca="false">SUMIFS(AtractivoSitios!$C:$C,AtractivoSitios!$A:$A,$A134,AtractivoSitios!$B:$B,M$2)</f>
        <v>0</v>
      </c>
      <c r="N134" s="0" t="n">
        <f aca="false">SUMIFS(AtractivoSitios!$C:$C,AtractivoSitios!$A:$A,$A134,AtractivoSitios!$B:$B,N$2)</f>
        <v>0</v>
      </c>
      <c r="O134" s="0" t="n">
        <f aca="false">SUMIFS(AtractivoSitios!$C:$C,AtractivoSitios!$A:$A,$A134,AtractivoSitios!$B:$B,O$2)</f>
        <v>0</v>
      </c>
      <c r="P134" s="0" t="n">
        <f aca="false">SUMIFS(AtractivoSitios!$C:$C,AtractivoSitios!$A:$A,$A134,AtractivoSitios!$B:$B,P$2)</f>
        <v>0</v>
      </c>
      <c r="Q134" s="0" t="n">
        <f aca="false">SUMIFS(AtractivoSitios!$C:$C,AtractivoSitios!$A:$A,$A134,AtractivoSitios!$B:$B,Q$2)</f>
        <v>0.446028565448944</v>
      </c>
      <c r="R134" s="0" t="n">
        <f aca="false">SUMIFS(AtractivoSitios!$C:$C,AtractivoSitios!$A:$A,$A134,AtractivoSitios!$B:$B,R$2)</f>
        <v>0</v>
      </c>
      <c r="S134" s="0" t="n">
        <f aca="false">SUMIFS(AtractivoSitios!$C:$C,AtractivoSitios!$A:$A,$A134,AtractivoSitios!$B:$B,S$2)</f>
        <v>0</v>
      </c>
      <c r="T134" s="0" t="n">
        <f aca="false">SUM(M134:S134)</f>
        <v>0.446028565448944</v>
      </c>
      <c r="U134" s="0" t="n">
        <f aca="false">C134/(AD$4+H134+$T134)</f>
        <v>0.000192360014880268</v>
      </c>
      <c r="V134" s="0" t="n">
        <f aca="false">D134/(AE$4+I134+$T134)</f>
        <v>5.54783413150769E-005</v>
      </c>
      <c r="W134" s="0" t="n">
        <f aca="false">E134/(AF$4+J134+$T134)</f>
        <v>0.000321181819776718</v>
      </c>
      <c r="X134" s="0" t="n">
        <f aca="false">F134/(AG$4+K134+$T134)</f>
        <v>1.74308995200073E-005</v>
      </c>
      <c r="Y134" s="0" t="n">
        <f aca="false">G134/(AH$4+L134+$T134)</f>
        <v>1.08125320340396E-005</v>
      </c>
    </row>
    <row r="135" customFormat="false" ht="15" hidden="false" customHeight="false" outlineLevel="0" collapsed="false">
      <c r="A135" s="0" t="s">
        <v>181</v>
      </c>
      <c r="B135" s="0" t="n">
        <f aca="false">SUMIFS(Sectores!$C:$C,Sectores!$A:$A,$A135)</f>
        <v>3025</v>
      </c>
      <c r="C135" s="0" t="n">
        <f aca="false">SUMIFS(Generacion!$C:$C,Generacion!$A:$A,$A135,Generacion!$B:$B,C$2)</f>
        <v>0.0435338767065874</v>
      </c>
      <c r="D135" s="0" t="n">
        <f aca="false">SUMIFS(Generacion!$C:$C,Generacion!$A:$A,$A135,Generacion!$B:$B,D$2)</f>
        <v>0.0378709333951614</v>
      </c>
      <c r="E135" s="0" t="n">
        <f aca="false">SUMIFS(Generacion!$C:$C,Generacion!$A:$A,$A135,Generacion!$B:$B,E$2)</f>
        <v>0.0134494903646368</v>
      </c>
      <c r="F135" s="0" t="n">
        <f aca="false">SUMIFS(Generacion!$C:$C,Generacion!$A:$A,$A135,Generacion!$B:$B,F$2)</f>
        <v>0.00353933956964125</v>
      </c>
      <c r="G135" s="0" t="n">
        <f aca="false">SUMIFS(Generacion!$C:$C,Generacion!$A:$A,$A135,Generacion!$B:$B,G$2)</f>
        <v>0.00247753769874887</v>
      </c>
      <c r="H135" s="0" t="n">
        <f aca="false">SUMPRODUCT((AtractivoAlternativas!$A$2:$A$931=$A135)*AtractivoAlternativas!$C$2:$C$931*COUNTIFS(Alternativas!$A$2:$A$51,AtractivoAlternativas!$B$2:$B$931,Alternativas!$B$2:$B$51,H$2))</f>
        <v>0.570128150411452</v>
      </c>
      <c r="I135" s="0" t="n">
        <f aca="false">SUMPRODUCT((AtractivoAlternativas!$A$2:$A$931=$A135)*AtractivoAlternativas!$C$2:$C$931*COUNTIFS(Alternativas!$A$2:$A$51,AtractivoAlternativas!$B$2:$B$931,Alternativas!$B$2:$B$51,I$2))</f>
        <v>2.89998059151227</v>
      </c>
      <c r="J135" s="0" t="n">
        <f aca="false">SUMPRODUCT((AtractivoAlternativas!$A$2:$A$931=$A135)*AtractivoAlternativas!$C$2:$C$931*COUNTIFS(Alternativas!$A$2:$A$51,AtractivoAlternativas!$B$2:$B$931,Alternativas!$B$2:$B$51,J$2))</f>
        <v>0.570128150411452</v>
      </c>
      <c r="K135" s="0" t="n">
        <f aca="false">SUMPRODUCT((AtractivoAlternativas!$A$2:$A$931=$A135)*AtractivoAlternativas!$C$2:$C$931*COUNTIFS(Alternativas!$A$2:$A$51,AtractivoAlternativas!$B$2:$B$931,Alternativas!$B$2:$B$51,K$2))</f>
        <v>0</v>
      </c>
      <c r="L135" s="0" t="n">
        <f aca="false">SUMPRODUCT((AtractivoAlternativas!$A$2:$A$931=$A135)*AtractivoAlternativas!$C$2:$C$931*COUNTIFS(Alternativas!$A$2:$A$51,AtractivoAlternativas!$B$2:$B$931,Alternativas!$B$2:$B$51,L$2))</f>
        <v>0</v>
      </c>
      <c r="M135" s="0" t="n">
        <f aca="false">SUMIFS(AtractivoSitios!$C:$C,AtractivoSitios!$A:$A,$A135,AtractivoSitios!$B:$B,M$2)</f>
        <v>0</v>
      </c>
      <c r="N135" s="0" t="n">
        <f aca="false">SUMIFS(AtractivoSitios!$C:$C,AtractivoSitios!$A:$A,$A135,AtractivoSitios!$B:$B,N$2)</f>
        <v>0</v>
      </c>
      <c r="O135" s="0" t="n">
        <f aca="false">SUMIFS(AtractivoSitios!$C:$C,AtractivoSitios!$A:$A,$A135,AtractivoSitios!$B:$B,O$2)</f>
        <v>0</v>
      </c>
      <c r="P135" s="0" t="n">
        <f aca="false">SUMIFS(AtractivoSitios!$C:$C,AtractivoSitios!$A:$A,$A135,AtractivoSitios!$B:$B,P$2)</f>
        <v>0</v>
      </c>
      <c r="Q135" s="0" t="n">
        <f aca="false">SUMIFS(AtractivoSitios!$C:$C,AtractivoSitios!$A:$A,$A135,AtractivoSitios!$B:$B,Q$2)</f>
        <v>0.558779208832128</v>
      </c>
      <c r="R135" s="0" t="n">
        <f aca="false">SUMIFS(AtractivoSitios!$C:$C,AtractivoSitios!$A:$A,$A135,AtractivoSitios!$B:$B,R$2)</f>
        <v>0</v>
      </c>
      <c r="S135" s="0" t="n">
        <f aca="false">SUMIFS(AtractivoSitios!$C:$C,AtractivoSitios!$A:$A,$A135,AtractivoSitios!$B:$B,S$2)</f>
        <v>0</v>
      </c>
      <c r="T135" s="0" t="n">
        <f aca="false">SUM(M135:S135)</f>
        <v>0.558779208832128</v>
      </c>
      <c r="U135" s="0" t="n">
        <f aca="false">C135/(AD$4+H135+$T135)</f>
        <v>0.000192201245784865</v>
      </c>
      <c r="V135" s="0" t="n">
        <f aca="false">D135/(AE$4+I135+$T135)</f>
        <v>5.5427593286559E-005</v>
      </c>
      <c r="W135" s="0" t="n">
        <f aca="false">E135/(AF$4+J135+$T135)</f>
        <v>0.00031975429443954</v>
      </c>
      <c r="X135" s="0" t="n">
        <f aca="false">F135/(AG$4+K135+$T135)</f>
        <v>1.74212257600782E-005</v>
      </c>
      <c r="Y135" s="0" t="n">
        <f aca="false">G135/(AH$4+L135+$T135)</f>
        <v>1.08072141370428E-005</v>
      </c>
    </row>
    <row r="136" customFormat="false" ht="15" hidden="false" customHeight="false" outlineLevel="0" collapsed="false">
      <c r="A136" s="0" t="s">
        <v>182</v>
      </c>
      <c r="B136" s="0" t="n">
        <f aca="false">SUMIFS(Sectores!$C:$C,Sectores!$A:$A,$A136)</f>
        <v>4092</v>
      </c>
      <c r="C136" s="0" t="n">
        <f aca="false">SUMIFS(Generacion!$C:$C,Generacion!$A:$A,$A136,Generacion!$B:$B,C$2)</f>
        <v>0.0435338767065874</v>
      </c>
      <c r="D136" s="0" t="n">
        <f aca="false">SUMIFS(Generacion!$C:$C,Generacion!$A:$A,$A136,Generacion!$B:$B,D$2)</f>
        <v>0.0378709333951614</v>
      </c>
      <c r="E136" s="0" t="n">
        <f aca="false">SUMIFS(Generacion!$C:$C,Generacion!$A:$A,$A136,Generacion!$B:$B,E$2)</f>
        <v>0.0134494903646368</v>
      </c>
      <c r="F136" s="0" t="n">
        <f aca="false">SUMIFS(Generacion!$C:$C,Generacion!$A:$A,$A136,Generacion!$B:$B,F$2)</f>
        <v>0.00353933956964125</v>
      </c>
      <c r="G136" s="0" t="n">
        <f aca="false">SUMIFS(Generacion!$C:$C,Generacion!$A:$A,$A136,Generacion!$B:$B,G$2)</f>
        <v>0.00247753769874887</v>
      </c>
      <c r="H136" s="0" t="n">
        <f aca="false">SUMPRODUCT((AtractivoAlternativas!$A$2:$A$931=$A136)*AtractivoAlternativas!$C$2:$C$931*COUNTIFS(Alternativas!$A$2:$A$51,AtractivoAlternativas!$B$2:$B$931,Alternativas!$B$2:$B$51,H$2))</f>
        <v>1.1166354221624</v>
      </c>
      <c r="I136" s="0" t="n">
        <f aca="false">SUMPRODUCT((AtractivoAlternativas!$A$2:$A$931=$A136)*AtractivoAlternativas!$C$2:$C$931*COUNTIFS(Alternativas!$A$2:$A$51,AtractivoAlternativas!$B$2:$B$931,Alternativas!$B$2:$B$51,I$2))</f>
        <v>2.06982637518916</v>
      </c>
      <c r="J136" s="0" t="n">
        <f aca="false">SUMPRODUCT((AtractivoAlternativas!$A$2:$A$931=$A136)*AtractivoAlternativas!$C$2:$C$931*COUNTIFS(Alternativas!$A$2:$A$51,AtractivoAlternativas!$B$2:$B$931,Alternativas!$B$2:$B$51,J$2))</f>
        <v>1.57426423664119</v>
      </c>
      <c r="K136" s="0" t="n">
        <f aca="false">SUMPRODUCT((AtractivoAlternativas!$A$2:$A$931=$A136)*AtractivoAlternativas!$C$2:$C$931*COUNTIFS(Alternativas!$A$2:$A$51,AtractivoAlternativas!$B$2:$B$931,Alternativas!$B$2:$B$51,K$2))</f>
        <v>0</v>
      </c>
      <c r="L136" s="0" t="n">
        <f aca="false">SUMPRODUCT((AtractivoAlternativas!$A$2:$A$931=$A136)*AtractivoAlternativas!$C$2:$C$931*COUNTIFS(Alternativas!$A$2:$A$51,AtractivoAlternativas!$B$2:$B$931,Alternativas!$B$2:$B$51,L$2))</f>
        <v>0</v>
      </c>
      <c r="M136" s="0" t="n">
        <f aca="false">SUMIFS(AtractivoSitios!$C:$C,AtractivoSitios!$A:$A,$A136,AtractivoSitios!$B:$B,M$2)</f>
        <v>0</v>
      </c>
      <c r="N136" s="0" t="n">
        <f aca="false">SUMIFS(AtractivoSitios!$C:$C,AtractivoSitios!$A:$A,$A136,AtractivoSitios!$B:$B,N$2)</f>
        <v>0</v>
      </c>
      <c r="O136" s="0" t="n">
        <f aca="false">SUMIFS(AtractivoSitios!$C:$C,AtractivoSitios!$A:$A,$A136,AtractivoSitios!$B:$B,O$2)</f>
        <v>0</v>
      </c>
      <c r="P136" s="0" t="n">
        <f aca="false">SUMIFS(AtractivoSitios!$C:$C,AtractivoSitios!$A:$A,$A136,AtractivoSitios!$B:$B,P$2)</f>
        <v>0</v>
      </c>
      <c r="Q136" s="0" t="n">
        <f aca="false">SUMIFS(AtractivoSitios!$C:$C,AtractivoSitios!$A:$A,$A136,AtractivoSitios!$B:$B,Q$2)</f>
        <v>0.560950866410213</v>
      </c>
      <c r="R136" s="0" t="n">
        <f aca="false">SUMIFS(AtractivoSitios!$C:$C,AtractivoSitios!$A:$A,$A136,AtractivoSitios!$B:$B,R$2)</f>
        <v>0</v>
      </c>
      <c r="S136" s="0" t="n">
        <f aca="false">SUMIFS(AtractivoSitios!$C:$C,AtractivoSitios!$A:$A,$A136,AtractivoSitios!$B:$B,S$2)</f>
        <v>0</v>
      </c>
      <c r="T136" s="0" t="n">
        <f aca="false">SUM(M136:S136)</f>
        <v>0.560950866410213</v>
      </c>
      <c r="U136" s="0" t="n">
        <f aca="false">C136/(AD$4+H136+$T136)</f>
        <v>0.000191736781237053</v>
      </c>
      <c r="V136" s="0" t="n">
        <f aca="false">D136/(AE$4+I136+$T136)</f>
        <v>5.54948435255611E-005</v>
      </c>
      <c r="W136" s="0" t="n">
        <f aca="false">E136/(AF$4+J136+$T136)</f>
        <v>0.00031228310310352</v>
      </c>
      <c r="X136" s="0" t="n">
        <f aca="false">F136/(AG$4+K136+$T136)</f>
        <v>1.7421039541978E-005</v>
      </c>
      <c r="Y136" s="0" t="n">
        <f aca="false">G136/(AH$4+L136+$T136)</f>
        <v>1.08071117619106E-005</v>
      </c>
    </row>
    <row r="137" customFormat="false" ht="15" hidden="false" customHeight="false" outlineLevel="0" collapsed="false">
      <c r="A137" s="0" t="s">
        <v>183</v>
      </c>
      <c r="B137" s="0" t="n">
        <f aca="false">SUMIFS(Sectores!$C:$C,Sectores!$A:$A,$A137)</f>
        <v>2888</v>
      </c>
      <c r="C137" s="0" t="n">
        <f aca="false">SUMIFS(Generacion!$C:$C,Generacion!$A:$A,$A137,Generacion!$B:$B,C$2)</f>
        <v>0.0435338767065874</v>
      </c>
      <c r="D137" s="0" t="n">
        <f aca="false">SUMIFS(Generacion!$C:$C,Generacion!$A:$A,$A137,Generacion!$B:$B,D$2)</f>
        <v>0.0378709333951614</v>
      </c>
      <c r="E137" s="0" t="n">
        <f aca="false">SUMIFS(Generacion!$C:$C,Generacion!$A:$A,$A137,Generacion!$B:$B,E$2)</f>
        <v>0.0134494903646368</v>
      </c>
      <c r="F137" s="0" t="n">
        <f aca="false">SUMIFS(Generacion!$C:$C,Generacion!$A:$A,$A137,Generacion!$B:$B,F$2)</f>
        <v>0.00353933956964125</v>
      </c>
      <c r="G137" s="0" t="n">
        <f aca="false">SUMIFS(Generacion!$C:$C,Generacion!$A:$A,$A137,Generacion!$B:$B,G$2)</f>
        <v>0.00247753769874887</v>
      </c>
      <c r="H137" s="0" t="n">
        <f aca="false">SUMPRODUCT((AtractivoAlternativas!$A$2:$A$931=$A137)*AtractivoAlternativas!$C$2:$C$931*COUNTIFS(Alternativas!$A$2:$A$51,AtractivoAlternativas!$B$2:$B$931,Alternativas!$B$2:$B$51,H$2))</f>
        <v>1.01975420562339</v>
      </c>
      <c r="I137" s="0" t="n">
        <f aca="false">SUMPRODUCT((AtractivoAlternativas!$A$2:$A$931=$A137)*AtractivoAlternativas!$C$2:$C$931*COUNTIFS(Alternativas!$A$2:$A$51,AtractivoAlternativas!$B$2:$B$931,Alternativas!$B$2:$B$51,I$2))</f>
        <v>2.5055118156316</v>
      </c>
      <c r="J137" s="0" t="n">
        <f aca="false">SUMPRODUCT((AtractivoAlternativas!$A$2:$A$931=$A137)*AtractivoAlternativas!$C$2:$C$931*COUNTIFS(Alternativas!$A$2:$A$51,AtractivoAlternativas!$B$2:$B$931,Alternativas!$B$2:$B$51,J$2))</f>
        <v>0.597848951798026</v>
      </c>
      <c r="K137" s="0" t="n">
        <f aca="false">SUMPRODUCT((AtractivoAlternativas!$A$2:$A$931=$A137)*AtractivoAlternativas!$C$2:$C$931*COUNTIFS(Alternativas!$A$2:$A$51,AtractivoAlternativas!$B$2:$B$931,Alternativas!$B$2:$B$51,K$2))</f>
        <v>0</v>
      </c>
      <c r="L137" s="0" t="n">
        <f aca="false">SUMPRODUCT((AtractivoAlternativas!$A$2:$A$931=$A137)*AtractivoAlternativas!$C$2:$C$931*COUNTIFS(Alternativas!$A$2:$A$51,AtractivoAlternativas!$B$2:$B$931,Alternativas!$B$2:$B$51,L$2))</f>
        <v>0</v>
      </c>
      <c r="M137" s="0" t="n">
        <f aca="false">SUMIFS(AtractivoSitios!$C:$C,AtractivoSitios!$A:$A,$A137,AtractivoSitios!$B:$B,M$2)</f>
        <v>0.404073099416928</v>
      </c>
      <c r="N137" s="0" t="n">
        <f aca="false">SUMIFS(AtractivoSitios!$C:$C,AtractivoSitios!$A:$A,$A137,AtractivoSitios!$B:$B,N$2)</f>
        <v>0</v>
      </c>
      <c r="O137" s="0" t="n">
        <f aca="false">SUMIFS(AtractivoSitios!$C:$C,AtractivoSitios!$A:$A,$A137,AtractivoSitios!$B:$B,O$2)</f>
        <v>0</v>
      </c>
      <c r="P137" s="0" t="n">
        <f aca="false">SUMIFS(AtractivoSitios!$C:$C,AtractivoSitios!$A:$A,$A137,AtractivoSitios!$B:$B,P$2)</f>
        <v>0</v>
      </c>
      <c r="Q137" s="0" t="n">
        <f aca="false">SUMIFS(AtractivoSitios!$C:$C,AtractivoSitios!$A:$A,$A137,AtractivoSitios!$B:$B,Q$2)</f>
        <v>0.375536230381025</v>
      </c>
      <c r="R137" s="0" t="n">
        <f aca="false">SUMIFS(AtractivoSitios!$C:$C,AtractivoSitios!$A:$A,$A137,AtractivoSitios!$B:$B,R$2)</f>
        <v>0</v>
      </c>
      <c r="S137" s="0" t="n">
        <f aca="false">SUMIFS(AtractivoSitios!$C:$C,AtractivoSitios!$A:$A,$A137,AtractivoSitios!$B:$B,S$2)</f>
        <v>0</v>
      </c>
      <c r="T137" s="0" t="n">
        <f aca="false">SUM(M137:S137)</f>
        <v>0.779609329797953</v>
      </c>
      <c r="U137" s="0" t="n">
        <f aca="false">C137/(AD$4+H137+$T137)</f>
        <v>0.000191633999298658</v>
      </c>
      <c r="V137" s="0" t="n">
        <f aca="false">D137/(AE$4+I137+$T137)</f>
        <v>5.54416830217487E-005</v>
      </c>
      <c r="W137" s="0" t="n">
        <f aca="false">E137/(AF$4+J137+$T137)</f>
        <v>0.000317875913992326</v>
      </c>
      <c r="X137" s="0" t="n">
        <f aca="false">F137/(AG$4+K137+$T137)</f>
        <v>1.74023100917368E-005</v>
      </c>
      <c r="Y137" s="0" t="n">
        <f aca="false">G137/(AH$4+L137+$T137)</f>
        <v>1.07968138001531E-005</v>
      </c>
    </row>
    <row r="138" customFormat="false" ht="15" hidden="false" customHeight="false" outlineLevel="0" collapsed="false">
      <c r="A138" s="0" t="s">
        <v>184</v>
      </c>
      <c r="B138" s="0" t="n">
        <f aca="false">SUMIFS(Sectores!$C:$C,Sectores!$A:$A,$A138)</f>
        <v>4611</v>
      </c>
      <c r="C138" s="0" t="n">
        <f aca="false">SUMIFS(Generacion!$C:$C,Generacion!$A:$A,$A138,Generacion!$B:$B,C$2)</f>
        <v>0.0435338767065874</v>
      </c>
      <c r="D138" s="0" t="n">
        <f aca="false">SUMIFS(Generacion!$C:$C,Generacion!$A:$A,$A138,Generacion!$B:$B,D$2)</f>
        <v>0.0378709333951614</v>
      </c>
      <c r="E138" s="0" t="n">
        <f aca="false">SUMIFS(Generacion!$C:$C,Generacion!$A:$A,$A138,Generacion!$B:$B,E$2)</f>
        <v>0.0134494903646368</v>
      </c>
      <c r="F138" s="0" t="n">
        <f aca="false">SUMIFS(Generacion!$C:$C,Generacion!$A:$A,$A138,Generacion!$B:$B,F$2)</f>
        <v>0.00353933956964125</v>
      </c>
      <c r="G138" s="0" t="n">
        <f aca="false">SUMIFS(Generacion!$C:$C,Generacion!$A:$A,$A138,Generacion!$B:$B,G$2)</f>
        <v>0.00247753769874887</v>
      </c>
      <c r="H138" s="0" t="n">
        <f aca="false">SUMPRODUCT((AtractivoAlternativas!$A$2:$A$931=$A138)*AtractivoAlternativas!$C$2:$C$931*COUNTIFS(Alternativas!$A$2:$A$51,AtractivoAlternativas!$B$2:$B$931,Alternativas!$B$2:$B$51,H$2))</f>
        <v>1.06919281703174</v>
      </c>
      <c r="I138" s="0" t="n">
        <f aca="false">SUMPRODUCT((AtractivoAlternativas!$A$2:$A$931=$A138)*AtractivoAlternativas!$C$2:$C$931*COUNTIFS(Alternativas!$A$2:$A$51,AtractivoAlternativas!$B$2:$B$931,Alternativas!$B$2:$B$51,I$2))</f>
        <v>2.74952242385077</v>
      </c>
      <c r="J138" s="0" t="n">
        <f aca="false">SUMPRODUCT((AtractivoAlternativas!$A$2:$A$931=$A138)*AtractivoAlternativas!$C$2:$C$931*COUNTIFS(Alternativas!$A$2:$A$51,AtractivoAlternativas!$B$2:$B$931,Alternativas!$B$2:$B$51,J$2))</f>
        <v>1.00057281051748</v>
      </c>
      <c r="K138" s="0" t="n">
        <f aca="false">SUMPRODUCT((AtractivoAlternativas!$A$2:$A$931=$A138)*AtractivoAlternativas!$C$2:$C$931*COUNTIFS(Alternativas!$A$2:$A$51,AtractivoAlternativas!$B$2:$B$931,Alternativas!$B$2:$B$51,K$2))</f>
        <v>0</v>
      </c>
      <c r="L138" s="0" t="n">
        <f aca="false">SUMPRODUCT((AtractivoAlternativas!$A$2:$A$931=$A138)*AtractivoAlternativas!$C$2:$C$931*COUNTIFS(Alternativas!$A$2:$A$51,AtractivoAlternativas!$B$2:$B$931,Alternativas!$B$2:$B$51,L$2))</f>
        <v>0</v>
      </c>
      <c r="M138" s="0" t="n">
        <f aca="false">SUMIFS(AtractivoSitios!$C:$C,AtractivoSitios!$A:$A,$A138,AtractivoSitios!$B:$B,M$2)</f>
        <v>0.431543563314853</v>
      </c>
      <c r="N138" s="0" t="n">
        <f aca="false">SUMIFS(AtractivoSitios!$C:$C,AtractivoSitios!$A:$A,$A138,AtractivoSitios!$B:$B,N$2)</f>
        <v>0</v>
      </c>
      <c r="O138" s="0" t="n">
        <f aca="false">SUMIFS(AtractivoSitios!$C:$C,AtractivoSitios!$A:$A,$A138,AtractivoSitios!$B:$B,O$2)</f>
        <v>0</v>
      </c>
      <c r="P138" s="0" t="n">
        <f aca="false">SUMIFS(AtractivoSitios!$C:$C,AtractivoSitios!$A:$A,$A138,AtractivoSitios!$B:$B,P$2)</f>
        <v>0</v>
      </c>
      <c r="Q138" s="0" t="n">
        <f aca="false">SUMIFS(AtractivoSitios!$C:$C,AtractivoSitios!$A:$A,$A138,AtractivoSitios!$B:$B,Q$2)</f>
        <v>0</v>
      </c>
      <c r="R138" s="0" t="n">
        <f aca="false">SUMIFS(AtractivoSitios!$C:$C,AtractivoSitios!$A:$A,$A138,AtractivoSitios!$B:$B,R$2)</f>
        <v>0</v>
      </c>
      <c r="S138" s="0" t="n">
        <f aca="false">SUMIFS(AtractivoSitios!$C:$C,AtractivoSitios!$A:$A,$A138,AtractivoSitios!$B:$B,S$2)</f>
        <v>0</v>
      </c>
      <c r="T138" s="0" t="n">
        <f aca="false">SUM(M138:S138)</f>
        <v>0.431543563314853</v>
      </c>
      <c r="U138" s="0" t="n">
        <f aca="false">C138/(AD$4+H138+$T138)</f>
        <v>0.000191886241852205</v>
      </c>
      <c r="V138" s="0" t="n">
        <f aca="false">D138/(AE$4+I138+$T138)</f>
        <v>5.5450129906687E-005</v>
      </c>
      <c r="W138" s="0" t="n">
        <f aca="false">E138/(AF$4+J138+$T138)</f>
        <v>0.0003174658012991</v>
      </c>
      <c r="X138" s="0" t="n">
        <f aca="false">F138/(AG$4+K138+$T138)</f>
        <v>1.74321430804915E-005</v>
      </c>
      <c r="Y138" s="0" t="n">
        <f aca="false">G138/(AH$4+L138+$T138)</f>
        <v>1.081321560021E-005</v>
      </c>
    </row>
    <row r="139" customFormat="false" ht="15" hidden="false" customHeight="false" outlineLevel="0" collapsed="false">
      <c r="A139" s="0" t="s">
        <v>185</v>
      </c>
      <c r="B139" s="0" t="n">
        <f aca="false">SUMIFS(Sectores!$C:$C,Sectores!$A:$A,$A139)</f>
        <v>4793</v>
      </c>
      <c r="C139" s="0" t="n">
        <f aca="false">SUMIFS(Generacion!$C:$C,Generacion!$A:$A,$A139,Generacion!$B:$B,C$2)</f>
        <v>0.0435338767065874</v>
      </c>
      <c r="D139" s="0" t="n">
        <f aca="false">SUMIFS(Generacion!$C:$C,Generacion!$A:$A,$A139,Generacion!$B:$B,D$2)</f>
        <v>0.0378709333951614</v>
      </c>
      <c r="E139" s="0" t="n">
        <f aca="false">SUMIFS(Generacion!$C:$C,Generacion!$A:$A,$A139,Generacion!$B:$B,E$2)</f>
        <v>0.0134494903646368</v>
      </c>
      <c r="F139" s="0" t="n">
        <f aca="false">SUMIFS(Generacion!$C:$C,Generacion!$A:$A,$A139,Generacion!$B:$B,F$2)</f>
        <v>0.00353933956964125</v>
      </c>
      <c r="G139" s="0" t="n">
        <f aca="false">SUMIFS(Generacion!$C:$C,Generacion!$A:$A,$A139,Generacion!$B:$B,G$2)</f>
        <v>0.00247753769874887</v>
      </c>
      <c r="H139" s="0" t="n">
        <f aca="false">SUMPRODUCT((AtractivoAlternativas!$A$2:$A$931=$A139)*AtractivoAlternativas!$C$2:$C$931*COUNTIFS(Alternativas!$A$2:$A$51,AtractivoAlternativas!$B$2:$B$931,Alternativas!$B$2:$B$51,H$2))</f>
        <v>1.53716847765467</v>
      </c>
      <c r="I139" s="0" t="n">
        <f aca="false">SUMPRODUCT((AtractivoAlternativas!$A$2:$A$931=$A139)*AtractivoAlternativas!$C$2:$C$931*COUNTIFS(Alternativas!$A$2:$A$51,AtractivoAlternativas!$B$2:$B$931,Alternativas!$B$2:$B$51,I$2))</f>
        <v>3.42761689177257</v>
      </c>
      <c r="J139" s="0" t="n">
        <f aca="false">SUMPRODUCT((AtractivoAlternativas!$A$2:$A$931=$A139)*AtractivoAlternativas!$C$2:$C$931*COUNTIFS(Alternativas!$A$2:$A$51,AtractivoAlternativas!$B$2:$B$931,Alternativas!$B$2:$B$51,J$2))</f>
        <v>1.60011857666814</v>
      </c>
      <c r="K139" s="0" t="n">
        <f aca="false">SUMPRODUCT((AtractivoAlternativas!$A$2:$A$931=$A139)*AtractivoAlternativas!$C$2:$C$931*COUNTIFS(Alternativas!$A$2:$A$51,AtractivoAlternativas!$B$2:$B$931,Alternativas!$B$2:$B$51,K$2))</f>
        <v>0</v>
      </c>
      <c r="L139" s="0" t="n">
        <f aca="false">SUMPRODUCT((AtractivoAlternativas!$A$2:$A$931=$A139)*AtractivoAlternativas!$C$2:$C$931*COUNTIFS(Alternativas!$A$2:$A$51,AtractivoAlternativas!$B$2:$B$931,Alternativas!$B$2:$B$51,L$2))</f>
        <v>0</v>
      </c>
      <c r="M139" s="0" t="n">
        <f aca="false">SUMIFS(AtractivoSitios!$C:$C,AtractivoSitios!$A:$A,$A139,AtractivoSitios!$B:$B,M$2)</f>
        <v>0</v>
      </c>
      <c r="N139" s="0" t="n">
        <f aca="false">SUMIFS(AtractivoSitios!$C:$C,AtractivoSitios!$A:$A,$A139,AtractivoSitios!$B:$B,N$2)</f>
        <v>0</v>
      </c>
      <c r="O139" s="0" t="n">
        <f aca="false">SUMIFS(AtractivoSitios!$C:$C,AtractivoSitios!$A:$A,$A139,AtractivoSitios!$B:$B,O$2)</f>
        <v>0</v>
      </c>
      <c r="P139" s="0" t="n">
        <f aca="false">SUMIFS(AtractivoSitios!$C:$C,AtractivoSitios!$A:$A,$A139,AtractivoSitios!$B:$B,P$2)</f>
        <v>0</v>
      </c>
      <c r="Q139" s="0" t="n">
        <f aca="false">SUMIFS(AtractivoSitios!$C:$C,AtractivoSitios!$A:$A,$A139,AtractivoSitios!$B:$B,Q$2)</f>
        <v>0.373022656862956</v>
      </c>
      <c r="R139" s="0" t="n">
        <f aca="false">SUMIFS(AtractivoSitios!$C:$C,AtractivoSitios!$A:$A,$A139,AtractivoSitios!$B:$B,R$2)</f>
        <v>0</v>
      </c>
      <c r="S139" s="0" t="n">
        <f aca="false">SUMIFS(AtractivoSitios!$C:$C,AtractivoSitios!$A:$A,$A139,AtractivoSitios!$B:$B,S$2)</f>
        <v>0</v>
      </c>
      <c r="T139" s="0" t="n">
        <f aca="false">SUM(M139:S139)</f>
        <v>0.373022656862956</v>
      </c>
      <c r="U139" s="0" t="n">
        <f aca="false">C139/(AD$4+H139+$T139)</f>
        <v>0.000191540554768176</v>
      </c>
      <c r="V139" s="0" t="n">
        <f aca="false">D139/(AE$4+I139+$T139)</f>
        <v>5.53998727166432E-005</v>
      </c>
      <c r="W139" s="0" t="n">
        <f aca="false">E139/(AF$4+J139+$T139)</f>
        <v>0.00031346272156026</v>
      </c>
      <c r="X139" s="0" t="n">
        <f aca="false">F139/(AG$4+K139+$T139)</f>
        <v>1.74371690004929E-005</v>
      </c>
      <c r="Y139" s="0" t="n">
        <f aca="false">G139/(AH$4+L139+$T139)</f>
        <v>1.08159781584136E-005</v>
      </c>
    </row>
    <row r="140" customFormat="false" ht="15" hidden="false" customHeight="false" outlineLevel="0" collapsed="false">
      <c r="A140" s="0" t="s">
        <v>186</v>
      </c>
      <c r="B140" s="0" t="n">
        <f aca="false">SUMIFS(Sectores!$C:$C,Sectores!$A:$A,$A140)</f>
        <v>4908</v>
      </c>
      <c r="C140" s="0" t="n">
        <f aca="false">SUMIFS(Generacion!$C:$C,Generacion!$A:$A,$A140,Generacion!$B:$B,C$2)</f>
        <v>0.0435338767065874</v>
      </c>
      <c r="D140" s="0" t="n">
        <f aca="false">SUMIFS(Generacion!$C:$C,Generacion!$A:$A,$A140,Generacion!$B:$B,D$2)</f>
        <v>0.0378709333951614</v>
      </c>
      <c r="E140" s="0" t="n">
        <f aca="false">SUMIFS(Generacion!$C:$C,Generacion!$A:$A,$A140,Generacion!$B:$B,E$2)</f>
        <v>0.0134494903646368</v>
      </c>
      <c r="F140" s="0" t="n">
        <f aca="false">SUMIFS(Generacion!$C:$C,Generacion!$A:$A,$A140,Generacion!$B:$B,F$2)</f>
        <v>0.00353933956964125</v>
      </c>
      <c r="G140" s="0" t="n">
        <f aca="false">SUMIFS(Generacion!$C:$C,Generacion!$A:$A,$A140,Generacion!$B:$B,G$2)</f>
        <v>0.00247753769874887</v>
      </c>
      <c r="H140" s="0" t="n">
        <f aca="false">SUMPRODUCT((AtractivoAlternativas!$A$2:$A$931=$A140)*AtractivoAlternativas!$C$2:$C$931*COUNTIFS(Alternativas!$A$2:$A$51,AtractivoAlternativas!$B$2:$B$931,Alternativas!$B$2:$B$51,H$2))</f>
        <v>1.39877650775929</v>
      </c>
      <c r="I140" s="0" t="n">
        <f aca="false">SUMPRODUCT((AtractivoAlternativas!$A$2:$A$931=$A140)*AtractivoAlternativas!$C$2:$C$931*COUNTIFS(Alternativas!$A$2:$A$51,AtractivoAlternativas!$B$2:$B$931,Alternativas!$B$2:$B$51,I$2))</f>
        <v>3.53585680040583</v>
      </c>
      <c r="J140" s="0" t="n">
        <f aca="false">SUMPRODUCT((AtractivoAlternativas!$A$2:$A$931=$A140)*AtractivoAlternativas!$C$2:$C$931*COUNTIFS(Alternativas!$A$2:$A$51,AtractivoAlternativas!$B$2:$B$931,Alternativas!$B$2:$B$51,J$2))</f>
        <v>2.27584904026228</v>
      </c>
      <c r="K140" s="0" t="n">
        <f aca="false">SUMPRODUCT((AtractivoAlternativas!$A$2:$A$931=$A140)*AtractivoAlternativas!$C$2:$C$931*COUNTIFS(Alternativas!$A$2:$A$51,AtractivoAlternativas!$B$2:$B$931,Alternativas!$B$2:$B$51,K$2))</f>
        <v>0</v>
      </c>
      <c r="L140" s="0" t="n">
        <f aca="false">SUMPRODUCT((AtractivoAlternativas!$A$2:$A$931=$A140)*AtractivoAlternativas!$C$2:$C$931*COUNTIFS(Alternativas!$A$2:$A$51,AtractivoAlternativas!$B$2:$B$931,Alternativas!$B$2:$B$51,L$2))</f>
        <v>0</v>
      </c>
      <c r="M140" s="0" t="n">
        <f aca="false">SUMIFS(AtractivoSitios!$C:$C,AtractivoSitios!$A:$A,$A140,AtractivoSitios!$B:$B,M$2)</f>
        <v>0</v>
      </c>
      <c r="N140" s="0" t="n">
        <f aca="false">SUMIFS(AtractivoSitios!$C:$C,AtractivoSitios!$A:$A,$A140,AtractivoSitios!$B:$B,N$2)</f>
        <v>0</v>
      </c>
      <c r="O140" s="0" t="n">
        <f aca="false">SUMIFS(AtractivoSitios!$C:$C,AtractivoSitios!$A:$A,$A140,AtractivoSitios!$B:$B,O$2)</f>
        <v>0</v>
      </c>
      <c r="P140" s="0" t="n">
        <f aca="false">SUMIFS(AtractivoSitios!$C:$C,AtractivoSitios!$A:$A,$A140,AtractivoSitios!$B:$B,P$2)</f>
        <v>0</v>
      </c>
      <c r="Q140" s="0" t="n">
        <f aca="false">SUMIFS(AtractivoSitios!$C:$C,AtractivoSitios!$A:$A,$A140,AtractivoSitios!$B:$B,Q$2)</f>
        <v>0.408584772750676</v>
      </c>
      <c r="R140" s="0" t="n">
        <f aca="false">SUMIFS(AtractivoSitios!$C:$C,AtractivoSitios!$A:$A,$A140,AtractivoSitios!$B:$B,R$2)</f>
        <v>0</v>
      </c>
      <c r="S140" s="0" t="n">
        <f aca="false">SUMIFS(AtractivoSitios!$C:$C,AtractivoSitios!$A:$A,$A140,AtractivoSitios!$B:$B,S$2)</f>
        <v>0</v>
      </c>
      <c r="T140" s="0" t="n">
        <f aca="false">SUM(M140:S140)</f>
        <v>0.408584772750676</v>
      </c>
      <c r="U140" s="0" t="n">
        <f aca="false">C140/(AD$4+H140+$T140)</f>
        <v>0.000191627252930277</v>
      </c>
      <c r="V140" s="0" t="n">
        <f aca="false">D140/(AE$4+I140+$T140)</f>
        <v>5.53882211271452E-005</v>
      </c>
      <c r="W140" s="0" t="n">
        <f aca="false">E140/(AF$4+J140+$T140)</f>
        <v>0.000308350924491293</v>
      </c>
      <c r="X140" s="0" t="n">
        <f aca="false">F140/(AG$4+K140+$T140)</f>
        <v>1.74341144927396E-005</v>
      </c>
      <c r="Y140" s="0" t="n">
        <f aca="false">G140/(AH$4+L140+$T140)</f>
        <v>1.08142992326044E-005</v>
      </c>
    </row>
    <row r="141" customFormat="false" ht="15" hidden="false" customHeight="false" outlineLevel="0" collapsed="false">
      <c r="A141" s="0" t="s">
        <v>187</v>
      </c>
      <c r="B141" s="0" t="n">
        <f aca="false">SUMIFS(Sectores!$C:$C,Sectores!$A:$A,$A141)</f>
        <v>3866</v>
      </c>
      <c r="C141" s="0" t="n">
        <f aca="false">SUMIFS(Generacion!$C:$C,Generacion!$A:$A,$A141,Generacion!$B:$B,C$2)</f>
        <v>0.0435338767065874</v>
      </c>
      <c r="D141" s="0" t="n">
        <f aca="false">SUMIFS(Generacion!$C:$C,Generacion!$A:$A,$A141,Generacion!$B:$B,D$2)</f>
        <v>0.0378709333951614</v>
      </c>
      <c r="E141" s="0" t="n">
        <f aca="false">SUMIFS(Generacion!$C:$C,Generacion!$A:$A,$A141,Generacion!$B:$B,E$2)</f>
        <v>0.0134494903646368</v>
      </c>
      <c r="F141" s="0" t="n">
        <f aca="false">SUMIFS(Generacion!$C:$C,Generacion!$A:$A,$A141,Generacion!$B:$B,F$2)</f>
        <v>0.00353933956964125</v>
      </c>
      <c r="G141" s="0" t="n">
        <f aca="false">SUMIFS(Generacion!$C:$C,Generacion!$A:$A,$A141,Generacion!$B:$B,G$2)</f>
        <v>0.00247753769874887</v>
      </c>
      <c r="H141" s="0" t="n">
        <f aca="false">SUMPRODUCT((AtractivoAlternativas!$A$2:$A$931=$A141)*AtractivoAlternativas!$C$2:$C$931*COUNTIFS(Alternativas!$A$2:$A$51,AtractivoAlternativas!$B$2:$B$931,Alternativas!$B$2:$B$51,H$2))</f>
        <v>0.932016482945391</v>
      </c>
      <c r="I141" s="0" t="n">
        <f aca="false">SUMPRODUCT((AtractivoAlternativas!$A$2:$A$931=$A141)*AtractivoAlternativas!$C$2:$C$931*COUNTIFS(Alternativas!$A$2:$A$51,AtractivoAlternativas!$B$2:$B$931,Alternativas!$B$2:$B$51,I$2))</f>
        <v>3.13096356936043</v>
      </c>
      <c r="J141" s="0" t="n">
        <f aca="false">SUMPRODUCT((AtractivoAlternativas!$A$2:$A$931=$A141)*AtractivoAlternativas!$C$2:$C$931*COUNTIFS(Alternativas!$A$2:$A$51,AtractivoAlternativas!$B$2:$B$931,Alternativas!$B$2:$B$51,J$2))</f>
        <v>0.546255026315158</v>
      </c>
      <c r="K141" s="0" t="n">
        <f aca="false">SUMPRODUCT((AtractivoAlternativas!$A$2:$A$931=$A141)*AtractivoAlternativas!$C$2:$C$931*COUNTIFS(Alternativas!$A$2:$A$51,AtractivoAlternativas!$B$2:$B$931,Alternativas!$B$2:$B$51,K$2))</f>
        <v>0</v>
      </c>
      <c r="L141" s="0" t="n">
        <f aca="false">SUMPRODUCT((AtractivoAlternativas!$A$2:$A$931=$A141)*AtractivoAlternativas!$C$2:$C$931*COUNTIFS(Alternativas!$A$2:$A$51,AtractivoAlternativas!$B$2:$B$931,Alternativas!$B$2:$B$51,L$2))</f>
        <v>0</v>
      </c>
      <c r="M141" s="0" t="n">
        <f aca="false">SUMIFS(AtractivoSitios!$C:$C,AtractivoSitios!$A:$A,$A141,AtractivoSitios!$B:$B,M$2)</f>
        <v>0.390934560351263</v>
      </c>
      <c r="N141" s="0" t="n">
        <f aca="false">SUMIFS(AtractivoSitios!$C:$C,AtractivoSitios!$A:$A,$A141,AtractivoSitios!$B:$B,N$2)</f>
        <v>0</v>
      </c>
      <c r="O141" s="0" t="n">
        <f aca="false">SUMIFS(AtractivoSitios!$C:$C,AtractivoSitios!$A:$A,$A141,AtractivoSitios!$B:$B,O$2)</f>
        <v>0</v>
      </c>
      <c r="P141" s="0" t="n">
        <f aca="false">SUMIFS(AtractivoSitios!$C:$C,AtractivoSitios!$A:$A,$A141,AtractivoSitios!$B:$B,P$2)</f>
        <v>0</v>
      </c>
      <c r="Q141" s="0" t="n">
        <f aca="false">SUMIFS(AtractivoSitios!$C:$C,AtractivoSitios!$A:$A,$A141,AtractivoSitios!$B:$B,Q$2)</f>
        <v>0.408197145181251</v>
      </c>
      <c r="R141" s="0" t="n">
        <f aca="false">SUMIFS(AtractivoSitios!$C:$C,AtractivoSitios!$A:$A,$A141,AtractivoSitios!$B:$B,R$2)</f>
        <v>0</v>
      </c>
      <c r="S141" s="0" t="n">
        <f aca="false">SUMIFS(AtractivoSitios!$C:$C,AtractivoSitios!$A:$A,$A141,AtractivoSitios!$B:$B,S$2)</f>
        <v>0</v>
      </c>
      <c r="T141" s="0" t="n">
        <f aca="false">SUM(M141:S141)</f>
        <v>0.799131705532514</v>
      </c>
      <c r="U141" s="0" t="n">
        <f aca="false">C141/(AD$4+H141+$T141)</f>
        <v>0.000191691560560456</v>
      </c>
      <c r="V141" s="0" t="n">
        <f aca="false">D141/(AE$4+I141+$T141)</f>
        <v>5.53893833189101E-005</v>
      </c>
      <c r="W141" s="0" t="n">
        <f aca="false">E141/(AF$4+J141+$T141)</f>
        <v>0.000318117048121974</v>
      </c>
      <c r="X141" s="0" t="n">
        <f aca="false">F141/(AG$4+K141+$T141)</f>
        <v>1.74006398375977E-005</v>
      </c>
      <c r="Y141" s="0" t="n">
        <f aca="false">G141/(AH$4+L141+$T141)</f>
        <v>1.07958953265645E-005</v>
      </c>
    </row>
    <row r="142" customFormat="false" ht="15" hidden="false" customHeight="false" outlineLevel="0" collapsed="false">
      <c r="A142" s="0" t="s">
        <v>188</v>
      </c>
      <c r="B142" s="0" t="n">
        <f aca="false">SUMIFS(Sectores!$C:$C,Sectores!$A:$A,$A142)</f>
        <v>4056</v>
      </c>
      <c r="C142" s="0" t="n">
        <f aca="false">SUMIFS(Generacion!$C:$C,Generacion!$A:$A,$A142,Generacion!$B:$B,C$2)</f>
        <v>0.0435338767065874</v>
      </c>
      <c r="D142" s="0" t="n">
        <f aca="false">SUMIFS(Generacion!$C:$C,Generacion!$A:$A,$A142,Generacion!$B:$B,D$2)</f>
        <v>0.0378709333951614</v>
      </c>
      <c r="E142" s="0" t="n">
        <f aca="false">SUMIFS(Generacion!$C:$C,Generacion!$A:$A,$A142,Generacion!$B:$B,E$2)</f>
        <v>0.0134494903646368</v>
      </c>
      <c r="F142" s="0" t="n">
        <f aca="false">SUMIFS(Generacion!$C:$C,Generacion!$A:$A,$A142,Generacion!$B:$B,F$2)</f>
        <v>0.00353933956964125</v>
      </c>
      <c r="G142" s="0" t="n">
        <f aca="false">SUMIFS(Generacion!$C:$C,Generacion!$A:$A,$A142,Generacion!$B:$B,G$2)</f>
        <v>0.00247753769874887</v>
      </c>
      <c r="H142" s="0" t="n">
        <f aca="false">SUMPRODUCT((AtractivoAlternativas!$A$2:$A$931=$A142)*AtractivoAlternativas!$C$2:$C$931*COUNTIFS(Alternativas!$A$2:$A$51,AtractivoAlternativas!$B$2:$B$931,Alternativas!$B$2:$B$51,H$2))</f>
        <v>0.686717410741224</v>
      </c>
      <c r="I142" s="0" t="n">
        <f aca="false">SUMPRODUCT((AtractivoAlternativas!$A$2:$A$931=$A142)*AtractivoAlternativas!$C$2:$C$931*COUNTIFS(Alternativas!$A$2:$A$51,AtractivoAlternativas!$B$2:$B$931,Alternativas!$B$2:$B$51,I$2))</f>
        <v>1.48908166442643</v>
      </c>
      <c r="J142" s="0" t="n">
        <f aca="false">SUMPRODUCT((AtractivoAlternativas!$A$2:$A$931=$A142)*AtractivoAlternativas!$C$2:$C$931*COUNTIFS(Alternativas!$A$2:$A$51,AtractivoAlternativas!$B$2:$B$931,Alternativas!$B$2:$B$51,J$2))</f>
        <v>0.686717410741224</v>
      </c>
      <c r="K142" s="0" t="n">
        <f aca="false">SUMPRODUCT((AtractivoAlternativas!$A$2:$A$931=$A142)*AtractivoAlternativas!$C$2:$C$931*COUNTIFS(Alternativas!$A$2:$A$51,AtractivoAlternativas!$B$2:$B$931,Alternativas!$B$2:$B$51,K$2))</f>
        <v>0</v>
      </c>
      <c r="L142" s="0" t="n">
        <f aca="false">SUMPRODUCT((AtractivoAlternativas!$A$2:$A$931=$A142)*AtractivoAlternativas!$C$2:$C$931*COUNTIFS(Alternativas!$A$2:$A$51,AtractivoAlternativas!$B$2:$B$931,Alternativas!$B$2:$B$51,L$2))</f>
        <v>0</v>
      </c>
      <c r="M142" s="0" t="n">
        <f aca="false">SUMIFS(AtractivoSitios!$C:$C,AtractivoSitios!$A:$A,$A142,AtractivoSitios!$B:$B,M$2)</f>
        <v>0</v>
      </c>
      <c r="N142" s="0" t="n">
        <f aca="false">SUMIFS(AtractivoSitios!$C:$C,AtractivoSitios!$A:$A,$A142,AtractivoSitios!$B:$B,N$2)</f>
        <v>0</v>
      </c>
      <c r="O142" s="0" t="n">
        <f aca="false">SUMIFS(AtractivoSitios!$C:$C,AtractivoSitios!$A:$A,$A142,AtractivoSitios!$B:$B,O$2)</f>
        <v>0</v>
      </c>
      <c r="P142" s="0" t="n">
        <f aca="false">SUMIFS(AtractivoSitios!$C:$C,AtractivoSitios!$A:$A,$A142,AtractivoSitios!$B:$B,P$2)</f>
        <v>0</v>
      </c>
      <c r="Q142" s="0" t="n">
        <f aca="false">SUMIFS(AtractivoSitios!$C:$C,AtractivoSitios!$A:$A,$A142,AtractivoSitios!$B:$B,Q$2)</f>
        <v>0.518403822130378</v>
      </c>
      <c r="R142" s="0" t="n">
        <f aca="false">SUMIFS(AtractivoSitios!$C:$C,AtractivoSitios!$A:$A,$A142,AtractivoSitios!$B:$B,R$2)</f>
        <v>0</v>
      </c>
      <c r="S142" s="0" t="n">
        <f aca="false">SUMIFS(AtractivoSitios!$C:$C,AtractivoSitios!$A:$A,$A142,AtractivoSitios!$B:$B,S$2)</f>
        <v>0</v>
      </c>
      <c r="T142" s="0" t="n">
        <f aca="false">SUM(M142:S142)</f>
        <v>0.518403822130378</v>
      </c>
      <c r="U142" s="0" t="n">
        <f aca="false">C142/(AD$4+H142+$T142)</f>
        <v>0.000192136595122141</v>
      </c>
      <c r="V142" s="0" t="n">
        <f aca="false">D142/(AE$4+I142+$T142)</f>
        <v>5.55455761676102E-005</v>
      </c>
      <c r="W142" s="0" t="n">
        <f aca="false">E142/(AF$4+J142+$T142)</f>
        <v>0.000319175965700405</v>
      </c>
      <c r="X142" s="0" t="n">
        <f aca="false">F142/(AG$4+K142+$T142)</f>
        <v>1.74246886461115E-005</v>
      </c>
      <c r="Y142" s="0" t="n">
        <f aca="false">G142/(AH$4+L142+$T142)</f>
        <v>1.08091178454676E-005</v>
      </c>
    </row>
    <row r="143" customFormat="false" ht="15" hidden="false" customHeight="false" outlineLevel="0" collapsed="false">
      <c r="A143" s="0" t="s">
        <v>189</v>
      </c>
      <c r="B143" s="0" t="n">
        <f aca="false">SUMIFS(Sectores!$C:$C,Sectores!$A:$A,$A143)</f>
        <v>3791</v>
      </c>
      <c r="C143" s="0" t="n">
        <f aca="false">SUMIFS(Generacion!$C:$C,Generacion!$A:$A,$A143,Generacion!$B:$B,C$2)</f>
        <v>0.0435338767065874</v>
      </c>
      <c r="D143" s="0" t="n">
        <f aca="false">SUMIFS(Generacion!$C:$C,Generacion!$A:$A,$A143,Generacion!$B:$B,D$2)</f>
        <v>0.0378709333951614</v>
      </c>
      <c r="E143" s="0" t="n">
        <f aca="false">SUMIFS(Generacion!$C:$C,Generacion!$A:$A,$A143,Generacion!$B:$B,E$2)</f>
        <v>0.0134494903646368</v>
      </c>
      <c r="F143" s="0" t="n">
        <f aca="false">SUMIFS(Generacion!$C:$C,Generacion!$A:$A,$A143,Generacion!$B:$B,F$2)</f>
        <v>0.00353933956964125</v>
      </c>
      <c r="G143" s="0" t="n">
        <f aca="false">SUMIFS(Generacion!$C:$C,Generacion!$A:$A,$A143,Generacion!$B:$B,G$2)</f>
        <v>0.00247753769874887</v>
      </c>
      <c r="H143" s="0" t="n">
        <f aca="false">SUMPRODUCT((AtractivoAlternativas!$A$2:$A$931=$A143)*AtractivoAlternativas!$C$2:$C$931*COUNTIFS(Alternativas!$A$2:$A$51,AtractivoAlternativas!$B$2:$B$931,Alternativas!$B$2:$B$51,H$2))</f>
        <v>0.774574993536843</v>
      </c>
      <c r="I143" s="0" t="n">
        <f aca="false">SUMPRODUCT((AtractivoAlternativas!$A$2:$A$931=$A143)*AtractivoAlternativas!$C$2:$C$931*COUNTIFS(Alternativas!$A$2:$A$51,AtractivoAlternativas!$B$2:$B$931,Alternativas!$B$2:$B$51,I$2))</f>
        <v>2.39836752172639</v>
      </c>
      <c r="J143" s="0" t="n">
        <f aca="false">SUMPRODUCT((AtractivoAlternativas!$A$2:$A$931=$A143)*AtractivoAlternativas!$C$2:$C$931*COUNTIFS(Alternativas!$A$2:$A$51,AtractivoAlternativas!$B$2:$B$931,Alternativas!$B$2:$B$51,J$2))</f>
        <v>0.774574993536843</v>
      </c>
      <c r="K143" s="0" t="n">
        <f aca="false">SUMPRODUCT((AtractivoAlternativas!$A$2:$A$931=$A143)*AtractivoAlternativas!$C$2:$C$931*COUNTIFS(Alternativas!$A$2:$A$51,AtractivoAlternativas!$B$2:$B$931,Alternativas!$B$2:$B$51,K$2))</f>
        <v>0</v>
      </c>
      <c r="L143" s="0" t="n">
        <f aca="false">SUMPRODUCT((AtractivoAlternativas!$A$2:$A$931=$A143)*AtractivoAlternativas!$C$2:$C$931*COUNTIFS(Alternativas!$A$2:$A$51,AtractivoAlternativas!$B$2:$B$931,Alternativas!$B$2:$B$51,L$2))</f>
        <v>0</v>
      </c>
      <c r="M143" s="0" t="n">
        <f aca="false">SUMIFS(AtractivoSitios!$C:$C,AtractivoSitios!$A:$A,$A143,AtractivoSitios!$B:$B,M$2)</f>
        <v>0</v>
      </c>
      <c r="N143" s="0" t="n">
        <f aca="false">SUMIFS(AtractivoSitios!$C:$C,AtractivoSitios!$A:$A,$A143,AtractivoSitios!$B:$B,N$2)</f>
        <v>0</v>
      </c>
      <c r="O143" s="0" t="n">
        <f aca="false">SUMIFS(AtractivoSitios!$C:$C,AtractivoSitios!$A:$A,$A143,AtractivoSitios!$B:$B,O$2)</f>
        <v>0</v>
      </c>
      <c r="P143" s="0" t="n">
        <f aca="false">SUMIFS(AtractivoSitios!$C:$C,AtractivoSitios!$A:$A,$A143,AtractivoSitios!$B:$B,P$2)</f>
        <v>0</v>
      </c>
      <c r="Q143" s="0" t="n">
        <f aca="false">SUMIFS(AtractivoSitios!$C:$C,AtractivoSitios!$A:$A,$A143,AtractivoSitios!$B:$B,Q$2)</f>
        <v>0.459747497045438</v>
      </c>
      <c r="R143" s="0" t="n">
        <f aca="false">SUMIFS(AtractivoSitios!$C:$C,AtractivoSitios!$A:$A,$A143,AtractivoSitios!$B:$B,R$2)</f>
        <v>0</v>
      </c>
      <c r="S143" s="0" t="n">
        <f aca="false">SUMIFS(AtractivoSitios!$C:$C,AtractivoSitios!$A:$A,$A143,AtractivoSitios!$B:$B,S$2)</f>
        <v>0</v>
      </c>
      <c r="T143" s="0" t="n">
        <f aca="false">SUM(M143:S143)</f>
        <v>0.459747497045438</v>
      </c>
      <c r="U143" s="0" t="n">
        <f aca="false">C143/(AD$4+H143+$T143)</f>
        <v>0.000192111835818466</v>
      </c>
      <c r="V143" s="0" t="n">
        <f aca="false">D143/(AE$4+I143+$T143)</f>
        <v>5.54763624940061E-005</v>
      </c>
      <c r="W143" s="0" t="n">
        <f aca="false">E143/(AF$4+J143+$T143)</f>
        <v>0.000318954933659219</v>
      </c>
      <c r="X143" s="0" t="n">
        <f aca="false">F143/(AG$4+K143+$T143)</f>
        <v>1.74297218914839E-005</v>
      </c>
      <c r="Y143" s="0" t="n">
        <f aca="false">G143/(AH$4+L143+$T143)</f>
        <v>1.08118846994228E-005</v>
      </c>
    </row>
    <row r="144" customFormat="false" ht="15" hidden="false" customHeight="false" outlineLevel="0" collapsed="false">
      <c r="A144" s="0" t="s">
        <v>190</v>
      </c>
      <c r="B144" s="0" t="n">
        <f aca="false">SUMIFS(Sectores!$C:$C,Sectores!$A:$A,$A144)</f>
        <v>4166</v>
      </c>
      <c r="C144" s="0" t="n">
        <f aca="false">SUMIFS(Generacion!$C:$C,Generacion!$A:$A,$A144,Generacion!$B:$B,C$2)</f>
        <v>0.0435338767065874</v>
      </c>
      <c r="D144" s="0" t="n">
        <f aca="false">SUMIFS(Generacion!$C:$C,Generacion!$A:$A,$A144,Generacion!$B:$B,D$2)</f>
        <v>0.0378709333951614</v>
      </c>
      <c r="E144" s="0" t="n">
        <f aca="false">SUMIFS(Generacion!$C:$C,Generacion!$A:$A,$A144,Generacion!$B:$B,E$2)</f>
        <v>0.0134494903646368</v>
      </c>
      <c r="F144" s="0" t="n">
        <f aca="false">SUMIFS(Generacion!$C:$C,Generacion!$A:$A,$A144,Generacion!$B:$B,F$2)</f>
        <v>0.00353933956964125</v>
      </c>
      <c r="G144" s="0" t="n">
        <f aca="false">SUMIFS(Generacion!$C:$C,Generacion!$A:$A,$A144,Generacion!$B:$B,G$2)</f>
        <v>0.00247753769874887</v>
      </c>
      <c r="H144" s="0" t="n">
        <f aca="false">SUMPRODUCT((AtractivoAlternativas!$A$2:$A$931=$A144)*AtractivoAlternativas!$C$2:$C$931*COUNTIFS(Alternativas!$A$2:$A$51,AtractivoAlternativas!$B$2:$B$931,Alternativas!$B$2:$B$51,H$2))</f>
        <v>0.627983194904545</v>
      </c>
      <c r="I144" s="0" t="n">
        <f aca="false">SUMPRODUCT((AtractivoAlternativas!$A$2:$A$931=$A144)*AtractivoAlternativas!$C$2:$C$931*COUNTIFS(Alternativas!$A$2:$A$51,AtractivoAlternativas!$B$2:$B$931,Alternativas!$B$2:$B$51,I$2))</f>
        <v>1.43003170356284</v>
      </c>
      <c r="J144" s="0" t="n">
        <f aca="false">SUMPRODUCT((AtractivoAlternativas!$A$2:$A$931=$A144)*AtractivoAlternativas!$C$2:$C$931*COUNTIFS(Alternativas!$A$2:$A$51,AtractivoAlternativas!$B$2:$B$931,Alternativas!$B$2:$B$51,J$2))</f>
        <v>0.627983194904545</v>
      </c>
      <c r="K144" s="0" t="n">
        <f aca="false">SUMPRODUCT((AtractivoAlternativas!$A$2:$A$931=$A144)*AtractivoAlternativas!$C$2:$C$931*COUNTIFS(Alternativas!$A$2:$A$51,AtractivoAlternativas!$B$2:$B$931,Alternativas!$B$2:$B$51,K$2))</f>
        <v>0</v>
      </c>
      <c r="L144" s="0" t="n">
        <f aca="false">SUMPRODUCT((AtractivoAlternativas!$A$2:$A$931=$A144)*AtractivoAlternativas!$C$2:$C$931*COUNTIFS(Alternativas!$A$2:$A$51,AtractivoAlternativas!$B$2:$B$931,Alternativas!$B$2:$B$51,L$2))</f>
        <v>0</v>
      </c>
      <c r="M144" s="0" t="n">
        <f aca="false">SUMIFS(AtractivoSitios!$C:$C,AtractivoSitios!$A:$A,$A144,AtractivoSitios!$B:$B,M$2)</f>
        <v>0</v>
      </c>
      <c r="N144" s="0" t="n">
        <f aca="false">SUMIFS(AtractivoSitios!$C:$C,AtractivoSitios!$A:$A,$A144,AtractivoSitios!$B:$B,N$2)</f>
        <v>0</v>
      </c>
      <c r="O144" s="0" t="n">
        <f aca="false">SUMIFS(AtractivoSitios!$C:$C,AtractivoSitios!$A:$A,$A144,AtractivoSitios!$B:$B,O$2)</f>
        <v>0</v>
      </c>
      <c r="P144" s="0" t="n">
        <f aca="false">SUMIFS(AtractivoSitios!$C:$C,AtractivoSitios!$A:$A,$A144,AtractivoSitios!$B:$B,P$2)</f>
        <v>0</v>
      </c>
      <c r="Q144" s="0" t="n">
        <f aca="false">SUMIFS(AtractivoSitios!$C:$C,AtractivoSitios!$A:$A,$A144,AtractivoSitios!$B:$B,Q$2)</f>
        <v>0.652218459282004</v>
      </c>
      <c r="R144" s="0" t="n">
        <f aca="false">SUMIFS(AtractivoSitios!$C:$C,AtractivoSitios!$A:$A,$A144,AtractivoSitios!$B:$B,R$2)</f>
        <v>0</v>
      </c>
      <c r="S144" s="0" t="n">
        <f aca="false">SUMIFS(AtractivoSitios!$C:$C,AtractivoSitios!$A:$A,$A144,AtractivoSitios!$B:$B,S$2)</f>
        <v>0</v>
      </c>
      <c r="T144" s="0" t="n">
        <f aca="false">SUM(M144:S144)</f>
        <v>0.652218459282004</v>
      </c>
      <c r="U144" s="0" t="n">
        <f aca="false">C144/(AD$4+H144+$T144)</f>
        <v>0.00019207294845724</v>
      </c>
      <c r="V144" s="0" t="n">
        <f aca="false">D144/(AE$4+I144+$T144)</f>
        <v>5.5539485824236E-005</v>
      </c>
      <c r="W144" s="0" t="n">
        <f aca="false">E144/(AF$4+J144+$T144)</f>
        <v>0.000318608279794872</v>
      </c>
      <c r="X144" s="0" t="n">
        <f aca="false">F144/(AG$4+K144+$T144)</f>
        <v>1.74132170082604E-005</v>
      </c>
      <c r="Y144" s="0" t="n">
        <f aca="false">G144/(AH$4+L144+$T144)</f>
        <v>1.08028110262828E-005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0" t="s">
        <v>361</v>
      </c>
      <c r="B1" s="0" t="s">
        <v>237</v>
      </c>
      <c r="C1" s="0" t="s">
        <v>362</v>
      </c>
      <c r="D1" s="0" t="s">
        <v>363</v>
      </c>
    </row>
    <row r="2" customFormat="false" ht="15" hidden="false" customHeight="false" outlineLevel="0" collapsed="false">
      <c r="A2" s="0" t="s">
        <v>45</v>
      </c>
      <c r="B2" s="0" t="s">
        <v>42</v>
      </c>
      <c r="C2" s="0" t="n">
        <v>5.96</v>
      </c>
      <c r="D2" s="0" t="n">
        <v>4.01</v>
      </c>
    </row>
    <row r="3" customFormat="false" ht="15" hidden="false" customHeight="false" outlineLevel="0" collapsed="false">
      <c r="A3" s="0" t="s">
        <v>47</v>
      </c>
      <c r="B3" s="0" t="s">
        <v>42</v>
      </c>
      <c r="C3" s="0" t="n">
        <v>6.18</v>
      </c>
      <c r="D3" s="0" t="n">
        <v>3.65</v>
      </c>
    </row>
    <row r="4" customFormat="false" ht="15" hidden="false" customHeight="false" outlineLevel="0" collapsed="false">
      <c r="A4" s="0" t="s">
        <v>48</v>
      </c>
      <c r="B4" s="0" t="s">
        <v>42</v>
      </c>
      <c r="C4" s="0" t="n">
        <v>4.94</v>
      </c>
      <c r="D4" s="0" t="n">
        <v>3.65</v>
      </c>
    </row>
    <row r="5" customFormat="false" ht="15" hidden="false" customHeight="false" outlineLevel="0" collapsed="false">
      <c r="A5" s="0" t="s">
        <v>49</v>
      </c>
      <c r="B5" s="0" t="s">
        <v>42</v>
      </c>
      <c r="C5" s="0" t="n">
        <v>5.49</v>
      </c>
      <c r="D5" s="0" t="n">
        <v>3.93</v>
      </c>
    </row>
    <row r="6" customFormat="false" ht="15" hidden="false" customHeight="false" outlineLevel="0" collapsed="false">
      <c r="A6" s="0" t="s">
        <v>50</v>
      </c>
      <c r="B6" s="0" t="s">
        <v>42</v>
      </c>
      <c r="C6" s="0" t="n">
        <v>5.5</v>
      </c>
      <c r="D6" s="0" t="n">
        <v>3.59</v>
      </c>
    </row>
    <row r="7" customFormat="false" ht="15" hidden="false" customHeight="false" outlineLevel="0" collapsed="false">
      <c r="A7" s="0" t="s">
        <v>51</v>
      </c>
      <c r="B7" s="0" t="s">
        <v>42</v>
      </c>
      <c r="C7" s="0" t="n">
        <v>6.41</v>
      </c>
      <c r="D7" s="0" t="n">
        <v>4.03</v>
      </c>
    </row>
    <row r="8" customFormat="false" ht="15" hidden="false" customHeight="false" outlineLevel="0" collapsed="false">
      <c r="A8" s="0" t="s">
        <v>52</v>
      </c>
      <c r="B8" s="0" t="s">
        <v>42</v>
      </c>
      <c r="C8" s="0" t="n">
        <v>6.18</v>
      </c>
      <c r="D8" s="0" t="n">
        <v>9.91</v>
      </c>
    </row>
    <row r="9" customFormat="false" ht="15" hidden="false" customHeight="false" outlineLevel="0" collapsed="false">
      <c r="A9" s="0" t="s">
        <v>54</v>
      </c>
      <c r="B9" s="0" t="s">
        <v>42</v>
      </c>
      <c r="C9" s="0" t="n">
        <v>8</v>
      </c>
      <c r="D9" s="0" t="n">
        <v>9.06</v>
      </c>
    </row>
    <row r="10" customFormat="false" ht="15" hidden="false" customHeight="false" outlineLevel="0" collapsed="false">
      <c r="A10" s="0" t="s">
        <v>55</v>
      </c>
      <c r="B10" s="0" t="s">
        <v>42</v>
      </c>
      <c r="C10" s="0" t="n">
        <v>7.51</v>
      </c>
      <c r="D10" s="0" t="n">
        <v>7.01</v>
      </c>
    </row>
    <row r="11" customFormat="false" ht="15" hidden="false" customHeight="false" outlineLevel="0" collapsed="false">
      <c r="A11" s="0" t="s">
        <v>56</v>
      </c>
      <c r="B11" s="0" t="s">
        <v>42</v>
      </c>
      <c r="C11" s="0" t="n">
        <v>6.42</v>
      </c>
      <c r="D11" s="0" t="n">
        <v>9.27</v>
      </c>
    </row>
    <row r="12" customFormat="false" ht="15" hidden="false" customHeight="false" outlineLevel="0" collapsed="false">
      <c r="A12" s="0" t="s">
        <v>57</v>
      </c>
      <c r="B12" s="0" t="s">
        <v>42</v>
      </c>
      <c r="C12" s="0" t="n">
        <v>6.69</v>
      </c>
      <c r="D12" s="0" t="n">
        <v>8.54</v>
      </c>
    </row>
    <row r="13" customFormat="false" ht="15" hidden="false" customHeight="false" outlineLevel="0" collapsed="false">
      <c r="A13" s="0" t="s">
        <v>58</v>
      </c>
      <c r="B13" s="0" t="s">
        <v>42</v>
      </c>
      <c r="C13" s="0" t="n">
        <v>8.02</v>
      </c>
      <c r="D13" s="0" t="n">
        <v>7.59</v>
      </c>
    </row>
    <row r="14" customFormat="false" ht="15" hidden="false" customHeight="false" outlineLevel="0" collapsed="false">
      <c r="A14" s="0" t="s">
        <v>59</v>
      </c>
      <c r="B14" s="0" t="s">
        <v>42</v>
      </c>
      <c r="C14" s="0" t="n">
        <v>7.31</v>
      </c>
      <c r="D14" s="0" t="n">
        <v>7.58</v>
      </c>
    </row>
    <row r="15" customFormat="false" ht="15" hidden="false" customHeight="false" outlineLevel="0" collapsed="false">
      <c r="A15" s="0" t="s">
        <v>60</v>
      </c>
      <c r="B15" s="0" t="s">
        <v>42</v>
      </c>
      <c r="C15" s="0" t="n">
        <v>7.26</v>
      </c>
      <c r="D15" s="0" t="n">
        <v>8.34</v>
      </c>
    </row>
    <row r="16" customFormat="false" ht="15" hidden="false" customHeight="false" outlineLevel="0" collapsed="false">
      <c r="A16" s="0" t="s">
        <v>61</v>
      </c>
      <c r="B16" s="0" t="s">
        <v>42</v>
      </c>
      <c r="C16" s="0" t="n">
        <v>7.07</v>
      </c>
      <c r="D16" s="0" t="n">
        <v>9.19</v>
      </c>
    </row>
    <row r="17" customFormat="false" ht="15" hidden="false" customHeight="false" outlineLevel="0" collapsed="false">
      <c r="A17" s="0" t="s">
        <v>62</v>
      </c>
      <c r="B17" s="0" t="s">
        <v>42</v>
      </c>
      <c r="C17" s="0" t="n">
        <v>6.92</v>
      </c>
      <c r="D17" s="0" t="n">
        <v>5.63</v>
      </c>
    </row>
    <row r="18" customFormat="false" ht="15" hidden="false" customHeight="false" outlineLevel="0" collapsed="false">
      <c r="A18" s="0" t="s">
        <v>63</v>
      </c>
      <c r="B18" s="0" t="s">
        <v>42</v>
      </c>
      <c r="C18" s="0" t="n">
        <v>7.61</v>
      </c>
      <c r="D18" s="0" t="n">
        <v>5.25</v>
      </c>
    </row>
    <row r="19" customFormat="false" ht="15" hidden="false" customHeight="false" outlineLevel="0" collapsed="false">
      <c r="A19" s="0" t="s">
        <v>64</v>
      </c>
      <c r="B19" s="0" t="s">
        <v>42</v>
      </c>
      <c r="C19" s="0" t="n">
        <v>7.36</v>
      </c>
      <c r="D19" s="0" t="n">
        <v>4.79</v>
      </c>
    </row>
    <row r="20" customFormat="false" ht="15" hidden="false" customHeight="false" outlineLevel="0" collapsed="false">
      <c r="A20" s="0" t="s">
        <v>65</v>
      </c>
      <c r="B20" s="0" t="s">
        <v>42</v>
      </c>
      <c r="C20" s="0" t="n">
        <v>7.52</v>
      </c>
      <c r="D20" s="0" t="n">
        <v>4.06</v>
      </c>
    </row>
    <row r="21" customFormat="false" ht="15" hidden="false" customHeight="false" outlineLevel="0" collapsed="false">
      <c r="A21" s="0" t="s">
        <v>66</v>
      </c>
      <c r="B21" s="0" t="s">
        <v>42</v>
      </c>
      <c r="C21" s="0" t="n">
        <v>8.91</v>
      </c>
      <c r="D21" s="0" t="n">
        <v>3.05</v>
      </c>
    </row>
    <row r="22" customFormat="false" ht="15" hidden="false" customHeight="false" outlineLevel="0" collapsed="false">
      <c r="A22" s="0" t="s">
        <v>67</v>
      </c>
      <c r="B22" s="0" t="s">
        <v>42</v>
      </c>
      <c r="C22" s="0" t="n">
        <v>9.47</v>
      </c>
      <c r="D22" s="0" t="n">
        <v>3.09</v>
      </c>
    </row>
    <row r="23" customFormat="false" ht="15" hidden="false" customHeight="false" outlineLevel="0" collapsed="false">
      <c r="A23" s="0" t="s">
        <v>68</v>
      </c>
      <c r="B23" s="0" t="s">
        <v>42</v>
      </c>
      <c r="C23" s="0" t="n">
        <v>10.22</v>
      </c>
      <c r="D23" s="0" t="n">
        <v>3.09</v>
      </c>
    </row>
    <row r="24" customFormat="false" ht="15" hidden="false" customHeight="false" outlineLevel="0" collapsed="false">
      <c r="A24" s="0" t="s">
        <v>69</v>
      </c>
      <c r="B24" s="0" t="s">
        <v>42</v>
      </c>
      <c r="C24" s="0" t="n">
        <v>10.38</v>
      </c>
      <c r="D24" s="0" t="n">
        <v>4.12</v>
      </c>
    </row>
    <row r="25" customFormat="false" ht="15" hidden="false" customHeight="false" outlineLevel="0" collapsed="false">
      <c r="A25" s="0" t="s">
        <v>70</v>
      </c>
      <c r="B25" s="0" t="s">
        <v>42</v>
      </c>
      <c r="C25" s="0" t="n">
        <v>9.96</v>
      </c>
      <c r="D25" s="0" t="n">
        <v>5.77</v>
      </c>
    </row>
    <row r="26" customFormat="false" ht="15" hidden="false" customHeight="false" outlineLevel="0" collapsed="false">
      <c r="A26" s="0" t="s">
        <v>71</v>
      </c>
      <c r="B26" s="0" t="s">
        <v>42</v>
      </c>
      <c r="C26" s="0" t="n">
        <v>8.25</v>
      </c>
      <c r="D26" s="0" t="n">
        <v>5.31</v>
      </c>
    </row>
    <row r="27" customFormat="false" ht="15" hidden="false" customHeight="false" outlineLevel="0" collapsed="false">
      <c r="A27" s="0" t="s">
        <v>72</v>
      </c>
      <c r="B27" s="0" t="s">
        <v>42</v>
      </c>
      <c r="C27" s="0" t="n">
        <v>5.17</v>
      </c>
      <c r="D27" s="0" t="n">
        <v>2.43</v>
      </c>
    </row>
    <row r="28" customFormat="false" ht="15" hidden="false" customHeight="false" outlineLevel="0" collapsed="false">
      <c r="A28" s="0" t="s">
        <v>73</v>
      </c>
      <c r="B28" s="0" t="s">
        <v>42</v>
      </c>
      <c r="C28" s="0" t="n">
        <v>5.63</v>
      </c>
      <c r="D28" s="0" t="n">
        <v>2.51</v>
      </c>
    </row>
    <row r="29" customFormat="false" ht="15" hidden="false" customHeight="false" outlineLevel="0" collapsed="false">
      <c r="A29" s="0" t="s">
        <v>74</v>
      </c>
      <c r="B29" s="0" t="s">
        <v>42</v>
      </c>
      <c r="C29" s="0" t="n">
        <v>6.38</v>
      </c>
      <c r="D29" s="0" t="n">
        <v>2.81</v>
      </c>
    </row>
    <row r="30" customFormat="false" ht="15" hidden="false" customHeight="false" outlineLevel="0" collapsed="false">
      <c r="A30" s="0" t="s">
        <v>75</v>
      </c>
      <c r="B30" s="0" t="s">
        <v>42</v>
      </c>
      <c r="C30" s="0" t="n">
        <v>5.94</v>
      </c>
      <c r="D30" s="0" t="n">
        <v>2.63</v>
      </c>
    </row>
    <row r="31" customFormat="false" ht="15" hidden="false" customHeight="false" outlineLevel="0" collapsed="false">
      <c r="A31" s="0" t="s">
        <v>76</v>
      </c>
      <c r="B31" s="0" t="s">
        <v>42</v>
      </c>
      <c r="C31" s="0" t="n">
        <v>6.91</v>
      </c>
      <c r="D31" s="0" t="n">
        <v>2.92</v>
      </c>
    </row>
    <row r="32" customFormat="false" ht="15" hidden="false" customHeight="false" outlineLevel="0" collapsed="false">
      <c r="A32" s="0" t="s">
        <v>77</v>
      </c>
      <c r="B32" s="0" t="s">
        <v>42</v>
      </c>
      <c r="C32" s="0" t="n">
        <v>8.04</v>
      </c>
      <c r="D32" s="0" t="n">
        <v>2.71</v>
      </c>
    </row>
    <row r="33" customFormat="false" ht="15" hidden="false" customHeight="false" outlineLevel="0" collapsed="false">
      <c r="A33" s="0" t="s">
        <v>78</v>
      </c>
      <c r="B33" s="0" t="s">
        <v>42</v>
      </c>
      <c r="C33" s="0" t="n">
        <v>7.11</v>
      </c>
      <c r="D33" s="0" t="n">
        <v>2.75</v>
      </c>
    </row>
    <row r="34" customFormat="false" ht="15" hidden="false" customHeight="false" outlineLevel="0" collapsed="false">
      <c r="A34" s="0" t="s">
        <v>79</v>
      </c>
      <c r="B34" s="0" t="s">
        <v>42</v>
      </c>
      <c r="C34" s="0" t="n">
        <v>0.86</v>
      </c>
      <c r="D34" s="0" t="n">
        <v>1.61</v>
      </c>
    </row>
    <row r="35" customFormat="false" ht="15" hidden="false" customHeight="false" outlineLevel="0" collapsed="false">
      <c r="A35" s="0" t="s">
        <v>81</v>
      </c>
      <c r="B35" s="0" t="s">
        <v>42</v>
      </c>
      <c r="C35" s="0" t="n">
        <v>0.96</v>
      </c>
      <c r="D35" s="0" t="n">
        <v>1.16</v>
      </c>
    </row>
    <row r="36" customFormat="false" ht="15" hidden="false" customHeight="false" outlineLevel="0" collapsed="false">
      <c r="A36" s="0" t="s">
        <v>82</v>
      </c>
      <c r="B36" s="0" t="s">
        <v>42</v>
      </c>
      <c r="C36" s="0" t="n">
        <v>1.01</v>
      </c>
      <c r="D36" s="0" t="n">
        <v>0.85</v>
      </c>
    </row>
    <row r="37" customFormat="false" ht="15" hidden="false" customHeight="false" outlineLevel="0" collapsed="false">
      <c r="A37" s="0" t="s">
        <v>83</v>
      </c>
      <c r="B37" s="0" t="s">
        <v>42</v>
      </c>
      <c r="C37" s="0" t="n">
        <v>1.52</v>
      </c>
      <c r="D37" s="0" t="n">
        <v>0.32</v>
      </c>
    </row>
    <row r="38" customFormat="false" ht="15" hidden="false" customHeight="false" outlineLevel="0" collapsed="false">
      <c r="A38" s="0" t="s">
        <v>84</v>
      </c>
      <c r="B38" s="0" t="s">
        <v>42</v>
      </c>
      <c r="C38" s="0" t="n">
        <v>1.84</v>
      </c>
      <c r="D38" s="0" t="n">
        <v>1.01</v>
      </c>
    </row>
    <row r="39" customFormat="false" ht="15" hidden="false" customHeight="false" outlineLevel="0" collapsed="false">
      <c r="A39" s="0" t="s">
        <v>85</v>
      </c>
      <c r="B39" s="0" t="s">
        <v>42</v>
      </c>
      <c r="C39" s="0" t="n">
        <v>1.69</v>
      </c>
      <c r="D39" s="0" t="n">
        <v>1.33</v>
      </c>
    </row>
    <row r="40" customFormat="false" ht="15" hidden="false" customHeight="false" outlineLevel="0" collapsed="false">
      <c r="A40" s="0" t="s">
        <v>86</v>
      </c>
      <c r="B40" s="0" t="s">
        <v>42</v>
      </c>
      <c r="C40" s="0" t="n">
        <v>2.16</v>
      </c>
      <c r="D40" s="0" t="n">
        <v>1.73</v>
      </c>
    </row>
    <row r="41" customFormat="false" ht="15" hidden="false" customHeight="false" outlineLevel="0" collapsed="false">
      <c r="A41" s="0" t="s">
        <v>87</v>
      </c>
      <c r="B41" s="0" t="s">
        <v>42</v>
      </c>
      <c r="C41" s="0" t="n">
        <v>1.51</v>
      </c>
      <c r="D41" s="0" t="n">
        <v>1.73</v>
      </c>
    </row>
    <row r="42" customFormat="false" ht="15" hidden="false" customHeight="false" outlineLevel="0" collapsed="false">
      <c r="A42" s="0" t="s">
        <v>88</v>
      </c>
      <c r="B42" s="0" t="s">
        <v>42</v>
      </c>
      <c r="C42" s="0" t="n">
        <v>1.94</v>
      </c>
      <c r="D42" s="0" t="n">
        <v>2.22</v>
      </c>
    </row>
    <row r="43" customFormat="false" ht="15" hidden="false" customHeight="false" outlineLevel="0" collapsed="false">
      <c r="A43" s="0" t="s">
        <v>89</v>
      </c>
      <c r="B43" s="0" t="s">
        <v>42</v>
      </c>
      <c r="C43" s="0" t="n">
        <v>1.47</v>
      </c>
      <c r="D43" s="0" t="n">
        <v>2.2</v>
      </c>
    </row>
    <row r="44" customFormat="false" ht="15" hidden="false" customHeight="false" outlineLevel="0" collapsed="false">
      <c r="A44" s="0" t="s">
        <v>90</v>
      </c>
      <c r="B44" s="0" t="s">
        <v>42</v>
      </c>
      <c r="C44" s="0" t="n">
        <v>1.05</v>
      </c>
      <c r="D44" s="0" t="n">
        <v>2.08</v>
      </c>
    </row>
    <row r="45" customFormat="false" ht="15" hidden="false" customHeight="false" outlineLevel="0" collapsed="false">
      <c r="A45" s="0" t="s">
        <v>91</v>
      </c>
      <c r="B45" s="0" t="s">
        <v>42</v>
      </c>
      <c r="C45" s="0" t="n">
        <v>0.44</v>
      </c>
      <c r="D45" s="0" t="n">
        <v>2.83</v>
      </c>
    </row>
    <row r="46" customFormat="false" ht="15" hidden="false" customHeight="false" outlineLevel="0" collapsed="false">
      <c r="A46" s="0" t="s">
        <v>92</v>
      </c>
      <c r="B46" s="0" t="s">
        <v>42</v>
      </c>
      <c r="C46" s="0" t="n">
        <v>2.96</v>
      </c>
      <c r="D46" s="0" t="n">
        <v>3.43</v>
      </c>
    </row>
    <row r="47" customFormat="false" ht="15" hidden="false" customHeight="false" outlineLevel="0" collapsed="false">
      <c r="A47" s="0" t="s">
        <v>93</v>
      </c>
      <c r="B47" s="0" t="s">
        <v>42</v>
      </c>
      <c r="C47" s="0" t="n">
        <v>3.46</v>
      </c>
      <c r="D47" s="0" t="n">
        <v>3.53</v>
      </c>
    </row>
    <row r="48" customFormat="false" ht="15" hidden="false" customHeight="false" outlineLevel="0" collapsed="false">
      <c r="A48" s="0" t="s">
        <v>94</v>
      </c>
      <c r="B48" s="0" t="s">
        <v>42</v>
      </c>
      <c r="C48" s="0" t="n">
        <v>3.27</v>
      </c>
      <c r="D48" s="0" t="n">
        <v>3.03</v>
      </c>
    </row>
    <row r="49" customFormat="false" ht="15" hidden="false" customHeight="false" outlineLevel="0" collapsed="false">
      <c r="A49" s="0" t="s">
        <v>95</v>
      </c>
      <c r="B49" s="0" t="s">
        <v>42</v>
      </c>
      <c r="C49" s="0" t="n">
        <v>0.41</v>
      </c>
      <c r="D49" s="0" t="n">
        <v>2.59</v>
      </c>
    </row>
    <row r="50" customFormat="false" ht="15" hidden="false" customHeight="false" outlineLevel="0" collapsed="false">
      <c r="A50" s="0" t="s">
        <v>96</v>
      </c>
      <c r="B50" s="0" t="s">
        <v>42</v>
      </c>
      <c r="C50" s="0" t="n">
        <v>2.62</v>
      </c>
      <c r="D50" s="0" t="n">
        <v>3.46</v>
      </c>
    </row>
    <row r="51" customFormat="false" ht="15" hidden="false" customHeight="false" outlineLevel="0" collapsed="false">
      <c r="A51" s="0" t="s">
        <v>97</v>
      </c>
      <c r="B51" s="0" t="s">
        <v>42</v>
      </c>
      <c r="C51" s="0" t="n">
        <v>2.76</v>
      </c>
      <c r="D51" s="0" t="n">
        <v>2.88</v>
      </c>
    </row>
    <row r="52" customFormat="false" ht="15" hidden="false" customHeight="false" outlineLevel="0" collapsed="false">
      <c r="A52" s="0" t="s">
        <v>98</v>
      </c>
      <c r="B52" s="0" t="s">
        <v>42</v>
      </c>
      <c r="C52" s="0" t="n">
        <v>1.98</v>
      </c>
      <c r="D52" s="0" t="n">
        <v>6</v>
      </c>
    </row>
    <row r="53" customFormat="false" ht="15" hidden="false" customHeight="false" outlineLevel="0" collapsed="false">
      <c r="A53" s="0" t="s">
        <v>100</v>
      </c>
      <c r="B53" s="0" t="s">
        <v>42</v>
      </c>
      <c r="C53" s="0" t="n">
        <v>2.56</v>
      </c>
      <c r="D53" s="0" t="n">
        <v>6.12</v>
      </c>
    </row>
    <row r="54" customFormat="false" ht="15" hidden="false" customHeight="false" outlineLevel="0" collapsed="false">
      <c r="A54" s="0" t="s">
        <v>101</v>
      </c>
      <c r="B54" s="0" t="s">
        <v>42</v>
      </c>
      <c r="C54" s="0" t="n">
        <v>2.66</v>
      </c>
      <c r="D54" s="0" t="n">
        <v>5.8</v>
      </c>
    </row>
    <row r="55" customFormat="false" ht="15" hidden="false" customHeight="false" outlineLevel="0" collapsed="false">
      <c r="A55" s="0" t="s">
        <v>102</v>
      </c>
      <c r="B55" s="0" t="s">
        <v>42</v>
      </c>
      <c r="C55" s="0" t="n">
        <v>2.02</v>
      </c>
      <c r="D55" s="0" t="n">
        <v>5.68</v>
      </c>
    </row>
    <row r="56" customFormat="false" ht="15" hidden="false" customHeight="false" outlineLevel="0" collapsed="false">
      <c r="A56" s="0" t="s">
        <v>103</v>
      </c>
      <c r="B56" s="0" t="s">
        <v>42</v>
      </c>
      <c r="C56" s="0" t="n">
        <v>2.17</v>
      </c>
      <c r="D56" s="0" t="n">
        <v>4.79</v>
      </c>
    </row>
    <row r="57" customFormat="false" ht="15" hidden="false" customHeight="false" outlineLevel="0" collapsed="false">
      <c r="A57" s="0" t="s">
        <v>104</v>
      </c>
      <c r="B57" s="0" t="s">
        <v>42</v>
      </c>
      <c r="C57" s="0" t="n">
        <v>2.02</v>
      </c>
      <c r="D57" s="0" t="n">
        <v>5.35</v>
      </c>
    </row>
    <row r="58" customFormat="false" ht="15" hidden="false" customHeight="false" outlineLevel="0" collapsed="false">
      <c r="A58" s="0" t="s">
        <v>105</v>
      </c>
      <c r="B58" s="0" t="s">
        <v>42</v>
      </c>
      <c r="C58" s="0" t="n">
        <v>2.63</v>
      </c>
      <c r="D58" s="0" t="n">
        <v>5.17</v>
      </c>
    </row>
    <row r="59" customFormat="false" ht="15" hidden="false" customHeight="false" outlineLevel="0" collapsed="false">
      <c r="A59" s="0" t="s">
        <v>106</v>
      </c>
      <c r="B59" s="0" t="s">
        <v>42</v>
      </c>
      <c r="C59" s="0" t="n">
        <v>2.11</v>
      </c>
      <c r="D59" s="0" t="n">
        <v>5.09</v>
      </c>
    </row>
    <row r="60" customFormat="false" ht="15" hidden="false" customHeight="false" outlineLevel="0" collapsed="false">
      <c r="A60" s="0" t="s">
        <v>107</v>
      </c>
      <c r="B60" s="0" t="s">
        <v>42</v>
      </c>
      <c r="C60" s="0" t="n">
        <v>4.71</v>
      </c>
      <c r="D60" s="0" t="n">
        <v>6.04</v>
      </c>
    </row>
    <row r="61" customFormat="false" ht="15" hidden="false" customHeight="false" outlineLevel="0" collapsed="false">
      <c r="A61" s="0" t="s">
        <v>108</v>
      </c>
      <c r="B61" s="0" t="s">
        <v>42</v>
      </c>
      <c r="C61" s="0" t="n">
        <v>5.37</v>
      </c>
      <c r="D61" s="0" t="n">
        <v>6.12</v>
      </c>
    </row>
    <row r="62" customFormat="false" ht="15" hidden="false" customHeight="false" outlineLevel="0" collapsed="false">
      <c r="A62" s="0" t="s">
        <v>109</v>
      </c>
      <c r="B62" s="0" t="s">
        <v>42</v>
      </c>
      <c r="C62" s="0" t="n">
        <v>5.89</v>
      </c>
      <c r="D62" s="0" t="n">
        <v>6.32</v>
      </c>
    </row>
    <row r="63" customFormat="false" ht="15" hidden="false" customHeight="false" outlineLevel="0" collapsed="false">
      <c r="A63" s="0" t="s">
        <v>110</v>
      </c>
      <c r="B63" s="0" t="s">
        <v>42</v>
      </c>
      <c r="C63" s="0" t="n">
        <v>6.21</v>
      </c>
      <c r="D63" s="0" t="n">
        <v>5.94</v>
      </c>
    </row>
    <row r="64" customFormat="false" ht="15" hidden="false" customHeight="false" outlineLevel="0" collapsed="false">
      <c r="A64" s="0" t="s">
        <v>111</v>
      </c>
      <c r="B64" s="0" t="s">
        <v>42</v>
      </c>
      <c r="C64" s="0" t="n">
        <v>6.81</v>
      </c>
      <c r="D64" s="0" t="n">
        <v>6.33</v>
      </c>
    </row>
    <row r="65" customFormat="false" ht="15" hidden="false" customHeight="false" outlineLevel="0" collapsed="false">
      <c r="A65" s="0" t="s">
        <v>112</v>
      </c>
      <c r="B65" s="0" t="s">
        <v>42</v>
      </c>
      <c r="C65" s="0" t="n">
        <v>6.91</v>
      </c>
      <c r="D65" s="0" t="n">
        <v>5.95</v>
      </c>
    </row>
    <row r="66" customFormat="false" ht="15" hidden="false" customHeight="false" outlineLevel="0" collapsed="false">
      <c r="A66" s="0" t="s">
        <v>113</v>
      </c>
      <c r="B66" s="0" t="s">
        <v>42</v>
      </c>
      <c r="C66" s="0" t="n">
        <v>5.59</v>
      </c>
      <c r="D66" s="0" t="n">
        <v>5.74</v>
      </c>
    </row>
    <row r="67" customFormat="false" ht="15" hidden="false" customHeight="false" outlineLevel="0" collapsed="false">
      <c r="A67" s="0" t="s">
        <v>114</v>
      </c>
      <c r="B67" s="0" t="s">
        <v>42</v>
      </c>
      <c r="C67" s="0" t="n">
        <v>6.49</v>
      </c>
      <c r="D67" s="0" t="n">
        <v>6.19</v>
      </c>
    </row>
    <row r="68" customFormat="false" ht="15" hidden="false" customHeight="false" outlineLevel="0" collapsed="false">
      <c r="A68" s="0" t="s">
        <v>115</v>
      </c>
      <c r="B68" s="0" t="s">
        <v>42</v>
      </c>
      <c r="C68" s="0" t="n">
        <v>4.91</v>
      </c>
      <c r="D68" s="0" t="n">
        <v>6.66</v>
      </c>
    </row>
    <row r="69" customFormat="false" ht="15" hidden="false" customHeight="false" outlineLevel="0" collapsed="false">
      <c r="A69" s="0" t="s">
        <v>116</v>
      </c>
      <c r="B69" s="0" t="s">
        <v>42</v>
      </c>
      <c r="C69" s="0" t="n">
        <v>6.17</v>
      </c>
      <c r="D69" s="0" t="n">
        <v>6.8</v>
      </c>
    </row>
    <row r="70" customFormat="false" ht="15" hidden="false" customHeight="false" outlineLevel="0" collapsed="false">
      <c r="A70" s="0" t="s">
        <v>117</v>
      </c>
      <c r="B70" s="0" t="s">
        <v>42</v>
      </c>
      <c r="C70" s="0" t="n">
        <v>5.56</v>
      </c>
      <c r="D70" s="0" t="n">
        <v>6.73</v>
      </c>
    </row>
    <row r="71" customFormat="false" ht="15" hidden="false" customHeight="false" outlineLevel="0" collapsed="false">
      <c r="A71" s="0" t="s">
        <v>118</v>
      </c>
      <c r="B71" s="0" t="s">
        <v>42</v>
      </c>
      <c r="C71" s="0" t="n">
        <v>6.6</v>
      </c>
      <c r="D71" s="0" t="n">
        <v>6.82</v>
      </c>
    </row>
    <row r="72" customFormat="false" ht="15" hidden="false" customHeight="false" outlineLevel="0" collapsed="false">
      <c r="A72" s="0" t="s">
        <v>119</v>
      </c>
      <c r="B72" s="0" t="s">
        <v>42</v>
      </c>
      <c r="C72" s="0" t="n">
        <v>5.23</v>
      </c>
      <c r="D72" s="0" t="n">
        <v>7.51</v>
      </c>
    </row>
    <row r="73" customFormat="false" ht="15" hidden="false" customHeight="false" outlineLevel="0" collapsed="false">
      <c r="A73" s="0" t="s">
        <v>120</v>
      </c>
      <c r="B73" s="0" t="s">
        <v>42</v>
      </c>
      <c r="C73" s="0" t="n">
        <v>5.77</v>
      </c>
      <c r="D73" s="0" t="n">
        <v>7.67</v>
      </c>
    </row>
    <row r="74" customFormat="false" ht="15" hidden="false" customHeight="false" outlineLevel="0" collapsed="false">
      <c r="A74" s="0" t="s">
        <v>121</v>
      </c>
      <c r="B74" s="0" t="s">
        <v>42</v>
      </c>
      <c r="C74" s="0" t="n">
        <v>6.1</v>
      </c>
      <c r="D74" s="0" t="n">
        <v>7.22</v>
      </c>
    </row>
    <row r="75" customFormat="false" ht="15" hidden="false" customHeight="false" outlineLevel="0" collapsed="false">
      <c r="A75" s="0" t="s">
        <v>122</v>
      </c>
      <c r="B75" s="0" t="s">
        <v>42</v>
      </c>
      <c r="C75" s="0" t="n">
        <v>5.47</v>
      </c>
      <c r="D75" s="0" t="n">
        <v>7.14</v>
      </c>
    </row>
    <row r="76" customFormat="false" ht="15" hidden="false" customHeight="false" outlineLevel="0" collapsed="false">
      <c r="A76" s="0" t="s">
        <v>123</v>
      </c>
      <c r="B76" s="0" t="s">
        <v>42</v>
      </c>
      <c r="C76" s="0" t="n">
        <v>5.47</v>
      </c>
      <c r="D76" s="0" t="n">
        <v>7.63</v>
      </c>
    </row>
    <row r="77" customFormat="false" ht="15" hidden="false" customHeight="false" outlineLevel="0" collapsed="false">
      <c r="A77" s="0" t="s">
        <v>124</v>
      </c>
      <c r="B77" s="0" t="s">
        <v>42</v>
      </c>
      <c r="C77" s="0" t="n">
        <v>6.02</v>
      </c>
      <c r="D77" s="0" t="n">
        <v>7.68</v>
      </c>
    </row>
    <row r="78" customFormat="false" ht="15" hidden="false" customHeight="false" outlineLevel="0" collapsed="false">
      <c r="A78" s="0" t="s">
        <v>125</v>
      </c>
      <c r="B78" s="0" t="s">
        <v>42</v>
      </c>
      <c r="C78" s="0" t="n">
        <v>4.37</v>
      </c>
      <c r="D78" s="0" t="n">
        <v>7.3</v>
      </c>
    </row>
    <row r="79" customFormat="false" ht="15" hidden="false" customHeight="false" outlineLevel="0" collapsed="false">
      <c r="A79" s="0" t="s">
        <v>126</v>
      </c>
      <c r="B79" s="0" t="s">
        <v>42</v>
      </c>
      <c r="C79" s="0" t="n">
        <v>4.88</v>
      </c>
      <c r="D79" s="0" t="n">
        <v>7.69</v>
      </c>
    </row>
    <row r="80" customFormat="false" ht="15" hidden="false" customHeight="false" outlineLevel="0" collapsed="false">
      <c r="A80" s="0" t="s">
        <v>127</v>
      </c>
      <c r="B80" s="0" t="s">
        <v>42</v>
      </c>
      <c r="C80" s="0" t="n">
        <v>4.9</v>
      </c>
      <c r="D80" s="0" t="n">
        <v>7.08</v>
      </c>
    </row>
    <row r="81" customFormat="false" ht="15" hidden="false" customHeight="false" outlineLevel="0" collapsed="false">
      <c r="A81" s="0" t="s">
        <v>128</v>
      </c>
      <c r="B81" s="0" t="s">
        <v>42</v>
      </c>
      <c r="C81" s="0" t="n">
        <v>4.82</v>
      </c>
      <c r="D81" s="0" t="n">
        <v>7.39</v>
      </c>
    </row>
    <row r="82" customFormat="false" ht="15" hidden="false" customHeight="false" outlineLevel="0" collapsed="false">
      <c r="A82" s="0" t="s">
        <v>129</v>
      </c>
      <c r="B82" s="0" t="s">
        <v>42</v>
      </c>
      <c r="C82" s="0" t="n">
        <v>4.21</v>
      </c>
      <c r="D82" s="0" t="n">
        <v>8</v>
      </c>
    </row>
    <row r="83" customFormat="false" ht="15" hidden="false" customHeight="false" outlineLevel="0" collapsed="false">
      <c r="A83" s="0" t="s">
        <v>130</v>
      </c>
      <c r="B83" s="0" t="s">
        <v>42</v>
      </c>
      <c r="C83" s="0" t="n">
        <v>5.74</v>
      </c>
      <c r="D83" s="0" t="n">
        <v>8.26</v>
      </c>
    </row>
    <row r="84" customFormat="false" ht="15" hidden="false" customHeight="false" outlineLevel="0" collapsed="false">
      <c r="A84" s="0" t="s">
        <v>131</v>
      </c>
      <c r="B84" s="0" t="s">
        <v>42</v>
      </c>
      <c r="C84" s="0" t="n">
        <v>5.18</v>
      </c>
      <c r="D84" s="0" t="n">
        <v>8.26</v>
      </c>
    </row>
    <row r="85" customFormat="false" ht="15" hidden="false" customHeight="false" outlineLevel="0" collapsed="false">
      <c r="A85" s="0" t="s">
        <v>132</v>
      </c>
      <c r="B85" s="0" t="s">
        <v>42</v>
      </c>
      <c r="C85" s="0" t="n">
        <v>4.69</v>
      </c>
      <c r="D85" s="0" t="n">
        <v>8.06</v>
      </c>
    </row>
    <row r="86" customFormat="false" ht="15" hidden="false" customHeight="false" outlineLevel="0" collapsed="false">
      <c r="A86" s="0" t="s">
        <v>133</v>
      </c>
      <c r="B86" s="0" t="s">
        <v>42</v>
      </c>
      <c r="C86" s="0" t="n">
        <v>6.25</v>
      </c>
      <c r="D86" s="0" t="n">
        <v>8.3</v>
      </c>
    </row>
    <row r="87" customFormat="false" ht="15" hidden="false" customHeight="false" outlineLevel="0" collapsed="false">
      <c r="A87" s="0" t="s">
        <v>134</v>
      </c>
      <c r="B87" s="0" t="s">
        <v>42</v>
      </c>
      <c r="C87" s="0" t="n">
        <v>5.28</v>
      </c>
      <c r="D87" s="0" t="n">
        <v>8</v>
      </c>
    </row>
    <row r="88" customFormat="false" ht="15" hidden="false" customHeight="false" outlineLevel="0" collapsed="false">
      <c r="A88" s="0" t="s">
        <v>135</v>
      </c>
      <c r="B88" s="0" t="s">
        <v>42</v>
      </c>
      <c r="C88" s="0" t="n">
        <v>3.47</v>
      </c>
      <c r="D88" s="0" t="n">
        <v>2.37</v>
      </c>
    </row>
    <row r="89" customFormat="false" ht="15" hidden="false" customHeight="false" outlineLevel="0" collapsed="false">
      <c r="A89" s="0" t="s">
        <v>136</v>
      </c>
      <c r="B89" s="0" t="s">
        <v>42</v>
      </c>
      <c r="C89" s="0" t="n">
        <v>4.45</v>
      </c>
      <c r="D89" s="0" t="n">
        <v>2.57</v>
      </c>
    </row>
    <row r="90" customFormat="false" ht="15" hidden="false" customHeight="false" outlineLevel="0" collapsed="false">
      <c r="A90" s="0" t="s">
        <v>137</v>
      </c>
      <c r="B90" s="0" t="s">
        <v>42</v>
      </c>
      <c r="C90" s="0" t="n">
        <v>2.84</v>
      </c>
      <c r="D90" s="0" t="n">
        <v>2.34</v>
      </c>
    </row>
    <row r="91" customFormat="false" ht="15" hidden="false" customHeight="false" outlineLevel="0" collapsed="false">
      <c r="A91" s="0" t="s">
        <v>138</v>
      </c>
      <c r="B91" s="0" t="s">
        <v>42</v>
      </c>
      <c r="C91" s="0" t="n">
        <v>3.88</v>
      </c>
      <c r="D91" s="0" t="n">
        <v>2.52</v>
      </c>
    </row>
    <row r="92" customFormat="false" ht="15" hidden="false" customHeight="false" outlineLevel="0" collapsed="false">
      <c r="A92" s="0" t="s">
        <v>139</v>
      </c>
      <c r="B92" s="0" t="s">
        <v>42</v>
      </c>
      <c r="C92" s="0" t="n">
        <v>3.19</v>
      </c>
      <c r="D92" s="0" t="n">
        <v>2.38</v>
      </c>
    </row>
    <row r="93" customFormat="false" ht="15" hidden="false" customHeight="false" outlineLevel="0" collapsed="false">
      <c r="A93" s="0" t="s">
        <v>140</v>
      </c>
      <c r="B93" s="0" t="s">
        <v>42</v>
      </c>
      <c r="C93" s="0" t="n">
        <v>4.44</v>
      </c>
      <c r="D93" s="0" t="n">
        <v>2.09</v>
      </c>
    </row>
    <row r="94" customFormat="false" ht="15" hidden="false" customHeight="false" outlineLevel="0" collapsed="false">
      <c r="A94" s="0" t="s">
        <v>141</v>
      </c>
      <c r="B94" s="0" t="s">
        <v>42</v>
      </c>
      <c r="C94" s="0" t="n">
        <v>3.76</v>
      </c>
      <c r="D94" s="0" t="n">
        <v>1.79</v>
      </c>
    </row>
    <row r="95" customFormat="false" ht="15" hidden="false" customHeight="false" outlineLevel="0" collapsed="false">
      <c r="A95" s="0" t="s">
        <v>142</v>
      </c>
      <c r="B95" s="0" t="s">
        <v>42</v>
      </c>
      <c r="C95" s="0" t="n">
        <v>3.27</v>
      </c>
      <c r="D95" s="0" t="n">
        <v>1.15</v>
      </c>
    </row>
    <row r="96" customFormat="false" ht="15" hidden="false" customHeight="false" outlineLevel="0" collapsed="false">
      <c r="A96" s="0" t="s">
        <v>143</v>
      </c>
      <c r="B96" s="0" t="s">
        <v>42</v>
      </c>
      <c r="C96" s="0" t="n">
        <v>4</v>
      </c>
      <c r="D96" s="0" t="n">
        <v>1.23</v>
      </c>
    </row>
    <row r="97" customFormat="false" ht="15" hidden="false" customHeight="false" outlineLevel="0" collapsed="false">
      <c r="A97" s="0" t="s">
        <v>144</v>
      </c>
      <c r="B97" s="0" t="s">
        <v>42</v>
      </c>
      <c r="C97" s="0" t="n">
        <v>2.82</v>
      </c>
      <c r="D97" s="0" t="n">
        <v>1.87</v>
      </c>
    </row>
    <row r="98" customFormat="false" ht="15" hidden="false" customHeight="false" outlineLevel="0" collapsed="false">
      <c r="A98" s="0" t="s">
        <v>145</v>
      </c>
      <c r="B98" s="0" t="s">
        <v>42</v>
      </c>
      <c r="C98" s="0" t="n">
        <v>3.09</v>
      </c>
      <c r="D98" s="0" t="n">
        <v>1.71</v>
      </c>
    </row>
    <row r="99" customFormat="false" ht="15" hidden="false" customHeight="false" outlineLevel="0" collapsed="false">
      <c r="A99" s="0" t="s">
        <v>146</v>
      </c>
      <c r="B99" s="0" t="s">
        <v>42</v>
      </c>
      <c r="C99" s="0" t="n">
        <v>2.9</v>
      </c>
      <c r="D99" s="0" t="n">
        <v>0.78</v>
      </c>
    </row>
    <row r="100" customFormat="false" ht="15" hidden="false" customHeight="false" outlineLevel="0" collapsed="false">
      <c r="A100" s="0" t="s">
        <v>147</v>
      </c>
      <c r="B100" s="0" t="s">
        <v>42</v>
      </c>
      <c r="C100" s="0" t="n">
        <v>2.96</v>
      </c>
      <c r="D100" s="0" t="n">
        <v>1.15</v>
      </c>
    </row>
    <row r="101" customFormat="false" ht="15" hidden="false" customHeight="false" outlineLevel="0" collapsed="false">
      <c r="A101" s="0" t="s">
        <v>148</v>
      </c>
      <c r="B101" s="0" t="s">
        <v>42</v>
      </c>
      <c r="C101" s="0" t="n">
        <v>3.78</v>
      </c>
      <c r="D101" s="0" t="n">
        <v>4.13</v>
      </c>
    </row>
    <row r="102" customFormat="false" ht="15" hidden="false" customHeight="false" outlineLevel="0" collapsed="false">
      <c r="A102" s="0" t="s">
        <v>149</v>
      </c>
      <c r="B102" s="0" t="s">
        <v>42</v>
      </c>
      <c r="C102" s="0" t="n">
        <v>4.04</v>
      </c>
      <c r="D102" s="0" t="n">
        <v>3.65</v>
      </c>
    </row>
    <row r="103" customFormat="false" ht="15" hidden="false" customHeight="false" outlineLevel="0" collapsed="false">
      <c r="A103" s="0" t="s">
        <v>150</v>
      </c>
      <c r="B103" s="0" t="s">
        <v>42</v>
      </c>
      <c r="C103" s="0" t="n">
        <v>3.99</v>
      </c>
      <c r="D103" s="0" t="n">
        <v>3.09</v>
      </c>
    </row>
    <row r="104" customFormat="false" ht="15" hidden="false" customHeight="false" outlineLevel="0" collapsed="false">
      <c r="A104" s="0" t="s">
        <v>151</v>
      </c>
      <c r="B104" s="0" t="s">
        <v>42</v>
      </c>
      <c r="C104" s="0" t="n">
        <v>1.7</v>
      </c>
      <c r="D104" s="0" t="n">
        <v>7.44</v>
      </c>
    </row>
    <row r="105" customFormat="false" ht="15" hidden="false" customHeight="false" outlineLevel="0" collapsed="false">
      <c r="A105" s="0" t="s">
        <v>152</v>
      </c>
      <c r="B105" s="0" t="s">
        <v>42</v>
      </c>
      <c r="C105" s="0" t="n">
        <v>3.28</v>
      </c>
      <c r="D105" s="0" t="n">
        <v>7.24</v>
      </c>
    </row>
    <row r="106" customFormat="false" ht="15" hidden="false" customHeight="false" outlineLevel="0" collapsed="false">
      <c r="A106" s="0" t="s">
        <v>153</v>
      </c>
      <c r="B106" s="0" t="s">
        <v>42</v>
      </c>
      <c r="C106" s="0" t="n">
        <v>3.55</v>
      </c>
      <c r="D106" s="0" t="n">
        <v>6.7</v>
      </c>
    </row>
    <row r="107" customFormat="false" ht="15" hidden="false" customHeight="false" outlineLevel="0" collapsed="false">
      <c r="A107" s="0" t="s">
        <v>154</v>
      </c>
      <c r="B107" s="0" t="s">
        <v>42</v>
      </c>
      <c r="C107" s="0" t="n">
        <v>1.7</v>
      </c>
      <c r="D107" s="0" t="n">
        <v>6.87</v>
      </c>
    </row>
    <row r="108" customFormat="false" ht="15" hidden="false" customHeight="false" outlineLevel="0" collapsed="false">
      <c r="A108" s="0" t="s">
        <v>155</v>
      </c>
      <c r="B108" s="0" t="s">
        <v>42</v>
      </c>
      <c r="C108" s="0" t="n">
        <v>2.34</v>
      </c>
      <c r="D108" s="0" t="n">
        <v>7.14</v>
      </c>
    </row>
    <row r="109" customFormat="false" ht="15" hidden="false" customHeight="false" outlineLevel="0" collapsed="false">
      <c r="A109" s="0" t="s">
        <v>156</v>
      </c>
      <c r="B109" s="0" t="s">
        <v>42</v>
      </c>
      <c r="C109" s="0" t="n">
        <v>2.43</v>
      </c>
      <c r="D109" s="0" t="n">
        <v>6.84</v>
      </c>
    </row>
    <row r="110" customFormat="false" ht="15" hidden="false" customHeight="false" outlineLevel="0" collapsed="false">
      <c r="A110" s="0" t="s">
        <v>157</v>
      </c>
      <c r="B110" s="0" t="s">
        <v>42</v>
      </c>
      <c r="C110" s="0" t="n">
        <v>2.24</v>
      </c>
      <c r="D110" s="0" t="n">
        <v>6.47</v>
      </c>
    </row>
    <row r="111" customFormat="false" ht="15" hidden="false" customHeight="false" outlineLevel="0" collapsed="false">
      <c r="A111" s="0" t="s">
        <v>158</v>
      </c>
      <c r="B111" s="0" t="s">
        <v>42</v>
      </c>
      <c r="C111" s="0" t="n">
        <v>2.99</v>
      </c>
      <c r="D111" s="0" t="n">
        <v>6.6</v>
      </c>
    </row>
    <row r="112" customFormat="false" ht="15" hidden="false" customHeight="false" outlineLevel="0" collapsed="false">
      <c r="A112" s="0" t="s">
        <v>159</v>
      </c>
      <c r="B112" s="0" t="s">
        <v>42</v>
      </c>
      <c r="C112" s="0" t="n">
        <v>1.99</v>
      </c>
      <c r="D112" s="0" t="n">
        <v>6.94</v>
      </c>
    </row>
    <row r="113" customFormat="false" ht="15" hidden="false" customHeight="false" outlineLevel="0" collapsed="false">
      <c r="A113" s="0" t="s">
        <v>160</v>
      </c>
      <c r="B113" s="0" t="s">
        <v>42</v>
      </c>
      <c r="C113" s="0" t="n">
        <v>2.61</v>
      </c>
      <c r="D113" s="0" t="n">
        <v>7.53</v>
      </c>
    </row>
    <row r="114" customFormat="false" ht="15" hidden="false" customHeight="false" outlineLevel="0" collapsed="false">
      <c r="A114" s="0" t="s">
        <v>161</v>
      </c>
      <c r="B114" s="0" t="s">
        <v>42</v>
      </c>
      <c r="C114" s="0" t="n">
        <v>3.1</v>
      </c>
      <c r="D114" s="0" t="n">
        <v>6.03</v>
      </c>
    </row>
    <row r="115" customFormat="false" ht="15" hidden="false" customHeight="false" outlineLevel="0" collapsed="false">
      <c r="A115" s="0" t="s">
        <v>162</v>
      </c>
      <c r="B115" s="0" t="s">
        <v>42</v>
      </c>
      <c r="C115" s="0" t="n">
        <v>3.45</v>
      </c>
      <c r="D115" s="0" t="n">
        <v>6.25</v>
      </c>
    </row>
    <row r="116" customFormat="false" ht="15" hidden="false" customHeight="false" outlineLevel="0" collapsed="false">
      <c r="A116" s="0" t="s">
        <v>163</v>
      </c>
      <c r="B116" s="0" t="s">
        <v>42</v>
      </c>
      <c r="C116" s="0" t="n">
        <v>3.13</v>
      </c>
      <c r="D116" s="0" t="n">
        <v>5.16</v>
      </c>
    </row>
    <row r="117" customFormat="false" ht="15" hidden="false" customHeight="false" outlineLevel="0" collapsed="false">
      <c r="A117" s="0" t="s">
        <v>164</v>
      </c>
      <c r="B117" s="0" t="s">
        <v>42</v>
      </c>
      <c r="C117" s="0" t="n">
        <v>3.94</v>
      </c>
      <c r="D117" s="0" t="n">
        <v>6.18</v>
      </c>
    </row>
    <row r="118" customFormat="false" ht="15" hidden="false" customHeight="false" outlineLevel="0" collapsed="false">
      <c r="A118" s="0" t="s">
        <v>165</v>
      </c>
      <c r="B118" s="0" t="s">
        <v>42</v>
      </c>
      <c r="C118" s="0" t="n">
        <v>3.5</v>
      </c>
      <c r="D118" s="0" t="n">
        <v>5.78</v>
      </c>
    </row>
    <row r="119" customFormat="false" ht="15" hidden="false" customHeight="false" outlineLevel="0" collapsed="false">
      <c r="A119" s="0" t="s">
        <v>166</v>
      </c>
      <c r="B119" s="0" t="s">
        <v>42</v>
      </c>
      <c r="C119" s="0" t="n">
        <v>4.07</v>
      </c>
      <c r="D119" s="0" t="n">
        <v>5.48</v>
      </c>
    </row>
    <row r="120" customFormat="false" ht="15" hidden="false" customHeight="false" outlineLevel="0" collapsed="false">
      <c r="A120" s="0" t="s">
        <v>167</v>
      </c>
      <c r="B120" s="0" t="s">
        <v>42</v>
      </c>
      <c r="C120" s="0" t="n">
        <v>3.61</v>
      </c>
      <c r="D120" s="0" t="n">
        <v>5.12</v>
      </c>
    </row>
    <row r="121" customFormat="false" ht="15" hidden="false" customHeight="false" outlineLevel="0" collapsed="false">
      <c r="A121" s="0" t="s">
        <v>168</v>
      </c>
      <c r="B121" s="0" t="s">
        <v>42</v>
      </c>
      <c r="C121" s="0" t="n">
        <v>3.89</v>
      </c>
      <c r="D121" s="0" t="n">
        <v>4.58</v>
      </c>
    </row>
    <row r="122" customFormat="false" ht="15" hidden="false" customHeight="false" outlineLevel="0" collapsed="false">
      <c r="A122" s="0" t="s">
        <v>169</v>
      </c>
      <c r="B122" s="0" t="s">
        <v>42</v>
      </c>
      <c r="C122" s="0" t="n">
        <v>3.25</v>
      </c>
      <c r="D122" s="0" t="n">
        <v>4.49</v>
      </c>
    </row>
    <row r="123" customFormat="false" ht="15" hidden="false" customHeight="false" outlineLevel="0" collapsed="false">
      <c r="A123" s="0" t="s">
        <v>170</v>
      </c>
      <c r="B123" s="0" t="s">
        <v>42</v>
      </c>
      <c r="C123" s="0" t="n">
        <v>0.49</v>
      </c>
      <c r="D123" s="0" t="n">
        <v>1.81</v>
      </c>
    </row>
    <row r="124" customFormat="false" ht="15" hidden="false" customHeight="false" outlineLevel="0" collapsed="false">
      <c r="A124" s="0" t="s">
        <v>171</v>
      </c>
      <c r="B124" s="0" t="s">
        <v>42</v>
      </c>
      <c r="C124" s="0" t="n">
        <v>0.13</v>
      </c>
      <c r="D124" s="0" t="n">
        <v>1.92</v>
      </c>
    </row>
    <row r="125" customFormat="false" ht="15" hidden="false" customHeight="false" outlineLevel="0" collapsed="false">
      <c r="A125" s="0" t="s">
        <v>172</v>
      </c>
      <c r="B125" s="0" t="s">
        <v>42</v>
      </c>
      <c r="C125" s="0" t="n">
        <v>0.06</v>
      </c>
      <c r="D125" s="0" t="n">
        <v>1.49</v>
      </c>
    </row>
    <row r="126" customFormat="false" ht="15" hidden="false" customHeight="false" outlineLevel="0" collapsed="false">
      <c r="A126" s="0" t="s">
        <v>173</v>
      </c>
      <c r="B126" s="0" t="s">
        <v>42</v>
      </c>
      <c r="C126" s="0" t="n">
        <v>0</v>
      </c>
      <c r="D126" s="0" t="n">
        <v>1.15</v>
      </c>
    </row>
    <row r="127" customFormat="false" ht="15" hidden="false" customHeight="false" outlineLevel="0" collapsed="false">
      <c r="A127" s="0" t="s">
        <v>174</v>
      </c>
      <c r="B127" s="0" t="s">
        <v>42</v>
      </c>
      <c r="C127" s="0" t="n">
        <v>0.01</v>
      </c>
      <c r="D127" s="0" t="n">
        <v>0.7</v>
      </c>
    </row>
    <row r="128" customFormat="false" ht="15" hidden="false" customHeight="false" outlineLevel="0" collapsed="false">
      <c r="A128" s="0" t="s">
        <v>175</v>
      </c>
      <c r="B128" s="0" t="s">
        <v>42</v>
      </c>
      <c r="C128" s="0" t="n">
        <v>0.27</v>
      </c>
      <c r="D128" s="0" t="n">
        <v>0</v>
      </c>
    </row>
    <row r="129" customFormat="false" ht="15" hidden="false" customHeight="false" outlineLevel="0" collapsed="false">
      <c r="A129" s="0" t="s">
        <v>176</v>
      </c>
      <c r="B129" s="0" t="s">
        <v>42</v>
      </c>
      <c r="C129" s="0" t="n">
        <v>0.48</v>
      </c>
      <c r="D129" s="0" t="n">
        <v>0.71</v>
      </c>
    </row>
    <row r="130" customFormat="false" ht="15" hidden="false" customHeight="false" outlineLevel="0" collapsed="false">
      <c r="A130" s="0" t="s">
        <v>177</v>
      </c>
      <c r="B130" s="0" t="s">
        <v>42</v>
      </c>
      <c r="C130" s="0" t="n">
        <v>0.45</v>
      </c>
      <c r="D130" s="0" t="n">
        <v>0.93</v>
      </c>
    </row>
    <row r="131" customFormat="false" ht="15" hidden="false" customHeight="false" outlineLevel="0" collapsed="false">
      <c r="A131" s="0" t="s">
        <v>178</v>
      </c>
      <c r="B131" s="0" t="s">
        <v>42</v>
      </c>
      <c r="C131" s="0" t="n">
        <v>0.46</v>
      </c>
      <c r="D131" s="0" t="n">
        <v>1.29</v>
      </c>
    </row>
    <row r="132" customFormat="false" ht="15" hidden="false" customHeight="false" outlineLevel="0" collapsed="false">
      <c r="A132" s="0" t="s">
        <v>179</v>
      </c>
      <c r="B132" s="0" t="s">
        <v>42</v>
      </c>
      <c r="C132" s="0" t="n">
        <v>4.71</v>
      </c>
      <c r="D132" s="0" t="n">
        <v>5.05</v>
      </c>
    </row>
    <row r="133" customFormat="false" ht="15" hidden="false" customHeight="false" outlineLevel="0" collapsed="false">
      <c r="A133" s="0" t="s">
        <v>180</v>
      </c>
      <c r="B133" s="0" t="s">
        <v>42</v>
      </c>
      <c r="C133" s="0" t="n">
        <v>5.26</v>
      </c>
      <c r="D133" s="0" t="n">
        <v>5.4</v>
      </c>
    </row>
    <row r="134" customFormat="false" ht="15" hidden="false" customHeight="false" outlineLevel="0" collapsed="false">
      <c r="A134" s="0" t="s">
        <v>181</v>
      </c>
      <c r="B134" s="0" t="s">
        <v>42</v>
      </c>
      <c r="C134" s="0" t="n">
        <v>5.76</v>
      </c>
      <c r="D134" s="0" t="n">
        <v>5.45</v>
      </c>
    </row>
    <row r="135" customFormat="false" ht="15" hidden="false" customHeight="false" outlineLevel="0" collapsed="false">
      <c r="A135" s="0" t="s">
        <v>182</v>
      </c>
      <c r="B135" s="0" t="s">
        <v>42</v>
      </c>
      <c r="C135" s="0" t="n">
        <v>6.57</v>
      </c>
      <c r="D135" s="0" t="n">
        <v>5</v>
      </c>
    </row>
    <row r="136" customFormat="false" ht="15" hidden="false" customHeight="false" outlineLevel="0" collapsed="false">
      <c r="A136" s="0" t="s">
        <v>183</v>
      </c>
      <c r="B136" s="0" t="s">
        <v>42</v>
      </c>
      <c r="C136" s="0" t="n">
        <v>5.32</v>
      </c>
      <c r="D136" s="0" t="n">
        <v>4.75</v>
      </c>
    </row>
    <row r="137" customFormat="false" ht="15" hidden="false" customHeight="false" outlineLevel="0" collapsed="false">
      <c r="A137" s="0" t="s">
        <v>184</v>
      </c>
      <c r="B137" s="0" t="s">
        <v>42</v>
      </c>
      <c r="C137" s="0" t="n">
        <v>5.26</v>
      </c>
      <c r="D137" s="0" t="n">
        <v>4.4</v>
      </c>
    </row>
    <row r="138" customFormat="false" ht="15" hidden="false" customHeight="false" outlineLevel="0" collapsed="false">
      <c r="A138" s="0" t="s">
        <v>185</v>
      </c>
      <c r="B138" s="0" t="s">
        <v>42</v>
      </c>
      <c r="C138" s="0" t="n">
        <v>5.8</v>
      </c>
      <c r="D138" s="0" t="n">
        <v>4.39</v>
      </c>
    </row>
    <row r="139" customFormat="false" ht="15" hidden="false" customHeight="false" outlineLevel="0" collapsed="false">
      <c r="A139" s="0" t="s">
        <v>186</v>
      </c>
      <c r="B139" s="0" t="s">
        <v>42</v>
      </c>
      <c r="C139" s="0" t="n">
        <v>6.23</v>
      </c>
      <c r="D139" s="0" t="n">
        <v>4.42</v>
      </c>
    </row>
    <row r="140" customFormat="false" ht="15" hidden="false" customHeight="false" outlineLevel="0" collapsed="false">
      <c r="A140" s="0" t="s">
        <v>187</v>
      </c>
      <c r="B140" s="0" t="s">
        <v>42</v>
      </c>
      <c r="C140" s="0" t="n">
        <v>5.26</v>
      </c>
      <c r="D140" s="0" t="n">
        <v>5.07</v>
      </c>
    </row>
    <row r="141" customFormat="false" ht="15" hidden="false" customHeight="false" outlineLevel="0" collapsed="false">
      <c r="A141" s="0" t="s">
        <v>188</v>
      </c>
      <c r="B141" s="0" t="s">
        <v>42</v>
      </c>
      <c r="C141" s="0" t="n">
        <v>5.9</v>
      </c>
      <c r="D141" s="0" t="n">
        <v>5.1</v>
      </c>
    </row>
    <row r="142" customFormat="false" ht="15" hidden="false" customHeight="false" outlineLevel="0" collapsed="false">
      <c r="A142" s="0" t="s">
        <v>189</v>
      </c>
      <c r="B142" s="0" t="s">
        <v>42</v>
      </c>
      <c r="C142" s="0" t="n">
        <v>5.92</v>
      </c>
      <c r="D142" s="0" t="n">
        <v>4.8</v>
      </c>
    </row>
    <row r="143" customFormat="false" ht="15" hidden="false" customHeight="false" outlineLevel="0" collapsed="false">
      <c r="A143" s="0" t="s">
        <v>190</v>
      </c>
      <c r="B143" s="0" t="s">
        <v>42</v>
      </c>
      <c r="C143" s="0" t="n">
        <v>6.28</v>
      </c>
      <c r="D143" s="0" t="n">
        <v>5.4</v>
      </c>
    </row>
    <row r="144" customFormat="false" ht="15" hidden="false" customHeight="false" outlineLevel="0" collapsed="false">
      <c r="A144" s="0" t="s">
        <v>193</v>
      </c>
      <c r="B144" s="0" t="s">
        <v>191</v>
      </c>
      <c r="C144" s="0" t="n">
        <v>3.59</v>
      </c>
      <c r="D144" s="0" t="n">
        <v>4.21</v>
      </c>
    </row>
    <row r="145" customFormat="false" ht="15" hidden="false" customHeight="false" outlineLevel="0" collapsed="false">
      <c r="A145" s="0" t="s">
        <v>194</v>
      </c>
      <c r="B145" s="0" t="s">
        <v>191</v>
      </c>
      <c r="C145" s="0" t="n">
        <v>6.62</v>
      </c>
      <c r="D145" s="0" t="n">
        <v>8.02</v>
      </c>
    </row>
    <row r="146" customFormat="false" ht="15" hidden="false" customHeight="false" outlineLevel="0" collapsed="false">
      <c r="A146" s="0" t="s">
        <v>195</v>
      </c>
      <c r="B146" s="0" t="s">
        <v>191</v>
      </c>
      <c r="C146" s="0" t="n">
        <v>2.09</v>
      </c>
      <c r="D146" s="0" t="n">
        <v>7.31</v>
      </c>
    </row>
    <row r="147" customFormat="false" ht="15" hidden="false" customHeight="false" outlineLevel="0" collapsed="false">
      <c r="A147" s="0" t="s">
        <v>196</v>
      </c>
      <c r="B147" s="0" t="s">
        <v>191</v>
      </c>
      <c r="C147" s="0" t="n">
        <v>0.05</v>
      </c>
      <c r="D147" s="0" t="n">
        <v>1.93</v>
      </c>
    </row>
    <row r="148" customFormat="false" ht="15" hidden="false" customHeight="false" outlineLevel="0" collapsed="false">
      <c r="A148" s="0" t="s">
        <v>197</v>
      </c>
      <c r="B148" s="0" t="s">
        <v>191</v>
      </c>
      <c r="C148" s="0" t="n">
        <v>6.69</v>
      </c>
      <c r="D148" s="0" t="n">
        <v>6.15</v>
      </c>
    </row>
    <row r="149" customFormat="false" ht="15" hidden="false" customHeight="false" outlineLevel="0" collapsed="false">
      <c r="A149" s="0" t="s">
        <v>198</v>
      </c>
      <c r="B149" s="0" t="s">
        <v>191</v>
      </c>
      <c r="C149" s="0" t="n">
        <v>3.05</v>
      </c>
      <c r="D149" s="0" t="n">
        <v>2.93</v>
      </c>
    </row>
    <row r="150" customFormat="false" ht="15" hidden="false" customHeight="false" outlineLevel="0" collapsed="false">
      <c r="A150" s="0" t="s">
        <v>199</v>
      </c>
      <c r="B150" s="0" t="s">
        <v>191</v>
      </c>
      <c r="C150" s="0" t="n">
        <v>2.94</v>
      </c>
      <c r="D150" s="0" t="n">
        <v>1.3</v>
      </c>
    </row>
    <row r="151" customFormat="false" ht="15" hidden="false" customHeight="false" outlineLevel="0" collapsed="false">
      <c r="A151" s="0" t="s">
        <v>200</v>
      </c>
      <c r="B151" s="0" t="s">
        <v>191</v>
      </c>
      <c r="C151" s="0" t="n">
        <v>9.42</v>
      </c>
      <c r="D151" s="0" t="n">
        <v>3.15</v>
      </c>
    </row>
    <row r="152" customFormat="false" ht="15" hidden="false" customHeight="false" outlineLevel="0" collapsed="false">
      <c r="A152" s="0" t="s">
        <v>201</v>
      </c>
      <c r="B152" s="0" t="s">
        <v>191</v>
      </c>
      <c r="C152" s="0" t="n">
        <v>6.86</v>
      </c>
      <c r="D152" s="0" t="n">
        <v>2.76</v>
      </c>
    </row>
    <row r="153" customFormat="false" ht="15" hidden="false" customHeight="false" outlineLevel="0" collapsed="false">
      <c r="A153" s="0" t="s">
        <v>202</v>
      </c>
      <c r="B153" s="0" t="s">
        <v>191</v>
      </c>
      <c r="C153" s="0" t="n">
        <v>3.68</v>
      </c>
      <c r="D153" s="0" t="n">
        <v>7.67</v>
      </c>
    </row>
    <row r="154" customFormat="false" ht="15" hidden="false" customHeight="false" outlineLevel="0" collapsed="false">
      <c r="A154" s="0" t="s">
        <v>203</v>
      </c>
      <c r="B154" s="0" t="s">
        <v>191</v>
      </c>
      <c r="C154" s="0" t="n">
        <v>4.88</v>
      </c>
      <c r="D154" s="0" t="n">
        <v>2.75</v>
      </c>
    </row>
    <row r="155" customFormat="false" ht="15" hidden="false" customHeight="false" outlineLevel="0" collapsed="false">
      <c r="A155" s="0" t="s">
        <v>204</v>
      </c>
      <c r="B155" s="0" t="s">
        <v>191</v>
      </c>
      <c r="C155" s="0" t="n">
        <v>3.1</v>
      </c>
      <c r="D155" s="0" t="n">
        <v>5.86</v>
      </c>
    </row>
    <row r="156" customFormat="false" ht="15" hidden="false" customHeight="false" outlineLevel="0" collapsed="false">
      <c r="A156" s="0" t="s">
        <v>205</v>
      </c>
      <c r="B156" s="0" t="s">
        <v>191</v>
      </c>
      <c r="C156" s="0" t="n">
        <v>6.19</v>
      </c>
      <c r="D156" s="0" t="n">
        <v>9.57</v>
      </c>
    </row>
    <row r="157" customFormat="false" ht="15" hidden="false" customHeight="false" outlineLevel="0" collapsed="false">
      <c r="A157" s="0" t="s">
        <v>206</v>
      </c>
      <c r="B157" s="0" t="s">
        <v>191</v>
      </c>
      <c r="C157" s="0" t="n">
        <v>4.72</v>
      </c>
      <c r="D157" s="0" t="n">
        <v>5.97</v>
      </c>
    </row>
    <row r="158" customFormat="false" ht="15" hidden="false" customHeight="false" outlineLevel="0" collapsed="false">
      <c r="A158" s="0" t="s">
        <v>207</v>
      </c>
      <c r="B158" s="0" t="s">
        <v>191</v>
      </c>
      <c r="C158" s="0" t="n">
        <v>6.62</v>
      </c>
      <c r="D158" s="0" t="n">
        <v>4.69</v>
      </c>
    </row>
    <row r="159" customFormat="false" ht="15" hidden="false" customHeight="false" outlineLevel="0" collapsed="false">
      <c r="A159" s="0" t="s">
        <v>208</v>
      </c>
      <c r="B159" s="0" t="s">
        <v>191</v>
      </c>
      <c r="C159" s="0" t="n">
        <v>4.7</v>
      </c>
      <c r="D159" s="0" t="n">
        <v>1.37</v>
      </c>
    </row>
    <row r="160" customFormat="false" ht="15" hidden="false" customHeight="false" outlineLevel="0" collapsed="false">
      <c r="A160" s="0" t="s">
        <v>209</v>
      </c>
      <c r="B160" s="0" t="s">
        <v>191</v>
      </c>
      <c r="C160" s="0" t="n">
        <v>5.18</v>
      </c>
      <c r="D160" s="0" t="n">
        <v>3.93</v>
      </c>
    </row>
    <row r="161" customFormat="false" ht="15" hidden="false" customHeight="false" outlineLevel="0" collapsed="false">
      <c r="A161" s="0" t="s">
        <v>210</v>
      </c>
      <c r="B161" s="0" t="s">
        <v>191</v>
      </c>
      <c r="C161" s="0" t="n">
        <v>1.02</v>
      </c>
      <c r="D161" s="0" t="n">
        <v>1.34</v>
      </c>
    </row>
    <row r="162" customFormat="false" ht="15" hidden="false" customHeight="false" outlineLevel="0" collapsed="false">
      <c r="A162" s="0" t="s">
        <v>211</v>
      </c>
      <c r="B162" s="0" t="s">
        <v>191</v>
      </c>
      <c r="C162" s="0" t="n">
        <v>2.34</v>
      </c>
      <c r="D162" s="0" t="n">
        <v>5.04</v>
      </c>
    </row>
    <row r="163" customFormat="false" ht="15" hidden="false" customHeight="false" outlineLevel="0" collapsed="false">
      <c r="A163" s="0" t="s">
        <v>212</v>
      </c>
      <c r="B163" s="0" t="s">
        <v>191</v>
      </c>
      <c r="C163" s="0" t="n">
        <v>4</v>
      </c>
      <c r="D163" s="0" t="n">
        <v>4.81</v>
      </c>
    </row>
    <row r="164" customFormat="false" ht="15" hidden="false" customHeight="false" outlineLevel="0" collapsed="false">
      <c r="A164" s="0" t="s">
        <v>269</v>
      </c>
      <c r="B164" s="0" t="s">
        <v>268</v>
      </c>
      <c r="C164" s="0" t="n">
        <v>5.66</v>
      </c>
      <c r="D164" s="0" t="n">
        <v>9.86</v>
      </c>
    </row>
    <row r="165" customFormat="false" ht="15" hidden="false" customHeight="false" outlineLevel="0" collapsed="false">
      <c r="A165" s="0" t="s">
        <v>270</v>
      </c>
      <c r="B165" s="0" t="s">
        <v>268</v>
      </c>
      <c r="C165" s="0" t="n">
        <v>4.16</v>
      </c>
      <c r="D165" s="0" t="n">
        <v>8.11</v>
      </c>
    </row>
    <row r="166" customFormat="false" ht="15" hidden="false" customHeight="false" outlineLevel="0" collapsed="false">
      <c r="A166" s="0" t="s">
        <v>271</v>
      </c>
      <c r="B166" s="0" t="s">
        <v>268</v>
      </c>
      <c r="C166" s="0" t="n">
        <v>3.57</v>
      </c>
      <c r="D166" s="0" t="n">
        <v>7.44</v>
      </c>
    </row>
    <row r="167" customFormat="false" ht="15" hidden="false" customHeight="false" outlineLevel="0" collapsed="false">
      <c r="A167" s="0" t="s">
        <v>272</v>
      </c>
      <c r="B167" s="0" t="s">
        <v>268</v>
      </c>
      <c r="C167" s="0" t="n">
        <v>5.61</v>
      </c>
      <c r="D167" s="0" t="n">
        <v>7.38</v>
      </c>
    </row>
    <row r="168" customFormat="false" ht="15" hidden="false" customHeight="false" outlineLevel="0" collapsed="false">
      <c r="A168" s="0" t="s">
        <v>273</v>
      </c>
      <c r="B168" s="0" t="s">
        <v>268</v>
      </c>
      <c r="C168" s="0" t="n">
        <v>4.52</v>
      </c>
      <c r="D168" s="0" t="n">
        <v>6.91</v>
      </c>
    </row>
    <row r="169" customFormat="false" ht="15" hidden="false" customHeight="false" outlineLevel="0" collapsed="false">
      <c r="A169" s="0" t="s">
        <v>274</v>
      </c>
      <c r="B169" s="0" t="s">
        <v>268</v>
      </c>
      <c r="C169" s="0" t="n">
        <v>4.14</v>
      </c>
      <c r="D169" s="0" t="n">
        <v>6.44</v>
      </c>
    </row>
    <row r="170" customFormat="false" ht="15" hidden="false" customHeight="false" outlineLevel="0" collapsed="false">
      <c r="A170" s="0" t="s">
        <v>275</v>
      </c>
      <c r="B170" s="0" t="s">
        <v>268</v>
      </c>
      <c r="C170" s="0" t="n">
        <v>3.45</v>
      </c>
      <c r="D170" s="0" t="n">
        <v>6.29</v>
      </c>
    </row>
    <row r="171" customFormat="false" ht="15" hidden="false" customHeight="false" outlineLevel="0" collapsed="false">
      <c r="A171" s="0" t="s">
        <v>276</v>
      </c>
      <c r="B171" s="0" t="s">
        <v>268</v>
      </c>
      <c r="C171" s="0" t="n">
        <v>4.19</v>
      </c>
      <c r="D171" s="0" t="n">
        <v>6.23</v>
      </c>
    </row>
    <row r="172" customFormat="false" ht="15" hidden="false" customHeight="false" outlineLevel="0" collapsed="false">
      <c r="A172" s="0" t="s">
        <v>277</v>
      </c>
      <c r="B172" s="0" t="s">
        <v>268</v>
      </c>
      <c r="C172" s="0" t="n">
        <v>2.43</v>
      </c>
      <c r="D172" s="0" t="n">
        <v>5.68</v>
      </c>
    </row>
    <row r="173" customFormat="false" ht="15" hidden="false" customHeight="false" outlineLevel="0" collapsed="false">
      <c r="A173" s="0" t="s">
        <v>278</v>
      </c>
      <c r="B173" s="0" t="s">
        <v>268</v>
      </c>
      <c r="C173" s="0" t="n">
        <v>2.62</v>
      </c>
      <c r="D173" s="0" t="n">
        <v>5.32</v>
      </c>
    </row>
    <row r="174" customFormat="false" ht="15" hidden="false" customHeight="false" outlineLevel="0" collapsed="false">
      <c r="A174" s="0" t="s">
        <v>279</v>
      </c>
      <c r="B174" s="0" t="s">
        <v>268</v>
      </c>
      <c r="C174" s="0" t="n">
        <v>7.63</v>
      </c>
      <c r="D174" s="0" t="n">
        <v>5.26</v>
      </c>
    </row>
    <row r="175" customFormat="false" ht="15" hidden="false" customHeight="false" outlineLevel="0" collapsed="false">
      <c r="A175" s="0" t="s">
        <v>280</v>
      </c>
      <c r="B175" s="0" t="s">
        <v>268</v>
      </c>
      <c r="C175" s="0" t="n">
        <v>2.9</v>
      </c>
      <c r="D175" s="0" t="n">
        <v>5.22</v>
      </c>
    </row>
    <row r="176" customFormat="false" ht="15" hidden="false" customHeight="false" outlineLevel="0" collapsed="false">
      <c r="A176" s="0" t="s">
        <v>281</v>
      </c>
      <c r="B176" s="0" t="s">
        <v>268</v>
      </c>
      <c r="C176" s="0" t="n">
        <v>9.46</v>
      </c>
      <c r="D176" s="0" t="n">
        <v>4.65</v>
      </c>
    </row>
    <row r="177" customFormat="false" ht="15" hidden="false" customHeight="false" outlineLevel="0" collapsed="false">
      <c r="A177" s="0" t="s">
        <v>282</v>
      </c>
      <c r="B177" s="0" t="s">
        <v>268</v>
      </c>
      <c r="C177" s="0" t="n">
        <v>6.31</v>
      </c>
      <c r="D177" s="0" t="n">
        <v>4.47</v>
      </c>
    </row>
    <row r="178" customFormat="false" ht="15" hidden="false" customHeight="false" outlineLevel="0" collapsed="false">
      <c r="A178" s="0" t="s">
        <v>283</v>
      </c>
      <c r="B178" s="0" t="s">
        <v>268</v>
      </c>
      <c r="C178" s="0" t="n">
        <v>9.09</v>
      </c>
      <c r="D178" s="0" t="n">
        <v>4.4</v>
      </c>
    </row>
    <row r="179" customFormat="false" ht="15" hidden="false" customHeight="false" outlineLevel="0" collapsed="false">
      <c r="A179" s="0" t="s">
        <v>284</v>
      </c>
      <c r="B179" s="0" t="s">
        <v>268</v>
      </c>
      <c r="C179" s="0" t="n">
        <v>8.98</v>
      </c>
      <c r="D179" s="0" t="n">
        <v>4.34</v>
      </c>
    </row>
    <row r="180" customFormat="false" ht="15" hidden="false" customHeight="false" outlineLevel="0" collapsed="false">
      <c r="A180" s="0" t="s">
        <v>285</v>
      </c>
      <c r="B180" s="0" t="s">
        <v>268</v>
      </c>
      <c r="C180" s="0" t="n">
        <v>4.52</v>
      </c>
      <c r="D180" s="0" t="n">
        <v>4.3</v>
      </c>
    </row>
    <row r="181" customFormat="false" ht="15" hidden="false" customHeight="false" outlineLevel="0" collapsed="false">
      <c r="A181" s="0" t="s">
        <v>286</v>
      </c>
      <c r="B181" s="0" t="s">
        <v>268</v>
      </c>
      <c r="C181" s="0" t="n">
        <v>6.17</v>
      </c>
      <c r="D181" s="0" t="n">
        <v>4.18</v>
      </c>
    </row>
    <row r="182" customFormat="false" ht="15" hidden="false" customHeight="false" outlineLevel="0" collapsed="false">
      <c r="A182" s="0" t="s">
        <v>287</v>
      </c>
      <c r="B182" s="0" t="s">
        <v>268</v>
      </c>
      <c r="C182" s="0" t="n">
        <v>7.69</v>
      </c>
      <c r="D182" s="0" t="n">
        <v>4.08</v>
      </c>
    </row>
    <row r="183" customFormat="false" ht="15" hidden="false" customHeight="false" outlineLevel="0" collapsed="false">
      <c r="A183" s="0" t="s">
        <v>288</v>
      </c>
      <c r="B183" s="0" t="s">
        <v>268</v>
      </c>
      <c r="C183" s="0" t="n">
        <v>7.78</v>
      </c>
      <c r="D183" s="0" t="n">
        <v>4.01</v>
      </c>
    </row>
    <row r="184" customFormat="false" ht="15" hidden="false" customHeight="false" outlineLevel="0" collapsed="false">
      <c r="A184" s="0" t="s">
        <v>289</v>
      </c>
      <c r="B184" s="0" t="s">
        <v>268</v>
      </c>
      <c r="C184" s="0" t="n">
        <v>8.66</v>
      </c>
      <c r="D184" s="0" t="n">
        <v>3.96</v>
      </c>
    </row>
    <row r="185" customFormat="false" ht="15" hidden="false" customHeight="false" outlineLevel="0" collapsed="false">
      <c r="A185" s="0" t="s">
        <v>290</v>
      </c>
      <c r="B185" s="0" t="s">
        <v>268</v>
      </c>
      <c r="C185" s="0" t="n">
        <v>3.99</v>
      </c>
      <c r="D185" s="0" t="n">
        <v>3.65</v>
      </c>
    </row>
    <row r="186" customFormat="false" ht="15" hidden="false" customHeight="false" outlineLevel="0" collapsed="false">
      <c r="A186" s="0" t="s">
        <v>291</v>
      </c>
      <c r="B186" s="0" t="s">
        <v>268</v>
      </c>
      <c r="C186" s="0" t="n">
        <v>2.96</v>
      </c>
      <c r="D186" s="0" t="n">
        <v>3.54</v>
      </c>
    </row>
    <row r="187" customFormat="false" ht="15" hidden="false" customHeight="false" outlineLevel="0" collapsed="false">
      <c r="A187" s="0" t="s">
        <v>292</v>
      </c>
      <c r="B187" s="0" t="s">
        <v>268</v>
      </c>
      <c r="C187" s="0" t="n">
        <v>9.6</v>
      </c>
      <c r="D187" s="0" t="n">
        <v>3.41</v>
      </c>
    </row>
    <row r="188" customFormat="false" ht="15" hidden="false" customHeight="false" outlineLevel="0" collapsed="false">
      <c r="A188" s="0" t="s">
        <v>293</v>
      </c>
      <c r="B188" s="0" t="s">
        <v>268</v>
      </c>
      <c r="C188" s="0" t="n">
        <v>5.13</v>
      </c>
      <c r="D188" s="0" t="n">
        <v>3.2</v>
      </c>
    </row>
    <row r="189" customFormat="false" ht="15" hidden="false" customHeight="false" outlineLevel="0" collapsed="false">
      <c r="A189" s="0" t="s">
        <v>294</v>
      </c>
      <c r="B189" s="0" t="s">
        <v>268</v>
      </c>
      <c r="C189" s="0" t="n">
        <v>7.21</v>
      </c>
      <c r="D189" s="0" t="n">
        <v>3.13</v>
      </c>
    </row>
    <row r="190" customFormat="false" ht="15" hidden="false" customHeight="false" outlineLevel="0" collapsed="false">
      <c r="A190" s="0" t="s">
        <v>295</v>
      </c>
      <c r="B190" s="0" t="s">
        <v>268</v>
      </c>
      <c r="C190" s="0" t="n">
        <v>5.94</v>
      </c>
      <c r="D190" s="0" t="n">
        <v>2.75</v>
      </c>
    </row>
    <row r="191" customFormat="false" ht="15" hidden="false" customHeight="false" outlineLevel="0" collapsed="false">
      <c r="A191" s="0" t="s">
        <v>296</v>
      </c>
      <c r="B191" s="0" t="s">
        <v>268</v>
      </c>
      <c r="C191" s="0" t="n">
        <v>2.61</v>
      </c>
      <c r="D191" s="0" t="n">
        <v>2.63</v>
      </c>
    </row>
    <row r="192" customFormat="false" ht="15" hidden="false" customHeight="false" outlineLevel="0" collapsed="false">
      <c r="A192" s="0" t="s">
        <v>297</v>
      </c>
      <c r="B192" s="0" t="s">
        <v>268</v>
      </c>
      <c r="C192" s="0" t="n">
        <v>0.77</v>
      </c>
      <c r="D192" s="0" t="n">
        <v>2.13</v>
      </c>
    </row>
    <row r="193" customFormat="false" ht="15" hidden="false" customHeight="false" outlineLevel="0" collapsed="false">
      <c r="A193" s="0" t="s">
        <v>298</v>
      </c>
      <c r="B193" s="0" t="s">
        <v>268</v>
      </c>
      <c r="C193" s="0" t="n">
        <v>4.91</v>
      </c>
      <c r="D193" s="0" t="n">
        <v>2.08</v>
      </c>
    </row>
    <row r="194" customFormat="false" ht="15" hidden="false" customHeight="false" outlineLevel="0" collapsed="false">
      <c r="A194" s="0" t="s">
        <v>299</v>
      </c>
      <c r="B194" s="0" t="s">
        <v>268</v>
      </c>
      <c r="C194" s="0" t="n">
        <v>1.85</v>
      </c>
      <c r="D194" s="0" t="n">
        <v>2</v>
      </c>
    </row>
    <row r="195" customFormat="false" ht="15" hidden="false" customHeight="false" outlineLevel="0" collapsed="false">
      <c r="A195" s="0" t="s">
        <v>300</v>
      </c>
      <c r="B195" s="0" t="s">
        <v>268</v>
      </c>
      <c r="C195" s="0" t="n">
        <v>4.92</v>
      </c>
      <c r="D195" s="0" t="n">
        <v>1.63</v>
      </c>
    </row>
    <row r="196" customFormat="false" ht="15" hidden="false" customHeight="false" outlineLevel="0" collapsed="false">
      <c r="A196" s="0" t="s">
        <v>301</v>
      </c>
      <c r="B196" s="0" t="s">
        <v>268</v>
      </c>
      <c r="C196" s="0" t="n">
        <v>4.84</v>
      </c>
      <c r="D196" s="0" t="n">
        <v>1.59</v>
      </c>
    </row>
    <row r="197" customFormat="false" ht="15" hidden="false" customHeight="false" outlineLevel="0" collapsed="false">
      <c r="A197" s="0" t="s">
        <v>302</v>
      </c>
      <c r="B197" s="0" t="s">
        <v>268</v>
      </c>
      <c r="C197" s="0" t="n">
        <v>1.3</v>
      </c>
      <c r="D197" s="0" t="n">
        <v>1.51</v>
      </c>
    </row>
    <row r="198" customFormat="false" ht="15" hidden="false" customHeight="false" outlineLevel="0" collapsed="false">
      <c r="A198" s="0" t="s">
        <v>303</v>
      </c>
      <c r="B198" s="0" t="s">
        <v>268</v>
      </c>
      <c r="C198" s="0" t="n">
        <v>3.64</v>
      </c>
      <c r="D198" s="0" t="n">
        <v>1.4</v>
      </c>
    </row>
    <row r="199" customFormat="false" ht="15" hidden="false" customHeight="false" outlineLevel="0" collapsed="false">
      <c r="A199" s="0" t="s">
        <v>304</v>
      </c>
      <c r="B199" s="0" t="s">
        <v>268</v>
      </c>
      <c r="C199" s="0" t="n">
        <v>0.61</v>
      </c>
      <c r="D199" s="0" t="n">
        <v>1.37</v>
      </c>
    </row>
    <row r="200" customFormat="false" ht="15" hidden="false" customHeight="false" outlineLevel="0" collapsed="false">
      <c r="A200" s="0" t="s">
        <v>305</v>
      </c>
      <c r="B200" s="0" t="s">
        <v>268</v>
      </c>
      <c r="C200" s="0" t="n">
        <v>3.67</v>
      </c>
      <c r="D200" s="0" t="n">
        <v>1.24</v>
      </c>
    </row>
    <row r="201" customFormat="false" ht="15" hidden="false" customHeight="false" outlineLevel="0" collapsed="false">
      <c r="A201" s="0" t="s">
        <v>306</v>
      </c>
      <c r="B201" s="0" t="s">
        <v>268</v>
      </c>
      <c r="C201" s="0" t="n">
        <v>1.6</v>
      </c>
      <c r="D201" s="0" t="n">
        <v>1.09</v>
      </c>
    </row>
    <row r="202" customFormat="false" ht="15" hidden="false" customHeight="false" outlineLevel="0" collapsed="false">
      <c r="A202" s="0" t="s">
        <v>307</v>
      </c>
      <c r="B202" s="0" t="s">
        <v>268</v>
      </c>
      <c r="C202" s="0" t="n">
        <v>1.66</v>
      </c>
      <c r="D202" s="0" t="n">
        <v>0.94</v>
      </c>
    </row>
    <row r="203" customFormat="false" ht="15" hidden="false" customHeight="false" outlineLevel="0" collapsed="false">
      <c r="A203" s="0" t="s">
        <v>308</v>
      </c>
      <c r="B203" s="0" t="s">
        <v>268</v>
      </c>
      <c r="C203" s="0" t="n">
        <v>1.11</v>
      </c>
      <c r="D203" s="0" t="n">
        <v>0.89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7"/>
    <col collapsed="false" customWidth="true" hidden="false" outlineLevel="0" max="5" min="5" style="0" width="24"/>
    <col collapsed="false" customWidth="true" hidden="false" outlineLevel="0" max="6" min="6" style="0" width="25"/>
    <col collapsed="false" customWidth="true" hidden="false" outlineLevel="0" max="7" min="7" style="0" width="50"/>
    <col collapsed="false" customWidth="true" hidden="false" outlineLevel="0" max="9" min="9" style="0" width="22"/>
    <col collapsed="false" customWidth="true" hidden="false" outlineLevel="0" max="10" min="10" style="0" width="25"/>
  </cols>
  <sheetData>
    <row r="1" customFormat="false" ht="24.75" hidden="false" customHeight="true" outlineLevel="0" collapsed="false">
      <c r="A1" s="29" t="s">
        <v>364</v>
      </c>
      <c r="B1" s="29"/>
      <c r="C1" s="29"/>
      <c r="D1" s="29"/>
      <c r="E1" s="29"/>
      <c r="F1" s="29"/>
      <c r="G1" s="29"/>
    </row>
    <row r="2" customFormat="false" ht="24.75" hidden="false" customHeight="true" outlineLevel="0" collapsed="false">
      <c r="A2" s="29"/>
      <c r="B2" s="29"/>
      <c r="C2" s="29"/>
      <c r="D2" s="29"/>
      <c r="E2" s="29"/>
      <c r="F2" s="29"/>
      <c r="G2" s="29"/>
    </row>
    <row r="3" customFormat="false" ht="24.75" hidden="false" customHeight="true" outlineLevel="0" collapsed="false">
      <c r="A3" s="30" t="s">
        <v>365</v>
      </c>
      <c r="B3" s="30"/>
      <c r="C3" s="30"/>
      <c r="D3" s="30"/>
      <c r="E3" s="30"/>
      <c r="F3" s="30"/>
      <c r="G3" s="30"/>
    </row>
    <row r="5" customFormat="false" ht="15" hidden="false" customHeight="false" outlineLevel="0" collapsed="false">
      <c r="A5" s="0" t="s">
        <v>366</v>
      </c>
      <c r="B5" s="31" t="n">
        <v>560695</v>
      </c>
      <c r="C5" s="0" t="s">
        <v>367</v>
      </c>
      <c r="D5" s="32" t="s">
        <v>368</v>
      </c>
      <c r="E5" s="32"/>
      <c r="F5" s="32"/>
      <c r="G5" s="32"/>
    </row>
    <row r="6" customFormat="false" ht="27.75" hidden="false" customHeight="true" outlineLevel="0" collapsed="false">
      <c r="A6" s="0" t="s">
        <v>369</v>
      </c>
      <c r="B6" s="31" t="n">
        <f aca="false">J19</f>
        <v>198449</v>
      </c>
      <c r="C6" s="0" t="s">
        <v>370</v>
      </c>
      <c r="D6" s="32" t="s">
        <v>371</v>
      </c>
      <c r="E6" s="32"/>
      <c r="F6" s="32"/>
      <c r="G6" s="32"/>
      <c r="I6" s="33" t="s">
        <v>372</v>
      </c>
      <c r="J6" s="33" t="s">
        <v>373</v>
      </c>
    </row>
    <row r="7" customFormat="false" ht="15" hidden="false" customHeight="false" outlineLevel="0" collapsed="false">
      <c r="A7" s="0" t="s">
        <v>374</v>
      </c>
      <c r="B7" s="31" t="n">
        <v>198446</v>
      </c>
      <c r="C7" s="0" t="s">
        <v>370</v>
      </c>
      <c r="D7" s="32" t="s">
        <v>375</v>
      </c>
      <c r="E7" s="32"/>
      <c r="F7" s="32"/>
      <c r="G7" s="32"/>
      <c r="I7" s="0" t="s">
        <v>376</v>
      </c>
      <c r="J7" s="10" t="n">
        <v>17945</v>
      </c>
    </row>
    <row r="8" customFormat="false" ht="15" hidden="false" customHeight="false" outlineLevel="0" collapsed="false">
      <c r="A8" s="0" t="s">
        <v>377</v>
      </c>
      <c r="B8" s="31" t="n">
        <f aca="false">B6-B7</f>
        <v>3</v>
      </c>
      <c r="C8" s="0" t="s">
        <v>370</v>
      </c>
      <c r="D8" s="32" t="s">
        <v>378</v>
      </c>
      <c r="E8" s="32"/>
      <c r="F8" s="32"/>
      <c r="G8" s="32"/>
      <c r="I8" s="0" t="s">
        <v>379</v>
      </c>
      <c r="J8" s="10" t="n">
        <v>15275</v>
      </c>
    </row>
    <row r="9" customFormat="false" ht="15" hidden="false" customHeight="false" outlineLevel="0" collapsed="false">
      <c r="A9" s="0" t="s">
        <v>380</v>
      </c>
      <c r="B9" s="15" t="n">
        <f aca="false">B6/B5</f>
        <v>0.353933956964125</v>
      </c>
      <c r="C9" s="0" t="s">
        <v>381</v>
      </c>
      <c r="D9" s="32" t="s">
        <v>382</v>
      </c>
      <c r="E9" s="32"/>
      <c r="F9" s="32"/>
      <c r="G9" s="32"/>
      <c r="I9" s="0" t="s">
        <v>383</v>
      </c>
      <c r="J9" s="10" t="n">
        <v>17206</v>
      </c>
    </row>
    <row r="10" customFormat="false" ht="15" hidden="false" customHeight="false" outlineLevel="0" collapsed="false">
      <c r="A10" s="0" t="s">
        <v>384</v>
      </c>
      <c r="B10" s="15" t="n">
        <f aca="false">B24</f>
        <v>0.285</v>
      </c>
      <c r="C10" s="0" t="s">
        <v>385</v>
      </c>
      <c r="D10" s="32" t="s">
        <v>386</v>
      </c>
      <c r="E10" s="32"/>
      <c r="F10" s="32"/>
      <c r="G10" s="32"/>
      <c r="I10" s="0" t="s">
        <v>387</v>
      </c>
      <c r="J10" s="10" t="n">
        <v>15613</v>
      </c>
    </row>
    <row r="11" customFormat="false" ht="15" hidden="false" customHeight="false" outlineLevel="0" collapsed="false">
      <c r="A11" s="0" t="s">
        <v>388</v>
      </c>
      <c r="B11" s="15" t="n">
        <f aca="false">E24</f>
        <v>0.100871177734776</v>
      </c>
      <c r="C11" s="0" t="s">
        <v>381</v>
      </c>
      <c r="D11" s="32" t="s">
        <v>389</v>
      </c>
      <c r="E11" s="32"/>
      <c r="F11" s="32"/>
      <c r="G11" s="32"/>
      <c r="I11" s="0" t="s">
        <v>390</v>
      </c>
      <c r="J11" s="10" t="n">
        <v>16528</v>
      </c>
    </row>
    <row r="12" customFormat="false" ht="15" hidden="false" customHeight="false" outlineLevel="0" collapsed="false">
      <c r="A12" s="0" t="s">
        <v>391</v>
      </c>
      <c r="B12" s="15" t="n">
        <f aca="false">F24</f>
        <v>56557.965</v>
      </c>
      <c r="C12" s="0" t="s">
        <v>392</v>
      </c>
      <c r="D12" s="32" t="s">
        <v>393</v>
      </c>
      <c r="E12" s="32"/>
      <c r="F12" s="32"/>
      <c r="G12" s="32"/>
      <c r="I12" s="0" t="s">
        <v>394</v>
      </c>
      <c r="J12" s="10" t="n">
        <v>15204</v>
      </c>
    </row>
    <row r="13" customFormat="false" ht="15" hidden="false" customHeight="false" outlineLevel="0" collapsed="false">
      <c r="A13" s="0" t="s">
        <v>395</v>
      </c>
      <c r="B13" s="34" t="n">
        <f aca="false">SUM(Sectores!C2:C143)</f>
        <v>560695</v>
      </c>
      <c r="C13" s="0" t="s">
        <v>367</v>
      </c>
      <c r="D13" s="32" t="s">
        <v>396</v>
      </c>
      <c r="E13" s="32"/>
      <c r="F13" s="32"/>
      <c r="G13" s="32"/>
      <c r="I13" s="0" t="s">
        <v>397</v>
      </c>
      <c r="J13" s="10" t="n">
        <v>15162</v>
      </c>
    </row>
    <row r="14" customFormat="false" ht="15" hidden="false" customHeight="false" outlineLevel="0" collapsed="false">
      <c r="A14" s="0" t="s">
        <v>398</v>
      </c>
      <c r="B14" s="34" t="n">
        <f aca="false">SUM(Semanas!C2:C53)</f>
        <v>1</v>
      </c>
      <c r="C14" s="0" t="s">
        <v>385</v>
      </c>
      <c r="D14" s="32" t="s">
        <v>399</v>
      </c>
      <c r="E14" s="32"/>
      <c r="F14" s="32"/>
      <c r="G14" s="32"/>
      <c r="I14" s="0" t="s">
        <v>400</v>
      </c>
      <c r="J14" s="10" t="n">
        <v>16641</v>
      </c>
    </row>
    <row r="15" customFormat="false" ht="15" hidden="false" customHeight="false" outlineLevel="0" collapsed="false">
      <c r="A15" s="0" t="s">
        <v>401</v>
      </c>
      <c r="B15" s="34" t="n">
        <f aca="false">COUNTA(Generacion!A2:A711)</f>
        <v>710</v>
      </c>
      <c r="C15" s="0" t="s">
        <v>402</v>
      </c>
      <c r="D15" s="32" t="s">
        <v>403</v>
      </c>
      <c r="E15" s="32"/>
      <c r="F15" s="32"/>
      <c r="G15" s="32"/>
      <c r="I15" s="0" t="s">
        <v>404</v>
      </c>
      <c r="J15" s="10" t="n">
        <v>16088</v>
      </c>
    </row>
    <row r="16" customFormat="false" ht="15" hidden="false" customHeight="false" outlineLevel="0" collapsed="false">
      <c r="A16" s="0" t="s">
        <v>405</v>
      </c>
      <c r="B16" s="34" t="n">
        <f aca="false">B15-710</f>
        <v>0</v>
      </c>
      <c r="C16" s="0" t="s">
        <v>402</v>
      </c>
      <c r="D16" s="32" t="s">
        <v>406</v>
      </c>
      <c r="E16" s="32"/>
      <c r="F16" s="32"/>
      <c r="G16" s="32"/>
      <c r="I16" s="0" t="s">
        <v>407</v>
      </c>
      <c r="J16" s="10" t="n">
        <v>17304</v>
      </c>
    </row>
    <row r="17" customFormat="false" ht="15" hidden="false" customHeight="false" outlineLevel="0" collapsed="false">
      <c r="I17" s="0" t="s">
        <v>408</v>
      </c>
      <c r="J17" s="10" t="n">
        <v>16900</v>
      </c>
    </row>
    <row r="18" customFormat="false" ht="27.75" hidden="false" customHeight="true" outlineLevel="0" collapsed="false">
      <c r="A18" s="35" t="s">
        <v>409</v>
      </c>
      <c r="B18" s="35" t="s">
        <v>410</v>
      </c>
      <c r="C18" s="35" t="s">
        <v>411</v>
      </c>
      <c r="D18" s="35" t="s">
        <v>412</v>
      </c>
      <c r="E18" s="35" t="s">
        <v>413</v>
      </c>
      <c r="F18" s="35" t="s">
        <v>414</v>
      </c>
      <c r="G18" s="35" t="s">
        <v>415</v>
      </c>
      <c r="I18" s="0" t="s">
        <v>416</v>
      </c>
      <c r="J18" s="10" t="n">
        <v>18583</v>
      </c>
    </row>
    <row r="19" customFormat="false" ht="24" hidden="false" customHeight="true" outlineLevel="0" collapsed="false">
      <c r="A19" s="0" t="s">
        <v>417</v>
      </c>
      <c r="B19" s="36" t="n">
        <v>0.123</v>
      </c>
      <c r="C19" s="0" t="s">
        <v>418</v>
      </c>
      <c r="D19" s="0" t="s">
        <v>419</v>
      </c>
      <c r="E19" s="15" t="n">
        <f aca="false">$B$9*B19</f>
        <v>0.0435338767065874</v>
      </c>
      <c r="F19" s="37" t="n">
        <f aca="false">E19*$B$5</f>
        <v>24409.227</v>
      </c>
      <c r="G19" s="0" t="s">
        <v>420</v>
      </c>
      <c r="I19" s="38" t="s">
        <v>421</v>
      </c>
      <c r="J19" s="39" t="n">
        <f aca="false">SUM(J7:J18)</f>
        <v>198449</v>
      </c>
    </row>
    <row r="20" customFormat="false" ht="15" hidden="false" customHeight="false" outlineLevel="0" collapsed="false">
      <c r="A20" s="0" t="s">
        <v>422</v>
      </c>
      <c r="B20" s="36" t="n">
        <v>0.107</v>
      </c>
      <c r="C20" s="0" t="s">
        <v>418</v>
      </c>
      <c r="D20" s="0" t="s">
        <v>419</v>
      </c>
      <c r="E20" s="15" t="n">
        <f aca="false">$B$9*B20</f>
        <v>0.0378709333951614</v>
      </c>
      <c r="F20" s="37" t="n">
        <f aca="false">E20*$B$5</f>
        <v>21234.043</v>
      </c>
      <c r="G20" s="0" t="s">
        <v>420</v>
      </c>
    </row>
    <row r="21" customFormat="false" ht="15" hidden="false" customHeight="false" outlineLevel="0" collapsed="false">
      <c r="A21" s="0" t="s">
        <v>423</v>
      </c>
      <c r="B21" s="36" t="n">
        <v>0.038</v>
      </c>
      <c r="C21" s="0" t="s">
        <v>418</v>
      </c>
      <c r="D21" s="0" t="s">
        <v>419</v>
      </c>
      <c r="E21" s="15" t="n">
        <f aca="false">$B$9*B21</f>
        <v>0.0134494903646367</v>
      </c>
      <c r="F21" s="37" t="n">
        <f aca="false">E21*$B$5</f>
        <v>7541.062</v>
      </c>
      <c r="G21" s="0" t="s">
        <v>420</v>
      </c>
    </row>
    <row r="22" customFormat="false" ht="15" hidden="false" customHeight="false" outlineLevel="0" collapsed="false">
      <c r="A22" s="0" t="s">
        <v>424</v>
      </c>
      <c r="B22" s="36" t="n">
        <v>0.01</v>
      </c>
      <c r="C22" s="0" t="s">
        <v>418</v>
      </c>
      <c r="D22" s="0" t="s">
        <v>419</v>
      </c>
      <c r="E22" s="15" t="n">
        <f aca="false">$B$9*B22</f>
        <v>0.00353933956964125</v>
      </c>
      <c r="F22" s="37" t="n">
        <f aca="false">E22*$B$5</f>
        <v>1984.49</v>
      </c>
      <c r="G22" s="0" t="s">
        <v>420</v>
      </c>
    </row>
    <row r="23" customFormat="false" ht="15" hidden="false" customHeight="false" outlineLevel="0" collapsed="false">
      <c r="A23" s="0" t="s">
        <v>425</v>
      </c>
      <c r="B23" s="36" t="n">
        <v>0.007</v>
      </c>
      <c r="C23" s="0" t="s">
        <v>426</v>
      </c>
      <c r="D23" s="0" t="s">
        <v>427</v>
      </c>
      <c r="E23" s="15" t="n">
        <f aca="false">$B$9*B23</f>
        <v>0.00247753769874887</v>
      </c>
      <c r="F23" s="37" t="n">
        <f aca="false">E23*$B$5</f>
        <v>1389.143</v>
      </c>
      <c r="G23" s="0" t="s">
        <v>428</v>
      </c>
    </row>
    <row r="24" customFormat="false" ht="24" hidden="false" customHeight="true" outlineLevel="0" collapsed="false">
      <c r="A24" s="40" t="s">
        <v>429</v>
      </c>
      <c r="B24" s="41" t="n">
        <f aca="false">SUM(B19:B23)</f>
        <v>0.285</v>
      </c>
      <c r="C24" s="40"/>
      <c r="D24" s="40"/>
      <c r="E24" s="42" t="n">
        <f aca="false">SUM(E19:E23)</f>
        <v>0.100871177734776</v>
      </c>
      <c r="F24" s="43" t="n">
        <f aca="false">SUM(F19:F23)</f>
        <v>56557.965</v>
      </c>
      <c r="G24" s="40"/>
    </row>
    <row r="27" customFormat="false" ht="25.5" hidden="false" customHeight="true" outlineLevel="0" collapsed="false">
      <c r="A27" s="44" t="s">
        <v>430</v>
      </c>
      <c r="B27" s="44"/>
      <c r="C27" s="44"/>
      <c r="D27" s="44"/>
      <c r="E27" s="44"/>
      <c r="F27" s="44"/>
      <c r="G27" s="44"/>
    </row>
    <row r="28" customFormat="false" ht="30.75" hidden="false" customHeight="true" outlineLevel="0" collapsed="false">
      <c r="A28" s="45" t="s">
        <v>431</v>
      </c>
      <c r="B28" s="45"/>
      <c r="C28" s="45"/>
      <c r="D28" s="45"/>
      <c r="E28" s="45"/>
      <c r="F28" s="45"/>
      <c r="G28" s="45"/>
    </row>
    <row r="29" customFormat="false" ht="30.75" hidden="false" customHeight="true" outlineLevel="0" collapsed="false">
      <c r="A29" s="46" t="s">
        <v>432</v>
      </c>
      <c r="B29" s="46"/>
      <c r="C29" s="46"/>
      <c r="D29" s="46"/>
      <c r="E29" s="46"/>
      <c r="F29" s="46"/>
      <c r="G29" s="46"/>
    </row>
    <row r="30" customFormat="false" ht="30.75" hidden="false" customHeight="true" outlineLevel="0" collapsed="false">
      <c r="A30" s="45" t="s">
        <v>433</v>
      </c>
      <c r="B30" s="45"/>
      <c r="C30" s="45"/>
      <c r="D30" s="45"/>
      <c r="E30" s="45"/>
      <c r="F30" s="45"/>
      <c r="G30" s="45"/>
    </row>
    <row r="31" customFormat="false" ht="30.75" hidden="false" customHeight="true" outlineLevel="0" collapsed="false">
      <c r="A31" s="46" t="s">
        <v>434</v>
      </c>
      <c r="B31" s="46"/>
      <c r="C31" s="46"/>
      <c r="D31" s="46"/>
      <c r="E31" s="46"/>
      <c r="F31" s="46"/>
      <c r="G31" s="46"/>
    </row>
    <row r="32" customFormat="false" ht="30.75" hidden="false" customHeight="true" outlineLevel="0" collapsed="false">
      <c r="A32" s="45" t="s">
        <v>435</v>
      </c>
      <c r="B32" s="45"/>
      <c r="C32" s="45"/>
      <c r="D32" s="45"/>
      <c r="E32" s="45"/>
      <c r="F32" s="45"/>
      <c r="G32" s="45"/>
    </row>
    <row r="33" customFormat="false" ht="30.75" hidden="false" customHeight="true" outlineLevel="0" collapsed="false">
      <c r="A33" s="46" t="s">
        <v>436</v>
      </c>
      <c r="B33" s="46"/>
      <c r="C33" s="46"/>
      <c r="D33" s="46"/>
      <c r="E33" s="46"/>
      <c r="F33" s="46"/>
      <c r="G33" s="46"/>
    </row>
    <row r="34" customFormat="false" ht="30.75" hidden="false" customHeight="true" outlineLevel="0" collapsed="false">
      <c r="A34" s="45" t="s">
        <v>437</v>
      </c>
      <c r="B34" s="45"/>
      <c r="C34" s="45"/>
      <c r="D34" s="45"/>
      <c r="E34" s="45"/>
      <c r="F34" s="45"/>
      <c r="G34" s="45"/>
    </row>
    <row r="35" customFormat="false" ht="30.75" hidden="false" customHeight="true" outlineLevel="0" collapsed="false">
      <c r="A35" s="46" t="s">
        <v>438</v>
      </c>
      <c r="B35" s="46"/>
      <c r="C35" s="46"/>
      <c r="D35" s="46"/>
      <c r="E35" s="46"/>
      <c r="F35" s="46"/>
      <c r="G35" s="46"/>
    </row>
    <row r="36" customFormat="false" ht="30.75" hidden="false" customHeight="true" outlineLevel="0" collapsed="false">
      <c r="A36" s="45" t="s">
        <v>439</v>
      </c>
      <c r="B36" s="45"/>
      <c r="C36" s="45"/>
      <c r="D36" s="45"/>
      <c r="E36" s="45"/>
      <c r="F36" s="45"/>
      <c r="G36" s="45"/>
    </row>
    <row r="37" customFormat="false" ht="30.75" hidden="false" customHeight="true" outlineLevel="0" collapsed="false">
      <c r="A37" s="46" t="s">
        <v>440</v>
      </c>
      <c r="B37" s="46"/>
      <c r="C37" s="46"/>
      <c r="D37" s="46"/>
      <c r="E37" s="46"/>
      <c r="F37" s="46"/>
      <c r="G37" s="46"/>
    </row>
    <row r="38" customFormat="false" ht="30.75" hidden="false" customHeight="true" outlineLevel="0" collapsed="false">
      <c r="A38" s="45" t="s">
        <v>441</v>
      </c>
      <c r="B38" s="45"/>
      <c r="C38" s="45"/>
      <c r="D38" s="45"/>
      <c r="E38" s="45"/>
      <c r="F38" s="45"/>
      <c r="G38" s="45"/>
    </row>
    <row r="39" customFormat="false" ht="30.75" hidden="false" customHeight="true" outlineLevel="0" collapsed="false">
      <c r="A39" s="46" t="s">
        <v>442</v>
      </c>
      <c r="B39" s="46"/>
      <c r="C39" s="46"/>
      <c r="D39" s="46"/>
      <c r="E39" s="46"/>
      <c r="F39" s="46"/>
      <c r="G39" s="46"/>
    </row>
    <row r="40" customFormat="false" ht="30.75" hidden="false" customHeight="true" outlineLevel="0" collapsed="false">
      <c r="A40" s="45" t="s">
        <v>443</v>
      </c>
      <c r="B40" s="45"/>
      <c r="C40" s="45"/>
      <c r="D40" s="45"/>
      <c r="E40" s="45"/>
      <c r="F40" s="45"/>
      <c r="G40" s="45"/>
    </row>
    <row r="43" customFormat="false" ht="25.5" hidden="false" customHeight="true" outlineLevel="0" collapsed="false">
      <c r="A43" s="44" t="s">
        <v>444</v>
      </c>
      <c r="B43" s="44"/>
      <c r="C43" s="44"/>
      <c r="D43" s="44"/>
      <c r="E43" s="44"/>
      <c r="F43" s="44"/>
      <c r="G43" s="44"/>
    </row>
    <row r="44" customFormat="false" ht="42" hidden="false" customHeight="true" outlineLevel="0" collapsed="false">
      <c r="A44" s="47" t="s">
        <v>445</v>
      </c>
      <c r="B44" s="45" t="s">
        <v>446</v>
      </c>
      <c r="C44" s="45"/>
      <c r="D44" s="45"/>
      <c r="E44" s="45" t="s">
        <v>447</v>
      </c>
      <c r="F44" s="45"/>
      <c r="G44" s="45"/>
    </row>
    <row r="45" customFormat="false" ht="42" hidden="false" customHeight="true" outlineLevel="0" collapsed="false">
      <c r="A45" s="48" t="s">
        <v>448</v>
      </c>
      <c r="B45" s="46" t="s">
        <v>449</v>
      </c>
      <c r="C45" s="46"/>
      <c r="D45" s="46"/>
      <c r="E45" s="46" t="s">
        <v>420</v>
      </c>
      <c r="F45" s="46"/>
      <c r="G45" s="46"/>
    </row>
    <row r="46" customFormat="false" ht="42" hidden="false" customHeight="true" outlineLevel="0" collapsed="false">
      <c r="A46" s="47" t="s">
        <v>450</v>
      </c>
      <c r="B46" s="45" t="s">
        <v>451</v>
      </c>
      <c r="C46" s="45"/>
      <c r="D46" s="45"/>
      <c r="E46" s="45" t="s">
        <v>428</v>
      </c>
      <c r="F46" s="45"/>
      <c r="G46" s="45"/>
    </row>
    <row r="47" customFormat="false" ht="42" hidden="false" customHeight="true" outlineLevel="0" collapsed="false">
      <c r="A47" s="48" t="s">
        <v>366</v>
      </c>
      <c r="B47" s="46" t="s">
        <v>452</v>
      </c>
      <c r="C47" s="46"/>
      <c r="D47" s="46"/>
      <c r="E47" s="46" t="s">
        <v>453</v>
      </c>
      <c r="F47" s="46"/>
      <c r="G47" s="46"/>
    </row>
    <row r="48" customFormat="false" ht="42" hidden="false" customHeight="true" outlineLevel="0" collapsed="false">
      <c r="A48" s="47" t="s">
        <v>454</v>
      </c>
      <c r="B48" s="45" t="s">
        <v>455</v>
      </c>
      <c r="C48" s="45"/>
      <c r="D48" s="45"/>
      <c r="E48" s="45" t="s">
        <v>453</v>
      </c>
      <c r="F48" s="45"/>
      <c r="G48" s="45"/>
    </row>
  </sheetData>
  <mergeCells count="39">
    <mergeCell ref="A1:G2"/>
    <mergeCell ref="A3:G3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2026-10-21T03:04:29Z</dcterms:created>
  <dc:creator>openpyxl</dc:creator>
  <dc:description/>
  <dc:language>en-US</dc:language>
  <cp:lastModifiedBy>Liukung Antilef Neculpan</cp:lastModifiedBy>
  <dcterms:modified xsi:type="dcterms:W3CDTF">2026-10-21T20:26:37Z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