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xr:revisionPtr revIDLastSave="1" documentId="11_84AB6416CB3D29894825F7A58039B25CE668E0B0" xr6:coauthVersionLast="47" xr6:coauthVersionMax="47" xr10:uidLastSave="{57BC79AD-395E-4CCA-90EC-47AA80889FAC}"/>
  <bookViews>
    <workbookView xWindow="0" yWindow="0" windowWidth="16384" windowHeight="8192" firstSheet="9" xr2:uid="{00000000-000D-0000-FFFF-FFFF00000000}"/>
  </bookViews>
  <sheets>
    <sheet name="LEEME" sheetId="1" r:id="rId1"/>
    <sheet name="Sectores" sheetId="2" r:id="rId2"/>
    <sheet name="Sitios" sheetId="3" r:id="rId3"/>
    <sheet name="PuntosActuales" sheetId="4" r:id="rId4"/>
    <sheet name="Materiales" sheetId="5" r:id="rId5"/>
    <sheet name="TiposContenedor" sheetId="6" r:id="rId6"/>
    <sheet name="DotacionActual" sheetId="7" r:id="rId7"/>
    <sheet name="Generacion" sheetId="8" r:id="rId8"/>
    <sheet name="Semanas" sheetId="9" r:id="rId9"/>
    <sheet name="AtractivoSitios" sheetId="10" r:id="rId10"/>
    <sheet name="Alternativas" sheetId="11" r:id="rId11"/>
    <sheet name="AtractivoAlternativas" sheetId="12" r:id="rId12"/>
    <sheet name="Camiones" sheetId="13" r:id="rId13"/>
    <sheet name="Costos" sheetId="14" r:id="rId14"/>
    <sheet name="Calibracion" sheetId="15" r:id="rId15"/>
    <sheet name="Coordenadas" sheetId="16" r:id="rId16"/>
    <sheet name="Fuentes_Metodologia" sheetId="17" r:id="rId1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4" i="17" l="1"/>
  <c r="J19" i="17"/>
  <c r="B15" i="17"/>
  <c r="B16" i="17" s="1"/>
  <c r="B14" i="17"/>
  <c r="B13" i="17"/>
  <c r="B10" i="17"/>
  <c r="B6" i="17"/>
  <c r="S144" i="15"/>
  <c r="R144" i="15"/>
  <c r="P144" i="15"/>
  <c r="O144" i="15"/>
  <c r="N144" i="15"/>
  <c r="M144" i="15"/>
  <c r="G144" i="15"/>
  <c r="F144" i="15"/>
  <c r="E144" i="15"/>
  <c r="D144" i="15"/>
  <c r="C144" i="15"/>
  <c r="B144" i="15"/>
  <c r="S143" i="15"/>
  <c r="R143" i="15"/>
  <c r="P143" i="15"/>
  <c r="O143" i="15"/>
  <c r="N143" i="15"/>
  <c r="M143" i="15"/>
  <c r="G143" i="15"/>
  <c r="F143" i="15"/>
  <c r="E143" i="15"/>
  <c r="D143" i="15"/>
  <c r="C143" i="15"/>
  <c r="B143" i="15"/>
  <c r="S142" i="15"/>
  <c r="R142" i="15"/>
  <c r="P142" i="15"/>
  <c r="O142" i="15"/>
  <c r="N142" i="15"/>
  <c r="M142" i="15"/>
  <c r="G142" i="15"/>
  <c r="F142" i="15"/>
  <c r="E142" i="15"/>
  <c r="D142" i="15"/>
  <c r="C142" i="15"/>
  <c r="B142" i="15"/>
  <c r="S141" i="15"/>
  <c r="R141" i="15"/>
  <c r="P141" i="15"/>
  <c r="O141" i="15"/>
  <c r="N141" i="15"/>
  <c r="G141" i="15"/>
  <c r="F141" i="15"/>
  <c r="E141" i="15"/>
  <c r="D141" i="15"/>
  <c r="C141" i="15"/>
  <c r="B141" i="15"/>
  <c r="S140" i="15"/>
  <c r="R140" i="15"/>
  <c r="P140" i="15"/>
  <c r="O140" i="15"/>
  <c r="N140" i="15"/>
  <c r="M140" i="15"/>
  <c r="G140" i="15"/>
  <c r="F140" i="15"/>
  <c r="E140" i="15"/>
  <c r="D140" i="15"/>
  <c r="C140" i="15"/>
  <c r="B140" i="15"/>
  <c r="S139" i="15"/>
  <c r="R139" i="15"/>
  <c r="P139" i="15"/>
  <c r="O139" i="15"/>
  <c r="N139" i="15"/>
  <c r="M139" i="15"/>
  <c r="G139" i="15"/>
  <c r="F139" i="15"/>
  <c r="E139" i="15"/>
  <c r="D139" i="15"/>
  <c r="C139" i="15"/>
  <c r="B139" i="15"/>
  <c r="S138" i="15"/>
  <c r="R138" i="15"/>
  <c r="Q138" i="15"/>
  <c r="P138" i="15"/>
  <c r="O138" i="15"/>
  <c r="N138" i="15"/>
  <c r="G138" i="15"/>
  <c r="F138" i="15"/>
  <c r="E138" i="15"/>
  <c r="D138" i="15"/>
  <c r="C138" i="15"/>
  <c r="B138" i="15"/>
  <c r="S137" i="15"/>
  <c r="R137" i="15"/>
  <c r="P137" i="15"/>
  <c r="O137" i="15"/>
  <c r="N137" i="15"/>
  <c r="G137" i="15"/>
  <c r="F137" i="15"/>
  <c r="E137" i="15"/>
  <c r="D137" i="15"/>
  <c r="C137" i="15"/>
  <c r="B137" i="15"/>
  <c r="S136" i="15"/>
  <c r="R136" i="15"/>
  <c r="P136" i="15"/>
  <c r="O136" i="15"/>
  <c r="N136" i="15"/>
  <c r="M136" i="15"/>
  <c r="G136" i="15"/>
  <c r="F136" i="15"/>
  <c r="E136" i="15"/>
  <c r="D136" i="15"/>
  <c r="C136" i="15"/>
  <c r="B136" i="15"/>
  <c r="S135" i="15"/>
  <c r="R135" i="15"/>
  <c r="P135" i="15"/>
  <c r="O135" i="15"/>
  <c r="N135" i="15"/>
  <c r="M135" i="15"/>
  <c r="G135" i="15"/>
  <c r="F135" i="15"/>
  <c r="E135" i="15"/>
  <c r="D135" i="15"/>
  <c r="C135" i="15"/>
  <c r="B135" i="15"/>
  <c r="S134" i="15"/>
  <c r="R134" i="15"/>
  <c r="P134" i="15"/>
  <c r="O134" i="15"/>
  <c r="N134" i="15"/>
  <c r="M134" i="15"/>
  <c r="G134" i="15"/>
  <c r="F134" i="15"/>
  <c r="E134" i="15"/>
  <c r="D134" i="15"/>
  <c r="C134" i="15"/>
  <c r="B134" i="15"/>
  <c r="S133" i="15"/>
  <c r="R133" i="15"/>
  <c r="Q133" i="15"/>
  <c r="P133" i="15"/>
  <c r="O133" i="15"/>
  <c r="N133" i="15"/>
  <c r="G133" i="15"/>
  <c r="F133" i="15"/>
  <c r="E133" i="15"/>
  <c r="D133" i="15"/>
  <c r="C133" i="15"/>
  <c r="B133" i="15"/>
  <c r="S132" i="15"/>
  <c r="R132" i="15"/>
  <c r="Q132" i="15"/>
  <c r="O132" i="15"/>
  <c r="N132" i="15"/>
  <c r="M132" i="15"/>
  <c r="G132" i="15"/>
  <c r="F132" i="15"/>
  <c r="E132" i="15"/>
  <c r="D132" i="15"/>
  <c r="C132" i="15"/>
  <c r="B132" i="15"/>
  <c r="S131" i="15"/>
  <c r="R131" i="15"/>
  <c r="Q131" i="15"/>
  <c r="O131" i="15"/>
  <c r="N131" i="15"/>
  <c r="M131" i="15"/>
  <c r="G131" i="15"/>
  <c r="F131" i="15"/>
  <c r="E131" i="15"/>
  <c r="D131" i="15"/>
  <c r="C131" i="15"/>
  <c r="B131" i="15"/>
  <c r="S130" i="15"/>
  <c r="R130" i="15"/>
  <c r="Q130" i="15"/>
  <c r="O130" i="15"/>
  <c r="N130" i="15"/>
  <c r="M130" i="15"/>
  <c r="G130" i="15"/>
  <c r="F130" i="15"/>
  <c r="E130" i="15"/>
  <c r="D130" i="15"/>
  <c r="C130" i="15"/>
  <c r="B130" i="15"/>
  <c r="S129" i="15"/>
  <c r="R129" i="15"/>
  <c r="Q129" i="15"/>
  <c r="O129" i="15"/>
  <c r="N129" i="15"/>
  <c r="M129" i="15"/>
  <c r="G129" i="15"/>
  <c r="F129" i="15"/>
  <c r="E129" i="15"/>
  <c r="D129" i="15"/>
  <c r="C129" i="15"/>
  <c r="B129" i="15"/>
  <c r="S128" i="15"/>
  <c r="R128" i="15"/>
  <c r="Q128" i="15"/>
  <c r="O128" i="15"/>
  <c r="N128" i="15"/>
  <c r="M128" i="15"/>
  <c r="G128" i="15"/>
  <c r="F128" i="15"/>
  <c r="E128" i="15"/>
  <c r="D128" i="15"/>
  <c r="C128" i="15"/>
  <c r="B128" i="15"/>
  <c r="S127" i="15"/>
  <c r="R127" i="15"/>
  <c r="Q127" i="15"/>
  <c r="O127" i="15"/>
  <c r="N127" i="15"/>
  <c r="M127" i="15"/>
  <c r="G127" i="15"/>
  <c r="F127" i="15"/>
  <c r="E127" i="15"/>
  <c r="D127" i="15"/>
  <c r="C127" i="15"/>
  <c r="B127" i="15"/>
  <c r="S126" i="15"/>
  <c r="R126" i="15"/>
  <c r="Q126" i="15"/>
  <c r="O126" i="15"/>
  <c r="N126" i="15"/>
  <c r="M126" i="15"/>
  <c r="G126" i="15"/>
  <c r="F126" i="15"/>
  <c r="E126" i="15"/>
  <c r="D126" i="15"/>
  <c r="C126" i="15"/>
  <c r="B126" i="15"/>
  <c r="S125" i="15"/>
  <c r="R125" i="15"/>
  <c r="Q125" i="15"/>
  <c r="O125" i="15"/>
  <c r="N125" i="15"/>
  <c r="M125" i="15"/>
  <c r="G125" i="15"/>
  <c r="F125" i="15"/>
  <c r="E125" i="15"/>
  <c r="D125" i="15"/>
  <c r="C125" i="15"/>
  <c r="B125" i="15"/>
  <c r="S124" i="15"/>
  <c r="R124" i="15"/>
  <c r="Q124" i="15"/>
  <c r="O124" i="15"/>
  <c r="N124" i="15"/>
  <c r="M124" i="15"/>
  <c r="G124" i="15"/>
  <c r="F124" i="15"/>
  <c r="E124" i="15"/>
  <c r="D124" i="15"/>
  <c r="C124" i="15"/>
  <c r="B124" i="15"/>
  <c r="S123" i="15"/>
  <c r="Q123" i="15"/>
  <c r="P123" i="15"/>
  <c r="O123" i="15"/>
  <c r="N123" i="15"/>
  <c r="G123" i="15"/>
  <c r="F123" i="15"/>
  <c r="E123" i="15"/>
  <c r="D123" i="15"/>
  <c r="C123" i="15"/>
  <c r="B123" i="15"/>
  <c r="S122" i="15"/>
  <c r="Q122" i="15"/>
  <c r="P122" i="15"/>
  <c r="O122" i="15"/>
  <c r="N122" i="15"/>
  <c r="G122" i="15"/>
  <c r="F122" i="15"/>
  <c r="E122" i="15"/>
  <c r="D122" i="15"/>
  <c r="C122" i="15"/>
  <c r="B122" i="15"/>
  <c r="S121" i="15"/>
  <c r="R121" i="15"/>
  <c r="Q121" i="15"/>
  <c r="P121" i="15"/>
  <c r="O121" i="15"/>
  <c r="N121" i="15"/>
  <c r="G121" i="15"/>
  <c r="F121" i="15"/>
  <c r="E121" i="15"/>
  <c r="D121" i="15"/>
  <c r="C121" i="15"/>
  <c r="B121" i="15"/>
  <c r="S120" i="15"/>
  <c r="R120" i="15"/>
  <c r="Q120" i="15"/>
  <c r="P120" i="15"/>
  <c r="O120" i="15"/>
  <c r="N120" i="15"/>
  <c r="G120" i="15"/>
  <c r="F120" i="15"/>
  <c r="E120" i="15"/>
  <c r="D120" i="15"/>
  <c r="C120" i="15"/>
  <c r="B120" i="15"/>
  <c r="S119" i="15"/>
  <c r="R119" i="15"/>
  <c r="Q119" i="15"/>
  <c r="P119" i="15"/>
  <c r="O119" i="15"/>
  <c r="N119" i="15"/>
  <c r="G119" i="15"/>
  <c r="F119" i="15"/>
  <c r="E119" i="15"/>
  <c r="D119" i="15"/>
  <c r="C119" i="15"/>
  <c r="B119" i="15"/>
  <c r="S118" i="15"/>
  <c r="R118" i="15"/>
  <c r="Q118" i="15"/>
  <c r="P118" i="15"/>
  <c r="O118" i="15"/>
  <c r="N118" i="15"/>
  <c r="M118" i="15"/>
  <c r="T118" i="15" s="1"/>
  <c r="G118" i="15"/>
  <c r="F118" i="15"/>
  <c r="E118" i="15"/>
  <c r="D118" i="15"/>
  <c r="C118" i="15"/>
  <c r="B118" i="15"/>
  <c r="S117" i="15"/>
  <c r="R117" i="15"/>
  <c r="Q117" i="15"/>
  <c r="P117" i="15"/>
  <c r="O117" i="15"/>
  <c r="N117" i="15"/>
  <c r="G117" i="15"/>
  <c r="F117" i="15"/>
  <c r="E117" i="15"/>
  <c r="D117" i="15"/>
  <c r="C117" i="15"/>
  <c r="B117" i="15"/>
  <c r="S116" i="15"/>
  <c r="R116" i="15"/>
  <c r="Q116" i="15"/>
  <c r="P116" i="15"/>
  <c r="N116" i="15"/>
  <c r="M116" i="15"/>
  <c r="G116" i="15"/>
  <c r="F116" i="15"/>
  <c r="E116" i="15"/>
  <c r="D116" i="15"/>
  <c r="C116" i="15"/>
  <c r="B116" i="15"/>
  <c r="S115" i="15"/>
  <c r="R115" i="15"/>
  <c r="Q115" i="15"/>
  <c r="P115" i="15"/>
  <c r="N115" i="15"/>
  <c r="G115" i="15"/>
  <c r="F115" i="15"/>
  <c r="E115" i="15"/>
  <c r="D115" i="15"/>
  <c r="C115" i="15"/>
  <c r="B115" i="15"/>
  <c r="S114" i="15"/>
  <c r="R114" i="15"/>
  <c r="Q114" i="15"/>
  <c r="P114" i="15"/>
  <c r="N114" i="15"/>
  <c r="M114" i="15"/>
  <c r="G114" i="15"/>
  <c r="F114" i="15"/>
  <c r="E114" i="15"/>
  <c r="D114" i="15"/>
  <c r="C114" i="15"/>
  <c r="B114" i="15"/>
  <c r="S113" i="15"/>
  <c r="R113" i="15"/>
  <c r="Q113" i="15"/>
  <c r="P113" i="15"/>
  <c r="N113" i="15"/>
  <c r="M113" i="15"/>
  <c r="G113" i="15"/>
  <c r="F113" i="15"/>
  <c r="E113" i="15"/>
  <c r="D113" i="15"/>
  <c r="C113" i="15"/>
  <c r="B113" i="15"/>
  <c r="S112" i="15"/>
  <c r="R112" i="15"/>
  <c r="Q112" i="15"/>
  <c r="P112" i="15"/>
  <c r="N112" i="15"/>
  <c r="M112" i="15"/>
  <c r="G112" i="15"/>
  <c r="F112" i="15"/>
  <c r="E112" i="15"/>
  <c r="D112" i="15"/>
  <c r="C112" i="15"/>
  <c r="B112" i="15"/>
  <c r="S111" i="15"/>
  <c r="R111" i="15"/>
  <c r="Q111" i="15"/>
  <c r="P111" i="15"/>
  <c r="N111" i="15"/>
  <c r="M111" i="15"/>
  <c r="G111" i="15"/>
  <c r="F111" i="15"/>
  <c r="E111" i="15"/>
  <c r="D111" i="15"/>
  <c r="C111" i="15"/>
  <c r="B111" i="15"/>
  <c r="S110" i="15"/>
  <c r="R110" i="15"/>
  <c r="Q110" i="15"/>
  <c r="P110" i="15"/>
  <c r="N110" i="15"/>
  <c r="M110" i="15"/>
  <c r="G110" i="15"/>
  <c r="F110" i="15"/>
  <c r="E110" i="15"/>
  <c r="D110" i="15"/>
  <c r="C110" i="15"/>
  <c r="B110" i="15"/>
  <c r="S109" i="15"/>
  <c r="R109" i="15"/>
  <c r="Q109" i="15"/>
  <c r="P109" i="15"/>
  <c r="N109" i="15"/>
  <c r="M109" i="15"/>
  <c r="G109" i="15"/>
  <c r="F109" i="15"/>
  <c r="E109" i="15"/>
  <c r="D109" i="15"/>
  <c r="C109" i="15"/>
  <c r="B109" i="15"/>
  <c r="S108" i="15"/>
  <c r="R108" i="15"/>
  <c r="Q108" i="15"/>
  <c r="P108" i="15"/>
  <c r="N108" i="15"/>
  <c r="M108" i="15"/>
  <c r="G108" i="15"/>
  <c r="F108" i="15"/>
  <c r="E108" i="15"/>
  <c r="D108" i="15"/>
  <c r="C108" i="15"/>
  <c r="B108" i="15"/>
  <c r="S107" i="15"/>
  <c r="R107" i="15"/>
  <c r="Q107" i="15"/>
  <c r="P107" i="15"/>
  <c r="N107" i="15"/>
  <c r="M107" i="15"/>
  <c r="G107" i="15"/>
  <c r="F107" i="15"/>
  <c r="E107" i="15"/>
  <c r="D107" i="15"/>
  <c r="C107" i="15"/>
  <c r="B107" i="15"/>
  <c r="S106" i="15"/>
  <c r="R106" i="15"/>
  <c r="Q106" i="15"/>
  <c r="P106" i="15"/>
  <c r="N106" i="15"/>
  <c r="M106" i="15"/>
  <c r="G106" i="15"/>
  <c r="F106" i="15"/>
  <c r="E106" i="15"/>
  <c r="D106" i="15"/>
  <c r="C106" i="15"/>
  <c r="B106" i="15"/>
  <c r="S105" i="15"/>
  <c r="R105" i="15"/>
  <c r="Q105" i="15"/>
  <c r="P105" i="15"/>
  <c r="N105" i="15"/>
  <c r="M105" i="15"/>
  <c r="G105" i="15"/>
  <c r="F105" i="15"/>
  <c r="E105" i="15"/>
  <c r="D105" i="15"/>
  <c r="C105" i="15"/>
  <c r="B105" i="15"/>
  <c r="S104" i="15"/>
  <c r="Q104" i="15"/>
  <c r="P104" i="15"/>
  <c r="O104" i="15"/>
  <c r="N104" i="15"/>
  <c r="G104" i="15"/>
  <c r="F104" i="15"/>
  <c r="E104" i="15"/>
  <c r="D104" i="15"/>
  <c r="C104" i="15"/>
  <c r="B104" i="15"/>
  <c r="S103" i="15"/>
  <c r="Q103" i="15"/>
  <c r="P103" i="15"/>
  <c r="O103" i="15"/>
  <c r="N103" i="15"/>
  <c r="G103" i="15"/>
  <c r="F103" i="15"/>
  <c r="E103" i="15"/>
  <c r="D103" i="15"/>
  <c r="C103" i="15"/>
  <c r="B103" i="15"/>
  <c r="S102" i="15"/>
  <c r="Q102" i="15"/>
  <c r="P102" i="15"/>
  <c r="O102" i="15"/>
  <c r="N102" i="15"/>
  <c r="G102" i="15"/>
  <c r="F102" i="15"/>
  <c r="E102" i="15"/>
  <c r="D102" i="15"/>
  <c r="C102" i="15"/>
  <c r="B102" i="15"/>
  <c r="Q101" i="15"/>
  <c r="P101" i="15"/>
  <c r="O101" i="15"/>
  <c r="N101" i="15"/>
  <c r="M101" i="15"/>
  <c r="G101" i="15"/>
  <c r="F101" i="15"/>
  <c r="E101" i="15"/>
  <c r="D101" i="15"/>
  <c r="C101" i="15"/>
  <c r="B101" i="15"/>
  <c r="R100" i="15"/>
  <c r="Q100" i="15"/>
  <c r="P100" i="15"/>
  <c r="O100" i="15"/>
  <c r="N100" i="15"/>
  <c r="M100" i="15"/>
  <c r="G100" i="15"/>
  <c r="F100" i="15"/>
  <c r="E100" i="15"/>
  <c r="D100" i="15"/>
  <c r="C100" i="15"/>
  <c r="B100" i="15"/>
  <c r="Q99" i="15"/>
  <c r="P99" i="15"/>
  <c r="O99" i="15"/>
  <c r="N99" i="15"/>
  <c r="M99" i="15"/>
  <c r="G99" i="15"/>
  <c r="F99" i="15"/>
  <c r="E99" i="15"/>
  <c r="D99" i="15"/>
  <c r="C99" i="15"/>
  <c r="B99" i="15"/>
  <c r="Q98" i="15"/>
  <c r="P98" i="15"/>
  <c r="O98" i="15"/>
  <c r="N98" i="15"/>
  <c r="M98" i="15"/>
  <c r="G98" i="15"/>
  <c r="F98" i="15"/>
  <c r="E98" i="15"/>
  <c r="D98" i="15"/>
  <c r="C98" i="15"/>
  <c r="B98" i="15"/>
  <c r="Q97" i="15"/>
  <c r="P97" i="15"/>
  <c r="O97" i="15"/>
  <c r="N97" i="15"/>
  <c r="M97" i="15"/>
  <c r="G97" i="15"/>
  <c r="F97" i="15"/>
  <c r="E97" i="15"/>
  <c r="D97" i="15"/>
  <c r="C97" i="15"/>
  <c r="B97" i="15"/>
  <c r="Q96" i="15"/>
  <c r="P96" i="15"/>
  <c r="O96" i="15"/>
  <c r="N96" i="15"/>
  <c r="M96" i="15"/>
  <c r="G96" i="15"/>
  <c r="F96" i="15"/>
  <c r="E96" i="15"/>
  <c r="D96" i="15"/>
  <c r="C96" i="15"/>
  <c r="B96" i="15"/>
  <c r="Q95" i="15"/>
  <c r="P95" i="15"/>
  <c r="O95" i="15"/>
  <c r="N95" i="15"/>
  <c r="M95" i="15"/>
  <c r="G95" i="15"/>
  <c r="F95" i="15"/>
  <c r="E95" i="15"/>
  <c r="D95" i="15"/>
  <c r="C95" i="15"/>
  <c r="B95" i="15"/>
  <c r="Q94" i="15"/>
  <c r="P94" i="15"/>
  <c r="O94" i="15"/>
  <c r="N94" i="15"/>
  <c r="M94" i="15"/>
  <c r="G94" i="15"/>
  <c r="F94" i="15"/>
  <c r="E94" i="15"/>
  <c r="D94" i="15"/>
  <c r="C94" i="15"/>
  <c r="B94" i="15"/>
  <c r="Q93" i="15"/>
  <c r="P93" i="15"/>
  <c r="O93" i="15"/>
  <c r="N93" i="15"/>
  <c r="G93" i="15"/>
  <c r="F93" i="15"/>
  <c r="E93" i="15"/>
  <c r="D93" i="15"/>
  <c r="C93" i="15"/>
  <c r="B93" i="15"/>
  <c r="Q92" i="15"/>
  <c r="P92" i="15"/>
  <c r="O92" i="15"/>
  <c r="N92" i="15"/>
  <c r="G92" i="15"/>
  <c r="F92" i="15"/>
  <c r="E92" i="15"/>
  <c r="D92" i="15"/>
  <c r="C92" i="15"/>
  <c r="B92" i="15"/>
  <c r="Q91" i="15"/>
  <c r="P91" i="15"/>
  <c r="O91" i="15"/>
  <c r="N91" i="15"/>
  <c r="M91" i="15"/>
  <c r="G91" i="15"/>
  <c r="F91" i="15"/>
  <c r="E91" i="15"/>
  <c r="D91" i="15"/>
  <c r="C91" i="15"/>
  <c r="B91" i="15"/>
  <c r="Q90" i="15"/>
  <c r="P90" i="15"/>
  <c r="O90" i="15"/>
  <c r="N90" i="15"/>
  <c r="G90" i="15"/>
  <c r="F90" i="15"/>
  <c r="E90" i="15"/>
  <c r="D90" i="15"/>
  <c r="C90" i="15"/>
  <c r="B90" i="15"/>
  <c r="Q89" i="15"/>
  <c r="P89" i="15"/>
  <c r="O89" i="15"/>
  <c r="N89" i="15"/>
  <c r="G89" i="15"/>
  <c r="F89" i="15"/>
  <c r="E89" i="15"/>
  <c r="D89" i="15"/>
  <c r="C89" i="15"/>
  <c r="B89" i="15"/>
  <c r="S88" i="15"/>
  <c r="R88" i="15"/>
  <c r="Q88" i="15"/>
  <c r="P88" i="15"/>
  <c r="O88" i="15"/>
  <c r="M88" i="15"/>
  <c r="G88" i="15"/>
  <c r="F88" i="15"/>
  <c r="E88" i="15"/>
  <c r="D88" i="15"/>
  <c r="C88" i="15"/>
  <c r="B88" i="15"/>
  <c r="S87" i="15"/>
  <c r="R87" i="15"/>
  <c r="Q87" i="15"/>
  <c r="P87" i="15"/>
  <c r="O87" i="15"/>
  <c r="M87" i="15"/>
  <c r="G87" i="15"/>
  <c r="F87" i="15"/>
  <c r="E87" i="15"/>
  <c r="D87" i="15"/>
  <c r="C87" i="15"/>
  <c r="B87" i="15"/>
  <c r="S86" i="15"/>
  <c r="R86" i="15"/>
  <c r="Q86" i="15"/>
  <c r="P86" i="15"/>
  <c r="O86" i="15"/>
  <c r="M86" i="15"/>
  <c r="G86" i="15"/>
  <c r="F86" i="15"/>
  <c r="E86" i="15"/>
  <c r="D86" i="15"/>
  <c r="C86" i="15"/>
  <c r="B86" i="15"/>
  <c r="S85" i="15"/>
  <c r="R85" i="15"/>
  <c r="Q85" i="15"/>
  <c r="P85" i="15"/>
  <c r="O85" i="15"/>
  <c r="M85" i="15"/>
  <c r="G85" i="15"/>
  <c r="F85" i="15"/>
  <c r="E85" i="15"/>
  <c r="D85" i="15"/>
  <c r="C85" i="15"/>
  <c r="B85" i="15"/>
  <c r="S84" i="15"/>
  <c r="R84" i="15"/>
  <c r="Q84" i="15"/>
  <c r="P84" i="15"/>
  <c r="O84" i="15"/>
  <c r="M84" i="15"/>
  <c r="G84" i="15"/>
  <c r="F84" i="15"/>
  <c r="E84" i="15"/>
  <c r="D84" i="15"/>
  <c r="C84" i="15"/>
  <c r="B84" i="15"/>
  <c r="S83" i="15"/>
  <c r="R83" i="15"/>
  <c r="Q83" i="15"/>
  <c r="P83" i="15"/>
  <c r="O83" i="15"/>
  <c r="N83" i="15"/>
  <c r="M83" i="15"/>
  <c r="T83" i="15" s="1"/>
  <c r="G83" i="15"/>
  <c r="F83" i="15"/>
  <c r="E83" i="15"/>
  <c r="D83" i="15"/>
  <c r="C83" i="15"/>
  <c r="B83" i="15"/>
  <c r="S82" i="15"/>
  <c r="R82" i="15"/>
  <c r="Q82" i="15"/>
  <c r="P82" i="15"/>
  <c r="O82" i="15"/>
  <c r="M82" i="15"/>
  <c r="G82" i="15"/>
  <c r="F82" i="15"/>
  <c r="E82" i="15"/>
  <c r="D82" i="15"/>
  <c r="C82" i="15"/>
  <c r="B82" i="15"/>
  <c r="S81" i="15"/>
  <c r="R81" i="15"/>
  <c r="Q81" i="15"/>
  <c r="P81" i="15"/>
  <c r="O81" i="15"/>
  <c r="M81" i="15"/>
  <c r="G81" i="15"/>
  <c r="F81" i="15"/>
  <c r="E81" i="15"/>
  <c r="D81" i="15"/>
  <c r="C81" i="15"/>
  <c r="B81" i="15"/>
  <c r="S80" i="15"/>
  <c r="R80" i="15"/>
  <c r="Q80" i="15"/>
  <c r="P80" i="15"/>
  <c r="O80" i="15"/>
  <c r="M80" i="15"/>
  <c r="G80" i="15"/>
  <c r="F80" i="15"/>
  <c r="E80" i="15"/>
  <c r="D80" i="15"/>
  <c r="C80" i="15"/>
  <c r="B80" i="15"/>
  <c r="S79" i="15"/>
  <c r="R79" i="15"/>
  <c r="Q79" i="15"/>
  <c r="P79" i="15"/>
  <c r="O79" i="15"/>
  <c r="N79" i="15"/>
  <c r="M79" i="15"/>
  <c r="T79" i="15" s="1"/>
  <c r="G79" i="15"/>
  <c r="F79" i="15"/>
  <c r="E79" i="15"/>
  <c r="D79" i="15"/>
  <c r="C79" i="15"/>
  <c r="B79" i="15"/>
  <c r="S78" i="15"/>
  <c r="R78" i="15"/>
  <c r="P78" i="15"/>
  <c r="O78" i="15"/>
  <c r="M78" i="15"/>
  <c r="G78" i="15"/>
  <c r="F78" i="15"/>
  <c r="E78" i="15"/>
  <c r="D78" i="15"/>
  <c r="C78" i="15"/>
  <c r="B78" i="15"/>
  <c r="S77" i="15"/>
  <c r="R77" i="15"/>
  <c r="P77" i="15"/>
  <c r="O77" i="15"/>
  <c r="M77" i="15"/>
  <c r="G77" i="15"/>
  <c r="F77" i="15"/>
  <c r="E77" i="15"/>
  <c r="D77" i="15"/>
  <c r="C77" i="15"/>
  <c r="B77" i="15"/>
  <c r="S76" i="15"/>
  <c r="R76" i="15"/>
  <c r="P76" i="15"/>
  <c r="O76" i="15"/>
  <c r="M76" i="15"/>
  <c r="G76" i="15"/>
  <c r="F76" i="15"/>
  <c r="E76" i="15"/>
  <c r="D76" i="15"/>
  <c r="C76" i="15"/>
  <c r="B76" i="15"/>
  <c r="S75" i="15"/>
  <c r="R75" i="15"/>
  <c r="P75" i="15"/>
  <c r="O75" i="15"/>
  <c r="M75" i="15"/>
  <c r="G75" i="15"/>
  <c r="F75" i="15"/>
  <c r="E75" i="15"/>
  <c r="D75" i="15"/>
  <c r="C75" i="15"/>
  <c r="B75" i="15"/>
  <c r="S74" i="15"/>
  <c r="R74" i="15"/>
  <c r="P74" i="15"/>
  <c r="O74" i="15"/>
  <c r="M74" i="15"/>
  <c r="G74" i="15"/>
  <c r="F74" i="15"/>
  <c r="E74" i="15"/>
  <c r="D74" i="15"/>
  <c r="C74" i="15"/>
  <c r="B74" i="15"/>
  <c r="S73" i="15"/>
  <c r="R73" i="15"/>
  <c r="P73" i="15"/>
  <c r="O73" i="15"/>
  <c r="M73" i="15"/>
  <c r="G73" i="15"/>
  <c r="F73" i="15"/>
  <c r="E73" i="15"/>
  <c r="D73" i="15"/>
  <c r="C73" i="15"/>
  <c r="B73" i="15"/>
  <c r="S72" i="15"/>
  <c r="R72" i="15"/>
  <c r="P72" i="15"/>
  <c r="O72" i="15"/>
  <c r="M72" i="15"/>
  <c r="G72" i="15"/>
  <c r="F72" i="15"/>
  <c r="E72" i="15"/>
  <c r="D72" i="15"/>
  <c r="C72" i="15"/>
  <c r="B72" i="15"/>
  <c r="S71" i="15"/>
  <c r="R71" i="15"/>
  <c r="P71" i="15"/>
  <c r="O71" i="15"/>
  <c r="M71" i="15"/>
  <c r="G71" i="15"/>
  <c r="F71" i="15"/>
  <c r="E71" i="15"/>
  <c r="D71" i="15"/>
  <c r="C71" i="15"/>
  <c r="B71" i="15"/>
  <c r="S70" i="15"/>
  <c r="R70" i="15"/>
  <c r="P70" i="15"/>
  <c r="O70" i="15"/>
  <c r="M70" i="15"/>
  <c r="G70" i="15"/>
  <c r="F70" i="15"/>
  <c r="E70" i="15"/>
  <c r="D70" i="15"/>
  <c r="C70" i="15"/>
  <c r="B70" i="15"/>
  <c r="S69" i="15"/>
  <c r="R69" i="15"/>
  <c r="P69" i="15"/>
  <c r="O69" i="15"/>
  <c r="N69" i="15"/>
  <c r="M69" i="15"/>
  <c r="G69" i="15"/>
  <c r="F69" i="15"/>
  <c r="E69" i="15"/>
  <c r="D69" i="15"/>
  <c r="C69" i="15"/>
  <c r="B69" i="15"/>
  <c r="S68" i="15"/>
  <c r="R68" i="15"/>
  <c r="P68" i="15"/>
  <c r="O68" i="15"/>
  <c r="M68" i="15"/>
  <c r="G68" i="15"/>
  <c r="F68" i="15"/>
  <c r="E68" i="15"/>
  <c r="D68" i="15"/>
  <c r="C68" i="15"/>
  <c r="B68" i="15"/>
  <c r="S67" i="15"/>
  <c r="R67" i="15"/>
  <c r="P67" i="15"/>
  <c r="O67" i="15"/>
  <c r="N67" i="15"/>
  <c r="M67" i="15"/>
  <c r="G67" i="15"/>
  <c r="F67" i="15"/>
  <c r="E67" i="15"/>
  <c r="D67" i="15"/>
  <c r="C67" i="15"/>
  <c r="B67" i="15"/>
  <c r="S66" i="15"/>
  <c r="R66" i="15"/>
  <c r="P66" i="15"/>
  <c r="O66" i="15"/>
  <c r="N66" i="15"/>
  <c r="M66" i="15"/>
  <c r="G66" i="15"/>
  <c r="F66" i="15"/>
  <c r="E66" i="15"/>
  <c r="D66" i="15"/>
  <c r="C66" i="15"/>
  <c r="B66" i="15"/>
  <c r="S65" i="15"/>
  <c r="R65" i="15"/>
  <c r="P65" i="15"/>
  <c r="O65" i="15"/>
  <c r="M65" i="15"/>
  <c r="G65" i="15"/>
  <c r="F65" i="15"/>
  <c r="E65" i="15"/>
  <c r="D65" i="15"/>
  <c r="C65" i="15"/>
  <c r="B65" i="15"/>
  <c r="S64" i="15"/>
  <c r="R64" i="15"/>
  <c r="P64" i="15"/>
  <c r="O64" i="15"/>
  <c r="N64" i="15"/>
  <c r="M64" i="15"/>
  <c r="G64" i="15"/>
  <c r="F64" i="15"/>
  <c r="E64" i="15"/>
  <c r="D64" i="15"/>
  <c r="C64" i="15"/>
  <c r="B64" i="15"/>
  <c r="S63" i="15"/>
  <c r="R63" i="15"/>
  <c r="P63" i="15"/>
  <c r="O63" i="15"/>
  <c r="M63" i="15"/>
  <c r="G63" i="15"/>
  <c r="F63" i="15"/>
  <c r="E63" i="15"/>
  <c r="D63" i="15"/>
  <c r="C63" i="15"/>
  <c r="B63" i="15"/>
  <c r="S62" i="15"/>
  <c r="R62" i="15"/>
  <c r="P62" i="15"/>
  <c r="O62" i="15"/>
  <c r="N62" i="15"/>
  <c r="M62" i="15"/>
  <c r="G62" i="15"/>
  <c r="F62" i="15"/>
  <c r="E62" i="15"/>
  <c r="D62" i="15"/>
  <c r="C62" i="15"/>
  <c r="B62" i="15"/>
  <c r="S61" i="15"/>
  <c r="R61" i="15"/>
  <c r="P61" i="15"/>
  <c r="O61" i="15"/>
  <c r="N61" i="15"/>
  <c r="M61" i="15"/>
  <c r="G61" i="15"/>
  <c r="F61" i="15"/>
  <c r="E61" i="15"/>
  <c r="D61" i="15"/>
  <c r="C61" i="15"/>
  <c r="B61" i="15"/>
  <c r="S60" i="15"/>
  <c r="R60" i="15"/>
  <c r="Q60" i="15"/>
  <c r="P60" i="15"/>
  <c r="O60" i="15"/>
  <c r="N60" i="15"/>
  <c r="G60" i="15"/>
  <c r="F60" i="15"/>
  <c r="E60" i="15"/>
  <c r="D60" i="15"/>
  <c r="C60" i="15"/>
  <c r="B60" i="15"/>
  <c r="S59" i="15"/>
  <c r="R59" i="15"/>
  <c r="Q59" i="15"/>
  <c r="P59" i="15"/>
  <c r="O59" i="15"/>
  <c r="N59" i="15"/>
  <c r="G59" i="15"/>
  <c r="F59" i="15"/>
  <c r="E59" i="15"/>
  <c r="D59" i="15"/>
  <c r="C59" i="15"/>
  <c r="B59" i="15"/>
  <c r="S58" i="15"/>
  <c r="R58" i="15"/>
  <c r="Q58" i="15"/>
  <c r="P58" i="15"/>
  <c r="N58" i="15"/>
  <c r="G58" i="15"/>
  <c r="F58" i="15"/>
  <c r="E58" i="15"/>
  <c r="D58" i="15"/>
  <c r="C58" i="15"/>
  <c r="B58" i="15"/>
  <c r="S57" i="15"/>
  <c r="R57" i="15"/>
  <c r="Q57" i="15"/>
  <c r="P57" i="15"/>
  <c r="O57" i="15"/>
  <c r="N57" i="15"/>
  <c r="G57" i="15"/>
  <c r="F57" i="15"/>
  <c r="E57" i="15"/>
  <c r="D57" i="15"/>
  <c r="C57" i="15"/>
  <c r="B57" i="15"/>
  <c r="S56" i="15"/>
  <c r="R56" i="15"/>
  <c r="Q56" i="15"/>
  <c r="P56" i="15"/>
  <c r="N56" i="15"/>
  <c r="M56" i="15"/>
  <c r="G56" i="15"/>
  <c r="F56" i="15"/>
  <c r="E56" i="15"/>
  <c r="D56" i="15"/>
  <c r="C56" i="15"/>
  <c r="B56" i="15"/>
  <c r="S55" i="15"/>
  <c r="R55" i="15"/>
  <c r="Q55" i="15"/>
  <c r="P55" i="15"/>
  <c r="N55" i="15"/>
  <c r="G55" i="15"/>
  <c r="F55" i="15"/>
  <c r="E55" i="15"/>
  <c r="D55" i="15"/>
  <c r="C55" i="15"/>
  <c r="B55" i="15"/>
  <c r="S54" i="15"/>
  <c r="R54" i="15"/>
  <c r="Q54" i="15"/>
  <c r="P54" i="15"/>
  <c r="N54" i="15"/>
  <c r="M54" i="15"/>
  <c r="G54" i="15"/>
  <c r="F54" i="15"/>
  <c r="E54" i="15"/>
  <c r="D54" i="15"/>
  <c r="C54" i="15"/>
  <c r="B54" i="15"/>
  <c r="S53" i="15"/>
  <c r="R53" i="15"/>
  <c r="Q53" i="15"/>
  <c r="P53" i="15"/>
  <c r="N53" i="15"/>
  <c r="M53" i="15"/>
  <c r="G53" i="15"/>
  <c r="F53" i="15"/>
  <c r="E53" i="15"/>
  <c r="D53" i="15"/>
  <c r="C53" i="15"/>
  <c r="B53" i="15"/>
  <c r="Q52" i="15"/>
  <c r="P52" i="15"/>
  <c r="O52" i="15"/>
  <c r="N52" i="15"/>
  <c r="G52" i="15"/>
  <c r="F52" i="15"/>
  <c r="E52" i="15"/>
  <c r="D52" i="15"/>
  <c r="C52" i="15"/>
  <c r="B52" i="15"/>
  <c r="S51" i="15"/>
  <c r="Q51" i="15"/>
  <c r="P51" i="15"/>
  <c r="O51" i="15"/>
  <c r="N51" i="15"/>
  <c r="G51" i="15"/>
  <c r="F51" i="15"/>
  <c r="E51" i="15"/>
  <c r="D51" i="15"/>
  <c r="C51" i="15"/>
  <c r="B51" i="15"/>
  <c r="S50" i="15"/>
  <c r="R50" i="15"/>
  <c r="Q50" i="15"/>
  <c r="O50" i="15"/>
  <c r="N50" i="15"/>
  <c r="M50" i="15"/>
  <c r="G50" i="15"/>
  <c r="F50" i="15"/>
  <c r="E50" i="15"/>
  <c r="D50" i="15"/>
  <c r="C50" i="15"/>
  <c r="B50" i="15"/>
  <c r="Q49" i="15"/>
  <c r="P49" i="15"/>
  <c r="O49" i="15"/>
  <c r="N49" i="15"/>
  <c r="G49" i="15"/>
  <c r="F49" i="15"/>
  <c r="E49" i="15"/>
  <c r="D49" i="15"/>
  <c r="C49" i="15"/>
  <c r="B49" i="15"/>
  <c r="S48" i="15"/>
  <c r="Q48" i="15"/>
  <c r="P48" i="15"/>
  <c r="O48" i="15"/>
  <c r="N48" i="15"/>
  <c r="G48" i="15"/>
  <c r="F48" i="15"/>
  <c r="E48" i="15"/>
  <c r="D48" i="15"/>
  <c r="C48" i="15"/>
  <c r="B48" i="15"/>
  <c r="S47" i="15"/>
  <c r="Q47" i="15"/>
  <c r="P47" i="15"/>
  <c r="O47" i="15"/>
  <c r="N47" i="15"/>
  <c r="G47" i="15"/>
  <c r="F47" i="15"/>
  <c r="E47" i="15"/>
  <c r="D47" i="15"/>
  <c r="C47" i="15"/>
  <c r="B47" i="15"/>
  <c r="S46" i="15"/>
  <c r="R46" i="15"/>
  <c r="Q46" i="15"/>
  <c r="O46" i="15"/>
  <c r="N46" i="15"/>
  <c r="M46" i="15"/>
  <c r="G46" i="15"/>
  <c r="F46" i="15"/>
  <c r="E46" i="15"/>
  <c r="D46" i="15"/>
  <c r="C46" i="15"/>
  <c r="B46" i="15"/>
  <c r="S45" i="15"/>
  <c r="R45" i="15"/>
  <c r="Q45" i="15"/>
  <c r="O45" i="15"/>
  <c r="N45" i="15"/>
  <c r="M45" i="15"/>
  <c r="G45" i="15"/>
  <c r="F45" i="15"/>
  <c r="E45" i="15"/>
  <c r="D45" i="15"/>
  <c r="C45" i="15"/>
  <c r="B45" i="15"/>
  <c r="Q44" i="15"/>
  <c r="O44" i="15"/>
  <c r="N44" i="15"/>
  <c r="M44" i="15"/>
  <c r="G44" i="15"/>
  <c r="F44" i="15"/>
  <c r="E44" i="15"/>
  <c r="D44" i="15"/>
  <c r="C44" i="15"/>
  <c r="B44" i="15"/>
  <c r="Q43" i="15"/>
  <c r="O43" i="15"/>
  <c r="N43" i="15"/>
  <c r="M43" i="15"/>
  <c r="G43" i="15"/>
  <c r="F43" i="15"/>
  <c r="E43" i="15"/>
  <c r="D43" i="15"/>
  <c r="C43" i="15"/>
  <c r="B43" i="15"/>
  <c r="Q42" i="15"/>
  <c r="O42" i="15"/>
  <c r="N42" i="15"/>
  <c r="M42" i="15"/>
  <c r="G42" i="15"/>
  <c r="F42" i="15"/>
  <c r="E42" i="15"/>
  <c r="D42" i="15"/>
  <c r="C42" i="15"/>
  <c r="B42" i="15"/>
  <c r="Q41" i="15"/>
  <c r="P41" i="15"/>
  <c r="O41" i="15"/>
  <c r="N41" i="15"/>
  <c r="M41" i="15"/>
  <c r="G41" i="15"/>
  <c r="F41" i="15"/>
  <c r="E41" i="15"/>
  <c r="D41" i="15"/>
  <c r="C41" i="15"/>
  <c r="B41" i="15"/>
  <c r="R40" i="15"/>
  <c r="Q40" i="15"/>
  <c r="O40" i="15"/>
  <c r="N40" i="15"/>
  <c r="M40" i="15"/>
  <c r="G40" i="15"/>
  <c r="F40" i="15"/>
  <c r="E40" i="15"/>
  <c r="D40" i="15"/>
  <c r="C40" i="15"/>
  <c r="B40" i="15"/>
  <c r="R39" i="15"/>
  <c r="Q39" i="15"/>
  <c r="P39" i="15"/>
  <c r="O39" i="15"/>
  <c r="N39" i="15"/>
  <c r="M39" i="15"/>
  <c r="G39" i="15"/>
  <c r="F39" i="15"/>
  <c r="E39" i="15"/>
  <c r="D39" i="15"/>
  <c r="C39" i="15"/>
  <c r="B39" i="15"/>
  <c r="R38" i="15"/>
  <c r="Q38" i="15"/>
  <c r="P38" i="15"/>
  <c r="O38" i="15"/>
  <c r="N38" i="15"/>
  <c r="M38" i="15"/>
  <c r="G38" i="15"/>
  <c r="F38" i="15"/>
  <c r="E38" i="15"/>
  <c r="D38" i="15"/>
  <c r="C38" i="15"/>
  <c r="B38" i="15"/>
  <c r="R37" i="15"/>
  <c r="Q37" i="15"/>
  <c r="O37" i="15"/>
  <c r="N37" i="15"/>
  <c r="M37" i="15"/>
  <c r="G37" i="15"/>
  <c r="F37" i="15"/>
  <c r="E37" i="15"/>
  <c r="D37" i="15"/>
  <c r="C37" i="15"/>
  <c r="B37" i="15"/>
  <c r="R36" i="15"/>
  <c r="Q36" i="15"/>
  <c r="O36" i="15"/>
  <c r="N36" i="15"/>
  <c r="M36" i="15"/>
  <c r="G36" i="15"/>
  <c r="F36" i="15"/>
  <c r="E36" i="15"/>
  <c r="D36" i="15"/>
  <c r="C36" i="15"/>
  <c r="B36" i="15"/>
  <c r="S35" i="15"/>
  <c r="R35" i="15"/>
  <c r="Q35" i="15"/>
  <c r="O35" i="15"/>
  <c r="N35" i="15"/>
  <c r="M35" i="15"/>
  <c r="G35" i="15"/>
  <c r="F35" i="15"/>
  <c r="E35" i="15"/>
  <c r="D35" i="15"/>
  <c r="C35" i="15"/>
  <c r="B35" i="15"/>
  <c r="S34" i="15"/>
  <c r="R34" i="15"/>
  <c r="Q34" i="15"/>
  <c r="P34" i="15"/>
  <c r="O34" i="15"/>
  <c r="N34" i="15"/>
  <c r="M34" i="15"/>
  <c r="T34" i="15" s="1"/>
  <c r="G34" i="15"/>
  <c r="F34" i="15"/>
  <c r="E34" i="15"/>
  <c r="D34" i="15"/>
  <c r="C34" i="15"/>
  <c r="B34" i="15"/>
  <c r="S33" i="15"/>
  <c r="R33" i="15"/>
  <c r="Q33" i="15"/>
  <c r="P33" i="15"/>
  <c r="O33" i="15"/>
  <c r="N33" i="15"/>
  <c r="M33" i="15"/>
  <c r="T33" i="15" s="1"/>
  <c r="G33" i="15"/>
  <c r="F33" i="15"/>
  <c r="E33" i="15"/>
  <c r="D33" i="15"/>
  <c r="C33" i="15"/>
  <c r="B33" i="15"/>
  <c r="S32" i="15"/>
  <c r="R32" i="15"/>
  <c r="Q32" i="15"/>
  <c r="P32" i="15"/>
  <c r="O32" i="15"/>
  <c r="N32" i="15"/>
  <c r="M32" i="15"/>
  <c r="T32" i="15" s="1"/>
  <c r="G32" i="15"/>
  <c r="F32" i="15"/>
  <c r="E32" i="15"/>
  <c r="D32" i="15"/>
  <c r="C32" i="15"/>
  <c r="B32" i="15"/>
  <c r="S31" i="15"/>
  <c r="R31" i="15"/>
  <c r="Q31" i="15"/>
  <c r="P31" i="15"/>
  <c r="O31" i="15"/>
  <c r="N31" i="15"/>
  <c r="M31" i="15"/>
  <c r="T31" i="15" s="1"/>
  <c r="G31" i="15"/>
  <c r="F31" i="15"/>
  <c r="E31" i="15"/>
  <c r="D31" i="15"/>
  <c r="C31" i="15"/>
  <c r="B31" i="15"/>
  <c r="S30" i="15"/>
  <c r="R30" i="15"/>
  <c r="Q30" i="15"/>
  <c r="P30" i="15"/>
  <c r="O30" i="15"/>
  <c r="N30" i="15"/>
  <c r="M30" i="15"/>
  <c r="T30" i="15" s="1"/>
  <c r="G30" i="15"/>
  <c r="F30" i="15"/>
  <c r="E30" i="15"/>
  <c r="D30" i="15"/>
  <c r="C30" i="15"/>
  <c r="B30" i="15"/>
  <c r="S29" i="15"/>
  <c r="R29" i="15"/>
  <c r="Q29" i="15"/>
  <c r="P29" i="15"/>
  <c r="O29" i="15"/>
  <c r="N29" i="15"/>
  <c r="M29" i="15"/>
  <c r="T29" i="15" s="1"/>
  <c r="G29" i="15"/>
  <c r="F29" i="15"/>
  <c r="E29" i="15"/>
  <c r="D29" i="15"/>
  <c r="C29" i="15"/>
  <c r="B29" i="15"/>
  <c r="S28" i="15"/>
  <c r="R28" i="15"/>
  <c r="Q28" i="15"/>
  <c r="P28" i="15"/>
  <c r="O28" i="15"/>
  <c r="N28" i="15"/>
  <c r="M28" i="15"/>
  <c r="T28" i="15" s="1"/>
  <c r="G28" i="15"/>
  <c r="F28" i="15"/>
  <c r="E28" i="15"/>
  <c r="D28" i="15"/>
  <c r="C28" i="15"/>
  <c r="B28" i="15"/>
  <c r="S27" i="15"/>
  <c r="R27" i="15"/>
  <c r="P27" i="15"/>
  <c r="O27" i="15"/>
  <c r="N27" i="15"/>
  <c r="M27" i="15"/>
  <c r="G27" i="15"/>
  <c r="F27" i="15"/>
  <c r="E27" i="15"/>
  <c r="D27" i="15"/>
  <c r="C27" i="15"/>
  <c r="B27" i="15"/>
  <c r="S26" i="15"/>
  <c r="R26" i="15"/>
  <c r="Q26" i="15"/>
  <c r="P26" i="15"/>
  <c r="O26" i="15"/>
  <c r="N26" i="15"/>
  <c r="M26" i="15"/>
  <c r="T26" i="15" s="1"/>
  <c r="G26" i="15"/>
  <c r="F26" i="15"/>
  <c r="E26" i="15"/>
  <c r="D26" i="15"/>
  <c r="C26" i="15"/>
  <c r="B26" i="15"/>
  <c r="S25" i="15"/>
  <c r="R25" i="15"/>
  <c r="Q25" i="15"/>
  <c r="P25" i="15"/>
  <c r="O25" i="15"/>
  <c r="N25" i="15"/>
  <c r="M25" i="15"/>
  <c r="T25" i="15" s="1"/>
  <c r="G25" i="15"/>
  <c r="F25" i="15"/>
  <c r="E25" i="15"/>
  <c r="D25" i="15"/>
  <c r="C25" i="15"/>
  <c r="B25" i="15"/>
  <c r="S24" i="15"/>
  <c r="R24" i="15"/>
  <c r="Q24" i="15"/>
  <c r="P24" i="15"/>
  <c r="O24" i="15"/>
  <c r="N24" i="15"/>
  <c r="M24" i="15"/>
  <c r="T24" i="15" s="1"/>
  <c r="G24" i="15"/>
  <c r="F24" i="15"/>
  <c r="E24" i="15"/>
  <c r="D24" i="15"/>
  <c r="C24" i="15"/>
  <c r="B24" i="15"/>
  <c r="S23" i="15"/>
  <c r="R23" i="15"/>
  <c r="Q23" i="15"/>
  <c r="P23" i="15"/>
  <c r="O23" i="15"/>
  <c r="N23" i="15"/>
  <c r="M23" i="15"/>
  <c r="T23" i="15" s="1"/>
  <c r="G23" i="15"/>
  <c r="F23" i="15"/>
  <c r="E23" i="15"/>
  <c r="D23" i="15"/>
  <c r="C23" i="15"/>
  <c r="B23" i="15"/>
  <c r="S22" i="15"/>
  <c r="R22" i="15"/>
  <c r="Q22" i="15"/>
  <c r="P22" i="15"/>
  <c r="O22" i="15"/>
  <c r="N22" i="15"/>
  <c r="M22" i="15"/>
  <c r="T22" i="15" s="1"/>
  <c r="G22" i="15"/>
  <c r="F22" i="15"/>
  <c r="E22" i="15"/>
  <c r="D22" i="15"/>
  <c r="C22" i="15"/>
  <c r="B22" i="15"/>
  <c r="S21" i="15"/>
  <c r="R21" i="15"/>
  <c r="Q21" i="15"/>
  <c r="P21" i="15"/>
  <c r="O21" i="15"/>
  <c r="N21" i="15"/>
  <c r="M21" i="15"/>
  <c r="T21" i="15" s="1"/>
  <c r="G21" i="15"/>
  <c r="F21" i="15"/>
  <c r="E21" i="15"/>
  <c r="D21" i="15"/>
  <c r="C21" i="15"/>
  <c r="B21" i="15"/>
  <c r="S20" i="15"/>
  <c r="R20" i="15"/>
  <c r="P20" i="15"/>
  <c r="O20" i="15"/>
  <c r="N20" i="15"/>
  <c r="M20" i="15"/>
  <c r="G20" i="15"/>
  <c r="F20" i="15"/>
  <c r="E20" i="15"/>
  <c r="D20" i="15"/>
  <c r="C20" i="15"/>
  <c r="B20" i="15"/>
  <c r="S19" i="15"/>
  <c r="R19" i="15"/>
  <c r="P19" i="15"/>
  <c r="O19" i="15"/>
  <c r="N19" i="15"/>
  <c r="M19" i="15"/>
  <c r="G19" i="15"/>
  <c r="F19" i="15"/>
  <c r="E19" i="15"/>
  <c r="D19" i="15"/>
  <c r="C19" i="15"/>
  <c r="B19" i="15"/>
  <c r="S18" i="15"/>
  <c r="R18" i="15"/>
  <c r="P18" i="15"/>
  <c r="O18" i="15"/>
  <c r="N18" i="15"/>
  <c r="M18" i="15"/>
  <c r="G18" i="15"/>
  <c r="F18" i="15"/>
  <c r="E18" i="15"/>
  <c r="D18" i="15"/>
  <c r="C18" i="15"/>
  <c r="B18" i="15"/>
  <c r="S17" i="15"/>
  <c r="R17" i="15"/>
  <c r="Q17" i="15"/>
  <c r="P17" i="15"/>
  <c r="O17" i="15"/>
  <c r="M17" i="15"/>
  <c r="G17" i="15"/>
  <c r="F17" i="15"/>
  <c r="E17" i="15"/>
  <c r="D17" i="15"/>
  <c r="C17" i="15"/>
  <c r="B17" i="15"/>
  <c r="S16" i="15"/>
  <c r="R16" i="15"/>
  <c r="Q16" i="15"/>
  <c r="P16" i="15"/>
  <c r="O16" i="15"/>
  <c r="M16" i="15"/>
  <c r="G16" i="15"/>
  <c r="F16" i="15"/>
  <c r="E16" i="15"/>
  <c r="D16" i="15"/>
  <c r="C16" i="15"/>
  <c r="B16" i="15"/>
  <c r="AI15" i="15"/>
  <c r="S15" i="15"/>
  <c r="R15" i="15"/>
  <c r="P15" i="15"/>
  <c r="O15" i="15"/>
  <c r="M15" i="15"/>
  <c r="G15" i="15"/>
  <c r="F15" i="15"/>
  <c r="E15" i="15"/>
  <c r="D15" i="15"/>
  <c r="C15" i="15"/>
  <c r="B15" i="15"/>
  <c r="AJ14" i="15"/>
  <c r="S14" i="15"/>
  <c r="R14" i="15"/>
  <c r="P14" i="15"/>
  <c r="O14" i="15"/>
  <c r="M14" i="15"/>
  <c r="G14" i="15"/>
  <c r="F14" i="15"/>
  <c r="E14" i="15"/>
  <c r="D14" i="15"/>
  <c r="C14" i="15"/>
  <c r="B14" i="15"/>
  <c r="S13" i="15"/>
  <c r="R13" i="15"/>
  <c r="Q13" i="15"/>
  <c r="P13" i="15"/>
  <c r="O13" i="15"/>
  <c r="M13" i="15"/>
  <c r="G13" i="15"/>
  <c r="F13" i="15"/>
  <c r="E13" i="15"/>
  <c r="D13" i="15"/>
  <c r="C13" i="15"/>
  <c r="B13" i="15"/>
  <c r="S12" i="15"/>
  <c r="R12" i="15"/>
  <c r="Q12" i="15"/>
  <c r="P12" i="15"/>
  <c r="O12" i="15"/>
  <c r="M12" i="15"/>
  <c r="G12" i="15"/>
  <c r="F12" i="15"/>
  <c r="E12" i="15"/>
  <c r="D12" i="15"/>
  <c r="C12" i="15"/>
  <c r="B12" i="15"/>
  <c r="S11" i="15"/>
  <c r="R11" i="15"/>
  <c r="P11" i="15"/>
  <c r="O11" i="15"/>
  <c r="M11" i="15"/>
  <c r="G11" i="15"/>
  <c r="F11" i="15"/>
  <c r="E11" i="15"/>
  <c r="D11" i="15"/>
  <c r="C11" i="15"/>
  <c r="B11" i="15"/>
  <c r="S10" i="15"/>
  <c r="R10" i="15"/>
  <c r="Q10" i="15"/>
  <c r="P10" i="15"/>
  <c r="O10" i="15"/>
  <c r="M10" i="15"/>
  <c r="G10" i="15"/>
  <c r="F10" i="15"/>
  <c r="E10" i="15"/>
  <c r="D10" i="15"/>
  <c r="C10" i="15"/>
  <c r="B10" i="15"/>
  <c r="S9" i="15"/>
  <c r="R9" i="15"/>
  <c r="Q9" i="15"/>
  <c r="P9" i="15"/>
  <c r="O9" i="15"/>
  <c r="M9" i="15"/>
  <c r="G9" i="15"/>
  <c r="F9" i="15"/>
  <c r="E9" i="15"/>
  <c r="D9" i="15"/>
  <c r="C9" i="15"/>
  <c r="B9" i="15"/>
  <c r="S8" i="15"/>
  <c r="R8" i="15"/>
  <c r="Q8" i="15"/>
  <c r="P8" i="15"/>
  <c r="O8" i="15"/>
  <c r="N8" i="15"/>
  <c r="M8" i="15"/>
  <c r="T8" i="15" s="1"/>
  <c r="G8" i="15"/>
  <c r="F8" i="15"/>
  <c r="E8" i="15"/>
  <c r="D8" i="15"/>
  <c r="C8" i="15"/>
  <c r="B8" i="15"/>
  <c r="S7" i="15"/>
  <c r="R7" i="15"/>
  <c r="Q7" i="15"/>
  <c r="P7" i="15"/>
  <c r="O7" i="15"/>
  <c r="N7" i="15"/>
  <c r="M7" i="15"/>
  <c r="T7" i="15" s="1"/>
  <c r="G7" i="15"/>
  <c r="F7" i="15"/>
  <c r="E7" i="15"/>
  <c r="D7" i="15"/>
  <c r="C7" i="15"/>
  <c r="B7" i="15"/>
  <c r="S6" i="15"/>
  <c r="R6" i="15"/>
  <c r="Q6" i="15"/>
  <c r="P6" i="15"/>
  <c r="O6" i="15"/>
  <c r="N6" i="15"/>
  <c r="G6" i="15"/>
  <c r="F6" i="15"/>
  <c r="E6" i="15"/>
  <c r="D6" i="15"/>
  <c r="C6" i="15"/>
  <c r="B6" i="15"/>
  <c r="S5" i="15"/>
  <c r="R5" i="15"/>
  <c r="Q5" i="15"/>
  <c r="P5" i="15"/>
  <c r="O5" i="15"/>
  <c r="N5" i="15"/>
  <c r="G5" i="15"/>
  <c r="F5" i="15"/>
  <c r="E5" i="15"/>
  <c r="D5" i="15"/>
  <c r="C5" i="15"/>
  <c r="B5" i="15"/>
  <c r="S4" i="15"/>
  <c r="R4" i="15"/>
  <c r="Q4" i="15"/>
  <c r="P4" i="15"/>
  <c r="O4" i="15"/>
  <c r="N4" i="15"/>
  <c r="M4" i="15"/>
  <c r="T4" i="15" s="1"/>
  <c r="G4" i="15"/>
  <c r="F4" i="15"/>
  <c r="E4" i="15"/>
  <c r="D4" i="15"/>
  <c r="C4" i="15"/>
  <c r="B4" i="15"/>
  <c r="S3" i="15"/>
  <c r="R3" i="15"/>
  <c r="Q3" i="15"/>
  <c r="P3" i="15"/>
  <c r="O3" i="15"/>
  <c r="N3" i="15"/>
  <c r="M3" i="15"/>
  <c r="T3" i="15" s="1"/>
  <c r="G3" i="15"/>
  <c r="F3" i="15"/>
  <c r="E3" i="15"/>
  <c r="D3" i="15"/>
  <c r="C3" i="15"/>
  <c r="B3" i="15"/>
  <c r="C931" i="12"/>
  <c r="C930" i="12"/>
  <c r="C929" i="12"/>
  <c r="C928" i="12"/>
  <c r="C927" i="12"/>
  <c r="C926" i="12"/>
  <c r="C925" i="12"/>
  <c r="C924" i="12"/>
  <c r="C923" i="12"/>
  <c r="C922" i="12"/>
  <c r="C921" i="12"/>
  <c r="C920" i="12"/>
  <c r="C919" i="12"/>
  <c r="C918" i="12"/>
  <c r="C917" i="12"/>
  <c r="C916" i="12"/>
  <c r="C915" i="12"/>
  <c r="C914" i="12"/>
  <c r="C913" i="12"/>
  <c r="C912" i="12"/>
  <c r="C911" i="12"/>
  <c r="C910" i="12"/>
  <c r="C909" i="12"/>
  <c r="C908" i="12"/>
  <c r="C907" i="12"/>
  <c r="C906" i="12"/>
  <c r="C905" i="12"/>
  <c r="C904" i="12"/>
  <c r="C903" i="12"/>
  <c r="C902" i="12"/>
  <c r="C901" i="12"/>
  <c r="C900" i="12"/>
  <c r="C899" i="12"/>
  <c r="C898" i="12"/>
  <c r="C897" i="12"/>
  <c r="C896" i="12"/>
  <c r="C895" i="12"/>
  <c r="C894" i="12"/>
  <c r="C893" i="12"/>
  <c r="C892" i="12"/>
  <c r="C891" i="12"/>
  <c r="C890" i="12"/>
  <c r="C889" i="12"/>
  <c r="C888" i="12"/>
  <c r="C887" i="12"/>
  <c r="C886" i="12"/>
  <c r="C885" i="12"/>
  <c r="C884" i="12"/>
  <c r="C883" i="12"/>
  <c r="C882" i="12"/>
  <c r="C881" i="12"/>
  <c r="C880" i="12"/>
  <c r="C879" i="12"/>
  <c r="C878" i="12"/>
  <c r="C877" i="12"/>
  <c r="C876" i="12"/>
  <c r="C875" i="12"/>
  <c r="C874" i="12"/>
  <c r="C873" i="12"/>
  <c r="C872" i="12"/>
  <c r="C871" i="12"/>
  <c r="C870" i="12"/>
  <c r="C869" i="12"/>
  <c r="C868" i="12"/>
  <c r="C867" i="12"/>
  <c r="C866" i="12"/>
  <c r="C865" i="12"/>
  <c r="C864" i="12"/>
  <c r="C863" i="12"/>
  <c r="C862" i="12"/>
  <c r="C861" i="12"/>
  <c r="C860" i="12"/>
  <c r="C859" i="12"/>
  <c r="C858" i="12"/>
  <c r="C857" i="12"/>
  <c r="C856" i="12"/>
  <c r="C855" i="12"/>
  <c r="C854" i="12"/>
  <c r="C853" i="12"/>
  <c r="C852" i="12"/>
  <c r="C851" i="12"/>
  <c r="C850" i="12"/>
  <c r="C849" i="12"/>
  <c r="C848" i="12"/>
  <c r="C847" i="12"/>
  <c r="C846" i="12"/>
  <c r="C845" i="12"/>
  <c r="C844" i="12"/>
  <c r="C843" i="12"/>
  <c r="C842" i="12"/>
  <c r="C841" i="12"/>
  <c r="C840" i="12"/>
  <c r="C839" i="12"/>
  <c r="C838" i="12"/>
  <c r="C837" i="12"/>
  <c r="C836" i="12"/>
  <c r="C835" i="12"/>
  <c r="C834" i="12"/>
  <c r="C833" i="12"/>
  <c r="C832" i="12"/>
  <c r="C831" i="12"/>
  <c r="C830" i="12"/>
  <c r="C829" i="12"/>
  <c r="C828" i="12"/>
  <c r="C827" i="12"/>
  <c r="C826" i="12"/>
  <c r="C825" i="12"/>
  <c r="C824" i="12"/>
  <c r="C823" i="12"/>
  <c r="C822" i="12"/>
  <c r="C821" i="12"/>
  <c r="C820" i="12"/>
  <c r="C819" i="12"/>
  <c r="C818" i="12"/>
  <c r="C817" i="12"/>
  <c r="C816" i="12"/>
  <c r="C815" i="12"/>
  <c r="C814" i="12"/>
  <c r="C813" i="12"/>
  <c r="C812" i="12"/>
  <c r="C811" i="12"/>
  <c r="C810" i="12"/>
  <c r="C809" i="12"/>
  <c r="C808" i="12"/>
  <c r="C807" i="12"/>
  <c r="C806" i="12"/>
  <c r="C805" i="12"/>
  <c r="C804" i="12"/>
  <c r="C803" i="12"/>
  <c r="C802" i="12"/>
  <c r="C801" i="12"/>
  <c r="C800" i="12"/>
  <c r="C799" i="12"/>
  <c r="C798" i="12"/>
  <c r="C797" i="12"/>
  <c r="C796" i="12"/>
  <c r="C795" i="12"/>
  <c r="C794" i="12"/>
  <c r="C793" i="12"/>
  <c r="C792" i="12"/>
  <c r="C791" i="12"/>
  <c r="C790" i="12"/>
  <c r="C789" i="12"/>
  <c r="C788" i="12"/>
  <c r="C787" i="12"/>
  <c r="C786" i="12"/>
  <c r="C785" i="12"/>
  <c r="C784" i="12"/>
  <c r="C783" i="12"/>
  <c r="C782" i="12"/>
  <c r="C781" i="12"/>
  <c r="C780" i="12"/>
  <c r="C779" i="12"/>
  <c r="C778" i="12"/>
  <c r="C777" i="12"/>
  <c r="C776" i="12"/>
  <c r="C775" i="12"/>
  <c r="C774" i="12"/>
  <c r="C773" i="12"/>
  <c r="C772" i="12"/>
  <c r="C771" i="12"/>
  <c r="C770" i="12"/>
  <c r="C769" i="12"/>
  <c r="C768" i="12"/>
  <c r="C767" i="12"/>
  <c r="C766" i="12"/>
  <c r="C765" i="12"/>
  <c r="C764" i="12"/>
  <c r="C763" i="12"/>
  <c r="C762" i="12"/>
  <c r="C761" i="12"/>
  <c r="C760" i="12"/>
  <c r="C759" i="12"/>
  <c r="C758" i="12"/>
  <c r="C757" i="12"/>
  <c r="C756" i="12"/>
  <c r="C755" i="12"/>
  <c r="C754" i="12"/>
  <c r="C753" i="12"/>
  <c r="C752" i="12"/>
  <c r="C751" i="12"/>
  <c r="C750" i="12"/>
  <c r="C749" i="12"/>
  <c r="C748" i="12"/>
  <c r="C747" i="12"/>
  <c r="C746" i="12"/>
  <c r="C745" i="12"/>
  <c r="C744" i="12"/>
  <c r="C743" i="12"/>
  <c r="C742" i="12"/>
  <c r="C741" i="12"/>
  <c r="C740" i="12"/>
  <c r="C739" i="12"/>
  <c r="C738" i="12"/>
  <c r="C737" i="12"/>
  <c r="C736" i="12"/>
  <c r="C735" i="12"/>
  <c r="C734" i="12"/>
  <c r="C733" i="12"/>
  <c r="C732" i="12"/>
  <c r="C731" i="12"/>
  <c r="C730" i="12"/>
  <c r="C729" i="12"/>
  <c r="C728" i="12"/>
  <c r="C727" i="12"/>
  <c r="C726" i="12"/>
  <c r="C725" i="12"/>
  <c r="C724" i="12"/>
  <c r="C723" i="12"/>
  <c r="C722" i="12"/>
  <c r="C721" i="12"/>
  <c r="C720" i="12"/>
  <c r="C719" i="12"/>
  <c r="C718" i="12"/>
  <c r="C717" i="12"/>
  <c r="C716" i="12"/>
  <c r="C715" i="12"/>
  <c r="C714" i="12"/>
  <c r="C713" i="12"/>
  <c r="C712" i="12"/>
  <c r="C711" i="12"/>
  <c r="C710" i="12"/>
  <c r="C709" i="12"/>
  <c r="C708" i="12"/>
  <c r="C707" i="12"/>
  <c r="C706" i="12"/>
  <c r="C705" i="12"/>
  <c r="C704" i="12"/>
  <c r="C703" i="12"/>
  <c r="C702" i="12"/>
  <c r="C701" i="12"/>
  <c r="C700" i="12"/>
  <c r="C699" i="12"/>
  <c r="C698" i="12"/>
  <c r="C697" i="12"/>
  <c r="C696" i="12"/>
  <c r="C695" i="12"/>
  <c r="C694" i="12"/>
  <c r="C693" i="12"/>
  <c r="C692" i="12"/>
  <c r="C691" i="12"/>
  <c r="C690" i="12"/>
  <c r="C689" i="12"/>
  <c r="C688" i="12"/>
  <c r="C687" i="12"/>
  <c r="C686" i="12"/>
  <c r="C685" i="12"/>
  <c r="C684" i="12"/>
  <c r="C683" i="12"/>
  <c r="C682" i="12"/>
  <c r="C681" i="12"/>
  <c r="C680" i="12"/>
  <c r="C679" i="12"/>
  <c r="C678" i="12"/>
  <c r="C677" i="12"/>
  <c r="C676" i="12"/>
  <c r="C675" i="12"/>
  <c r="C674" i="12"/>
  <c r="C673" i="12"/>
  <c r="C672" i="12"/>
  <c r="C671" i="12"/>
  <c r="C670" i="12"/>
  <c r="C669" i="12"/>
  <c r="C668" i="12"/>
  <c r="C667" i="12"/>
  <c r="C666" i="12"/>
  <c r="C665" i="12"/>
  <c r="C664" i="12"/>
  <c r="C663" i="12"/>
  <c r="C662" i="12"/>
  <c r="C661" i="12"/>
  <c r="C660" i="12"/>
  <c r="C659" i="12"/>
  <c r="C658" i="12"/>
  <c r="C657" i="12"/>
  <c r="C656" i="12"/>
  <c r="C655" i="12"/>
  <c r="C654" i="12"/>
  <c r="C653" i="12"/>
  <c r="C652" i="12"/>
  <c r="C651" i="12"/>
  <c r="C650" i="12"/>
  <c r="C649" i="12"/>
  <c r="C648" i="12"/>
  <c r="C647" i="12"/>
  <c r="C646" i="12"/>
  <c r="C645" i="12"/>
  <c r="C644" i="12"/>
  <c r="C643" i="12"/>
  <c r="C642" i="12"/>
  <c r="C641" i="12"/>
  <c r="C640" i="12"/>
  <c r="C639" i="12"/>
  <c r="C638" i="12"/>
  <c r="C637" i="12"/>
  <c r="C636" i="12"/>
  <c r="C635" i="12"/>
  <c r="C634" i="12"/>
  <c r="C633" i="12"/>
  <c r="C632" i="12"/>
  <c r="C631" i="12"/>
  <c r="C630" i="12"/>
  <c r="C629" i="12"/>
  <c r="C628" i="12"/>
  <c r="C627" i="12"/>
  <c r="C626" i="12"/>
  <c r="C625" i="12"/>
  <c r="C624" i="12"/>
  <c r="C623" i="12"/>
  <c r="C622" i="12"/>
  <c r="C621" i="12"/>
  <c r="C620" i="12"/>
  <c r="C619" i="12"/>
  <c r="C618" i="12"/>
  <c r="C617" i="12"/>
  <c r="C616" i="12"/>
  <c r="C615" i="12"/>
  <c r="C614" i="12"/>
  <c r="C613" i="12"/>
  <c r="C612" i="12"/>
  <c r="C611" i="12"/>
  <c r="C610" i="12"/>
  <c r="C609" i="12"/>
  <c r="C608" i="12"/>
  <c r="C607" i="12"/>
  <c r="C606" i="12"/>
  <c r="C605" i="12"/>
  <c r="C604" i="12"/>
  <c r="C603" i="12"/>
  <c r="C602" i="12"/>
  <c r="C601" i="12"/>
  <c r="C600" i="12"/>
  <c r="C599" i="12"/>
  <c r="C598" i="12"/>
  <c r="C597" i="12"/>
  <c r="C596" i="12"/>
  <c r="C595" i="12"/>
  <c r="C594" i="12"/>
  <c r="C593" i="12"/>
  <c r="C592" i="12"/>
  <c r="C591" i="12"/>
  <c r="C590" i="12"/>
  <c r="C589" i="12"/>
  <c r="C588" i="12"/>
  <c r="C587" i="12"/>
  <c r="C586" i="12"/>
  <c r="C585" i="12"/>
  <c r="C584" i="12"/>
  <c r="C583" i="12"/>
  <c r="C582" i="12"/>
  <c r="C581" i="12"/>
  <c r="C580" i="12"/>
  <c r="C579" i="12"/>
  <c r="C578" i="12"/>
  <c r="C577" i="12"/>
  <c r="C576" i="12"/>
  <c r="C575" i="12"/>
  <c r="C574" i="12"/>
  <c r="C573" i="12"/>
  <c r="C572" i="12"/>
  <c r="C571" i="12"/>
  <c r="C570" i="12"/>
  <c r="C569" i="12"/>
  <c r="C568" i="12"/>
  <c r="C567" i="12"/>
  <c r="C566" i="12"/>
  <c r="C565" i="12"/>
  <c r="C564" i="12"/>
  <c r="C563" i="12"/>
  <c r="C562" i="12"/>
  <c r="C561" i="12"/>
  <c r="C560" i="12"/>
  <c r="C559" i="12"/>
  <c r="C558" i="12"/>
  <c r="C557" i="12"/>
  <c r="C556" i="12"/>
  <c r="C555" i="12"/>
  <c r="C554" i="12"/>
  <c r="C553" i="12"/>
  <c r="C552" i="12"/>
  <c r="C551" i="12"/>
  <c r="C550" i="12"/>
  <c r="C549" i="12"/>
  <c r="C548" i="12"/>
  <c r="C547" i="12"/>
  <c r="C546" i="12"/>
  <c r="C545" i="12"/>
  <c r="C544" i="12"/>
  <c r="C543" i="12"/>
  <c r="C542" i="12"/>
  <c r="C541" i="12"/>
  <c r="C540" i="12"/>
  <c r="C539" i="12"/>
  <c r="C538" i="12"/>
  <c r="C537" i="12"/>
  <c r="C536" i="12"/>
  <c r="C535" i="12"/>
  <c r="C534" i="12"/>
  <c r="C533" i="12"/>
  <c r="C532" i="12"/>
  <c r="C531" i="12"/>
  <c r="C530" i="12"/>
  <c r="C529" i="12"/>
  <c r="C528" i="12"/>
  <c r="C527" i="12"/>
  <c r="C526" i="12"/>
  <c r="C525" i="12"/>
  <c r="C524" i="12"/>
  <c r="C523" i="12"/>
  <c r="C522" i="12"/>
  <c r="C521" i="12"/>
  <c r="C520" i="12"/>
  <c r="C519" i="12"/>
  <c r="C518" i="12"/>
  <c r="C517" i="12"/>
  <c r="C516" i="12"/>
  <c r="C515" i="12"/>
  <c r="C514" i="12"/>
  <c r="C513" i="12"/>
  <c r="C512" i="12"/>
  <c r="C511" i="12"/>
  <c r="C510" i="12"/>
  <c r="C509" i="12"/>
  <c r="C508" i="12"/>
  <c r="C507" i="12"/>
  <c r="C506" i="12"/>
  <c r="C505" i="12"/>
  <c r="C504" i="12"/>
  <c r="C503" i="12"/>
  <c r="C502" i="12"/>
  <c r="C501" i="12"/>
  <c r="C500" i="12"/>
  <c r="C499" i="12"/>
  <c r="C498" i="12"/>
  <c r="C497" i="12"/>
  <c r="C496" i="12"/>
  <c r="C495" i="12"/>
  <c r="C494" i="12"/>
  <c r="C493" i="12"/>
  <c r="C492" i="12"/>
  <c r="C491" i="12"/>
  <c r="C490" i="12"/>
  <c r="C489" i="12"/>
  <c r="C488" i="12"/>
  <c r="C487" i="12"/>
  <c r="C486" i="12"/>
  <c r="C485" i="12"/>
  <c r="C484" i="12"/>
  <c r="C483" i="12"/>
  <c r="C482" i="12"/>
  <c r="C481" i="12"/>
  <c r="C480" i="12"/>
  <c r="C479" i="12"/>
  <c r="C478" i="12"/>
  <c r="C477" i="12"/>
  <c r="C476" i="12"/>
  <c r="C475" i="12"/>
  <c r="C474" i="12"/>
  <c r="C473" i="12"/>
  <c r="C472" i="12"/>
  <c r="C471" i="12"/>
  <c r="C470" i="12"/>
  <c r="C469" i="12"/>
  <c r="C468" i="12"/>
  <c r="C467" i="12"/>
  <c r="C466" i="12"/>
  <c r="C465" i="12"/>
  <c r="C464" i="12"/>
  <c r="C463" i="12"/>
  <c r="C462" i="12"/>
  <c r="C461" i="12"/>
  <c r="C460" i="12"/>
  <c r="C459" i="12"/>
  <c r="C458" i="12"/>
  <c r="C457" i="12"/>
  <c r="C456" i="12"/>
  <c r="C455" i="12"/>
  <c r="C454" i="12"/>
  <c r="C453" i="12"/>
  <c r="C452" i="12"/>
  <c r="C451" i="12"/>
  <c r="C450" i="12"/>
  <c r="C449" i="12"/>
  <c r="C448" i="12"/>
  <c r="C447" i="12"/>
  <c r="C446" i="12"/>
  <c r="C445" i="12"/>
  <c r="C444" i="12"/>
  <c r="C443" i="12"/>
  <c r="C442" i="12"/>
  <c r="C441" i="12"/>
  <c r="C440" i="12"/>
  <c r="C439" i="12"/>
  <c r="C438" i="12"/>
  <c r="C437" i="12"/>
  <c r="C436" i="12"/>
  <c r="C435" i="12"/>
  <c r="C434" i="12"/>
  <c r="C433" i="12"/>
  <c r="C432" i="12"/>
  <c r="C431" i="12"/>
  <c r="C430" i="12"/>
  <c r="C429" i="12"/>
  <c r="C428" i="12"/>
  <c r="C427" i="12"/>
  <c r="C426" i="12"/>
  <c r="C425" i="12"/>
  <c r="C424" i="12"/>
  <c r="C423" i="12"/>
  <c r="C422" i="12"/>
  <c r="C421" i="12"/>
  <c r="C420" i="12"/>
  <c r="C419" i="12"/>
  <c r="C418" i="12"/>
  <c r="C417" i="12"/>
  <c r="C416" i="12"/>
  <c r="C415" i="12"/>
  <c r="C414" i="12"/>
  <c r="C413" i="12"/>
  <c r="C412" i="12"/>
  <c r="C411" i="12"/>
  <c r="C410" i="12"/>
  <c r="C409" i="12"/>
  <c r="C408" i="12"/>
  <c r="C407" i="12"/>
  <c r="C406" i="12"/>
  <c r="C405" i="12"/>
  <c r="C404" i="12"/>
  <c r="C403" i="12"/>
  <c r="C402" i="12"/>
  <c r="C401" i="12"/>
  <c r="C400" i="12"/>
  <c r="C399" i="12"/>
  <c r="C398" i="12"/>
  <c r="C397" i="12"/>
  <c r="C396" i="12"/>
  <c r="C395" i="12"/>
  <c r="C394" i="12"/>
  <c r="C393" i="12"/>
  <c r="C392" i="12"/>
  <c r="C391" i="12"/>
  <c r="C390" i="12"/>
  <c r="C389" i="12"/>
  <c r="C388" i="12"/>
  <c r="C387" i="12"/>
  <c r="C386" i="12"/>
  <c r="C385" i="12"/>
  <c r="C384" i="12"/>
  <c r="C383" i="12"/>
  <c r="C382" i="12"/>
  <c r="C381" i="12"/>
  <c r="C380" i="12"/>
  <c r="C379" i="12"/>
  <c r="C378" i="12"/>
  <c r="C377" i="12"/>
  <c r="C376" i="12"/>
  <c r="C375" i="12"/>
  <c r="C374" i="12"/>
  <c r="C373" i="12"/>
  <c r="C372" i="12"/>
  <c r="C371" i="12"/>
  <c r="C370" i="12"/>
  <c r="C369" i="12"/>
  <c r="C368" i="12"/>
  <c r="C367" i="12"/>
  <c r="C366" i="12"/>
  <c r="C365" i="12"/>
  <c r="C364" i="12"/>
  <c r="C363" i="12"/>
  <c r="C362" i="12"/>
  <c r="C361" i="12"/>
  <c r="C360" i="12"/>
  <c r="C359" i="12"/>
  <c r="C358" i="12"/>
  <c r="C357" i="12"/>
  <c r="C356" i="12"/>
  <c r="C355" i="12"/>
  <c r="C354" i="12"/>
  <c r="C353" i="12"/>
  <c r="C352" i="12"/>
  <c r="C351" i="12"/>
  <c r="C350" i="12"/>
  <c r="C349" i="12"/>
  <c r="C348" i="12"/>
  <c r="C347" i="12"/>
  <c r="C346" i="12"/>
  <c r="C345" i="12"/>
  <c r="C344" i="12"/>
  <c r="C343" i="12"/>
  <c r="C342" i="12"/>
  <c r="C341" i="12"/>
  <c r="C340" i="12"/>
  <c r="C339" i="12"/>
  <c r="C338" i="12"/>
  <c r="C337" i="12"/>
  <c r="C336" i="12"/>
  <c r="C335" i="12"/>
  <c r="C334" i="12"/>
  <c r="C333" i="12"/>
  <c r="C332" i="12"/>
  <c r="C331" i="12"/>
  <c r="C330" i="12"/>
  <c r="C329" i="12"/>
  <c r="C328" i="12"/>
  <c r="C327" i="12"/>
  <c r="C326" i="12"/>
  <c r="C325" i="12"/>
  <c r="C324" i="12"/>
  <c r="C323" i="12"/>
  <c r="C322" i="12"/>
  <c r="C321" i="12"/>
  <c r="C320" i="12"/>
  <c r="C319" i="12"/>
  <c r="C318" i="12"/>
  <c r="C317" i="12"/>
  <c r="C316" i="12"/>
  <c r="C315" i="12"/>
  <c r="C314" i="12"/>
  <c r="C313" i="12"/>
  <c r="C312" i="12"/>
  <c r="C311" i="12"/>
  <c r="C310" i="12"/>
  <c r="C309" i="12"/>
  <c r="C308" i="12"/>
  <c r="C307" i="12"/>
  <c r="C306" i="12"/>
  <c r="C305" i="12"/>
  <c r="C304" i="12"/>
  <c r="C303" i="12"/>
  <c r="C302" i="12"/>
  <c r="C301" i="12"/>
  <c r="C300" i="12"/>
  <c r="C299" i="12"/>
  <c r="C298" i="12"/>
  <c r="C297" i="12"/>
  <c r="C296" i="12"/>
  <c r="C295" i="12"/>
  <c r="C294" i="12"/>
  <c r="C293" i="12"/>
  <c r="C292" i="12"/>
  <c r="C291" i="12"/>
  <c r="C290" i="12"/>
  <c r="C289" i="12"/>
  <c r="C288" i="12"/>
  <c r="C287" i="12"/>
  <c r="C286" i="12"/>
  <c r="C285" i="12"/>
  <c r="C284" i="12"/>
  <c r="C283" i="12"/>
  <c r="C282" i="12"/>
  <c r="C281" i="12"/>
  <c r="C280" i="12"/>
  <c r="C279" i="12"/>
  <c r="C278" i="12"/>
  <c r="C277" i="12"/>
  <c r="C276" i="12"/>
  <c r="C275" i="12"/>
  <c r="C274" i="12"/>
  <c r="C273" i="12"/>
  <c r="C272" i="12"/>
  <c r="C271" i="12"/>
  <c r="C270" i="12"/>
  <c r="C269" i="12"/>
  <c r="C268" i="12"/>
  <c r="C267" i="12"/>
  <c r="C266" i="12"/>
  <c r="C265" i="12"/>
  <c r="C264" i="12"/>
  <c r="C263" i="12"/>
  <c r="C262" i="12"/>
  <c r="C261" i="12"/>
  <c r="C260" i="12"/>
  <c r="C259" i="12"/>
  <c r="C258" i="12"/>
  <c r="C257" i="12"/>
  <c r="C256" i="12"/>
  <c r="C255" i="12"/>
  <c r="C254" i="12"/>
  <c r="C253" i="12"/>
  <c r="C252" i="12"/>
  <c r="C251" i="12"/>
  <c r="C250" i="12"/>
  <c r="C249" i="12"/>
  <c r="C248" i="12"/>
  <c r="C247" i="12"/>
  <c r="C246" i="12"/>
  <c r="C245" i="12"/>
  <c r="C244" i="12"/>
  <c r="C243" i="12"/>
  <c r="C242" i="12"/>
  <c r="C241" i="12"/>
  <c r="C240" i="12"/>
  <c r="C239" i="12"/>
  <c r="C238" i="12"/>
  <c r="C237" i="12"/>
  <c r="C236" i="12"/>
  <c r="C235" i="12"/>
  <c r="C234" i="12"/>
  <c r="C233" i="12"/>
  <c r="C232" i="12"/>
  <c r="C231" i="12"/>
  <c r="C230" i="12"/>
  <c r="C229" i="12"/>
  <c r="C228" i="12"/>
  <c r="C227" i="12"/>
  <c r="C226" i="12"/>
  <c r="C225" i="12"/>
  <c r="C224" i="12"/>
  <c r="C223" i="12"/>
  <c r="C222" i="12"/>
  <c r="C221" i="12"/>
  <c r="C220" i="12"/>
  <c r="C219" i="12"/>
  <c r="C218" i="12"/>
  <c r="C217" i="12"/>
  <c r="C216" i="12"/>
  <c r="C215" i="12"/>
  <c r="C214" i="12"/>
  <c r="C213" i="12"/>
  <c r="C212" i="12"/>
  <c r="C211" i="12"/>
  <c r="C210" i="12"/>
  <c r="C209" i="12"/>
  <c r="C208" i="12"/>
  <c r="C207" i="12"/>
  <c r="C206" i="12"/>
  <c r="C205" i="12"/>
  <c r="C204" i="12"/>
  <c r="C203" i="12"/>
  <c r="C202" i="12"/>
  <c r="C201" i="12"/>
  <c r="C200" i="12"/>
  <c r="C199" i="12"/>
  <c r="C198" i="12"/>
  <c r="C197" i="12"/>
  <c r="C196" i="12"/>
  <c r="C195" i="12"/>
  <c r="C194" i="12"/>
  <c r="C193" i="12"/>
  <c r="C192" i="12"/>
  <c r="C191" i="12"/>
  <c r="C190" i="12"/>
  <c r="C189" i="12"/>
  <c r="C188" i="12"/>
  <c r="C187" i="12"/>
  <c r="C186" i="12"/>
  <c r="C185" i="12"/>
  <c r="C184" i="12"/>
  <c r="C183" i="12"/>
  <c r="C182" i="12"/>
  <c r="C181" i="12"/>
  <c r="C180" i="12"/>
  <c r="C179" i="12"/>
  <c r="C178" i="12"/>
  <c r="C177" i="12"/>
  <c r="C176" i="12"/>
  <c r="C175" i="12"/>
  <c r="C174" i="12"/>
  <c r="C173" i="12"/>
  <c r="C172" i="12"/>
  <c r="C171" i="12"/>
  <c r="C170" i="12"/>
  <c r="C169" i="12"/>
  <c r="C168" i="12"/>
  <c r="C167" i="12"/>
  <c r="C166" i="12"/>
  <c r="C165" i="12"/>
  <c r="C164" i="12"/>
  <c r="C163" i="12"/>
  <c r="C162" i="12"/>
  <c r="C161" i="12"/>
  <c r="C160" i="12"/>
  <c r="C159" i="12"/>
  <c r="C158" i="12"/>
  <c r="C157" i="12"/>
  <c r="C156" i="12"/>
  <c r="C155" i="12"/>
  <c r="C154" i="12"/>
  <c r="C153" i="12"/>
  <c r="C152" i="12"/>
  <c r="C151" i="12"/>
  <c r="C150" i="12"/>
  <c r="C149" i="12"/>
  <c r="C148" i="12"/>
  <c r="C147" i="12"/>
  <c r="C146" i="12"/>
  <c r="C145" i="12"/>
  <c r="C144" i="12"/>
  <c r="C143" i="12"/>
  <c r="C142" i="12"/>
  <c r="C141" i="12"/>
  <c r="C140" i="12"/>
  <c r="C139" i="12"/>
  <c r="C138" i="12"/>
  <c r="C137" i="12"/>
  <c r="C136" i="12"/>
  <c r="C135" i="12"/>
  <c r="C134" i="12"/>
  <c r="C133" i="12"/>
  <c r="C132" i="12"/>
  <c r="C131" i="12"/>
  <c r="C130" i="12"/>
  <c r="C129" i="12"/>
  <c r="C128" i="12"/>
  <c r="C127" i="12"/>
  <c r="C126" i="12"/>
  <c r="C125" i="12"/>
  <c r="C124" i="12"/>
  <c r="C123" i="12"/>
  <c r="C122" i="12"/>
  <c r="C121" i="12"/>
  <c r="C120" i="12"/>
  <c r="C119" i="12"/>
  <c r="C118" i="12"/>
  <c r="C117" i="12"/>
  <c r="C116" i="12"/>
  <c r="C115" i="12"/>
  <c r="C114" i="12"/>
  <c r="C113" i="12"/>
  <c r="C112" i="12"/>
  <c r="C111" i="12"/>
  <c r="C110" i="12"/>
  <c r="C109" i="12"/>
  <c r="C108" i="12"/>
  <c r="C107" i="12"/>
  <c r="C106" i="12"/>
  <c r="C105" i="12"/>
  <c r="C104" i="12"/>
  <c r="C103" i="12"/>
  <c r="C102" i="12"/>
  <c r="C101" i="12"/>
  <c r="C100" i="12"/>
  <c r="C99" i="12"/>
  <c r="C98" i="12"/>
  <c r="C97" i="12"/>
  <c r="C96" i="12"/>
  <c r="C95" i="12"/>
  <c r="C94" i="12"/>
  <c r="C93" i="12"/>
  <c r="C92" i="12"/>
  <c r="C91" i="12"/>
  <c r="C90" i="12"/>
  <c r="C89" i="12"/>
  <c r="C88" i="12"/>
  <c r="C87" i="12"/>
  <c r="C86" i="12"/>
  <c r="C85" i="12"/>
  <c r="C84" i="12"/>
  <c r="C83" i="12"/>
  <c r="C82" i="12"/>
  <c r="C81" i="12"/>
  <c r="C80" i="12"/>
  <c r="C79" i="12"/>
  <c r="C78" i="12"/>
  <c r="C77" i="12"/>
  <c r="C76" i="12"/>
  <c r="C75" i="12"/>
  <c r="C74" i="12"/>
  <c r="C73" i="12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2" i="12"/>
  <c r="F12" i="6"/>
  <c r="F11" i="6"/>
  <c r="F10" i="6"/>
  <c r="F9" i="6"/>
  <c r="F8" i="6"/>
  <c r="F7" i="6"/>
  <c r="F6" i="6"/>
  <c r="F5" i="6"/>
  <c r="F4" i="6"/>
  <c r="F3" i="6"/>
  <c r="F2" i="6"/>
  <c r="B6" i="5"/>
  <c r="B5" i="5"/>
  <c r="B4" i="5"/>
  <c r="B3" i="5"/>
  <c r="B2" i="5"/>
  <c r="C503" i="10"/>
  <c r="C502" i="10"/>
  <c r="C501" i="10"/>
  <c r="C500" i="10"/>
  <c r="Q144" i="15" s="1"/>
  <c r="C499" i="10"/>
  <c r="C498" i="10"/>
  <c r="C497" i="10"/>
  <c r="C496" i="10"/>
  <c r="C495" i="10"/>
  <c r="Q143" i="15" s="1"/>
  <c r="C494" i="10"/>
  <c r="C493" i="10"/>
  <c r="C492" i="10"/>
  <c r="C491" i="10"/>
  <c r="C490" i="10"/>
  <c r="Q142" i="15" s="1"/>
  <c r="C489" i="10"/>
  <c r="C488" i="10"/>
  <c r="C487" i="10"/>
  <c r="C486" i="10"/>
  <c r="C485" i="10"/>
  <c r="Q141" i="15" s="1"/>
  <c r="C484" i="10"/>
  <c r="M141" i="15" s="1"/>
  <c r="T141" i="15" s="1"/>
  <c r="C483" i="10"/>
  <c r="C482" i="10"/>
  <c r="C481" i="10"/>
  <c r="C480" i="10"/>
  <c r="Q140" i="15" s="1"/>
  <c r="C479" i="10"/>
  <c r="C478" i="10"/>
  <c r="C477" i="10"/>
  <c r="C476" i="10"/>
  <c r="C475" i="10"/>
  <c r="C474" i="10"/>
  <c r="C473" i="10"/>
  <c r="Q139" i="15" s="1"/>
  <c r="C472" i="10"/>
  <c r="C471" i="10"/>
  <c r="C470" i="10"/>
  <c r="C469" i="10"/>
  <c r="C468" i="10"/>
  <c r="C467" i="10"/>
  <c r="M138" i="15" s="1"/>
  <c r="T138" i="15" s="1"/>
  <c r="C466" i="10"/>
  <c r="C465" i="10"/>
  <c r="C464" i="10"/>
  <c r="C463" i="10"/>
  <c r="C462" i="10"/>
  <c r="Q137" i="15" s="1"/>
  <c r="C461" i="10"/>
  <c r="M137" i="15" s="1"/>
  <c r="T137" i="15" s="1"/>
  <c r="C460" i="10"/>
  <c r="C459" i="10"/>
  <c r="C458" i="10"/>
  <c r="Q136" i="15" s="1"/>
  <c r="C457" i="10"/>
  <c r="C456" i="10"/>
  <c r="C455" i="10"/>
  <c r="C454" i="10"/>
  <c r="C453" i="10"/>
  <c r="Q135" i="15" s="1"/>
  <c r="C452" i="10"/>
  <c r="C451" i="10"/>
  <c r="C450" i="10"/>
  <c r="C449" i="10"/>
  <c r="C448" i="10"/>
  <c r="Q134" i="15" s="1"/>
  <c r="C447" i="10"/>
  <c r="C446" i="10"/>
  <c r="C445" i="10"/>
  <c r="C444" i="10"/>
  <c r="C443" i="10"/>
  <c r="C442" i="10"/>
  <c r="M133" i="15" s="1"/>
  <c r="T133" i="15" s="1"/>
  <c r="C441" i="10"/>
  <c r="C440" i="10"/>
  <c r="P132" i="15" s="1"/>
  <c r="C439" i="10"/>
  <c r="C438" i="10"/>
  <c r="P131" i="15" s="1"/>
  <c r="C437" i="10"/>
  <c r="C436" i="10"/>
  <c r="P130" i="15" s="1"/>
  <c r="C435" i="10"/>
  <c r="C434" i="10"/>
  <c r="P129" i="15" s="1"/>
  <c r="C433" i="10"/>
  <c r="C432" i="10"/>
  <c r="P128" i="15" s="1"/>
  <c r="C431" i="10"/>
  <c r="C430" i="10"/>
  <c r="P127" i="15" s="1"/>
  <c r="C429" i="10"/>
  <c r="C428" i="10"/>
  <c r="P126" i="15" s="1"/>
  <c r="C427" i="10"/>
  <c r="C426" i="10"/>
  <c r="P125" i="15" s="1"/>
  <c r="C425" i="10"/>
  <c r="C424" i="10"/>
  <c r="P124" i="15" s="1"/>
  <c r="C423" i="10"/>
  <c r="C422" i="10"/>
  <c r="C421" i="10"/>
  <c r="C420" i="10"/>
  <c r="R123" i="15" s="1"/>
  <c r="C419" i="10"/>
  <c r="M123" i="15" s="1"/>
  <c r="T123" i="15" s="1"/>
  <c r="C418" i="10"/>
  <c r="C417" i="10"/>
  <c r="C416" i="10"/>
  <c r="C415" i="10"/>
  <c r="C414" i="10"/>
  <c r="C413" i="10"/>
  <c r="R122" i="15" s="1"/>
  <c r="C412" i="10"/>
  <c r="M122" i="15" s="1"/>
  <c r="T122" i="15" s="1"/>
  <c r="C411" i="10"/>
  <c r="C410" i="10"/>
  <c r="C409" i="10"/>
  <c r="C408" i="10"/>
  <c r="C407" i="10"/>
  <c r="C406" i="10"/>
  <c r="M121" i="15" s="1"/>
  <c r="T121" i="15" s="1"/>
  <c r="C405" i="10"/>
  <c r="C404" i="10"/>
  <c r="C403" i="10"/>
  <c r="C402" i="10"/>
  <c r="C401" i="10"/>
  <c r="C400" i="10"/>
  <c r="M120" i="15" s="1"/>
  <c r="T120" i="15" s="1"/>
  <c r="C399" i="10"/>
  <c r="C398" i="10"/>
  <c r="C397" i="10"/>
  <c r="C396" i="10"/>
  <c r="C395" i="10"/>
  <c r="C394" i="10"/>
  <c r="M119" i="15" s="1"/>
  <c r="T119" i="15" s="1"/>
  <c r="C393" i="10"/>
  <c r="C392" i="10"/>
  <c r="C391" i="10"/>
  <c r="C390" i="10"/>
  <c r="C389" i="10"/>
  <c r="C388" i="10"/>
  <c r="C387" i="10"/>
  <c r="C386" i="10"/>
  <c r="C385" i="10"/>
  <c r="C384" i="10"/>
  <c r="M117" i="15" s="1"/>
  <c r="T117" i="15" s="1"/>
  <c r="C383" i="10"/>
  <c r="C382" i="10"/>
  <c r="C381" i="10"/>
  <c r="C380" i="10"/>
  <c r="C379" i="10"/>
  <c r="C378" i="10"/>
  <c r="O116" i="15" s="1"/>
  <c r="C377" i="10"/>
  <c r="C376" i="10"/>
  <c r="C375" i="10"/>
  <c r="C374" i="10"/>
  <c r="C373" i="10"/>
  <c r="C372" i="10"/>
  <c r="O115" i="15" s="1"/>
  <c r="C371" i="10"/>
  <c r="M115" i="15" s="1"/>
  <c r="T115" i="15" s="1"/>
  <c r="C370" i="10"/>
  <c r="C369" i="10"/>
  <c r="C368" i="10"/>
  <c r="O114" i="15" s="1"/>
  <c r="C367" i="10"/>
  <c r="C366" i="10"/>
  <c r="C365" i="10"/>
  <c r="C364" i="10"/>
  <c r="O113" i="15" s="1"/>
  <c r="C363" i="10"/>
  <c r="C362" i="10"/>
  <c r="C361" i="10"/>
  <c r="C360" i="10"/>
  <c r="C359" i="10"/>
  <c r="O112" i="15" s="1"/>
  <c r="C358" i="10"/>
  <c r="C357" i="10"/>
  <c r="C356" i="10"/>
  <c r="C355" i="10"/>
  <c r="O111" i="15" s="1"/>
  <c r="C354" i="10"/>
  <c r="C353" i="10"/>
  <c r="C352" i="10"/>
  <c r="C351" i="10"/>
  <c r="O110" i="15" s="1"/>
  <c r="C350" i="10"/>
  <c r="C349" i="10"/>
  <c r="C348" i="10"/>
  <c r="O109" i="15" s="1"/>
  <c r="C347" i="10"/>
  <c r="C346" i="10"/>
  <c r="C345" i="10"/>
  <c r="O108" i="15" s="1"/>
  <c r="C344" i="10"/>
  <c r="C343" i="10"/>
  <c r="C342" i="10"/>
  <c r="C341" i="10"/>
  <c r="C340" i="10"/>
  <c r="O107" i="15" s="1"/>
  <c r="C339" i="10"/>
  <c r="C338" i="10"/>
  <c r="C337" i="10"/>
  <c r="C336" i="10"/>
  <c r="O106" i="15" s="1"/>
  <c r="C335" i="10"/>
  <c r="C334" i="10"/>
  <c r="O105" i="15" s="1"/>
  <c r="C333" i="10"/>
  <c r="C332" i="10"/>
  <c r="C331" i="10"/>
  <c r="C330" i="10"/>
  <c r="C329" i="10"/>
  <c r="R104" i="15" s="1"/>
  <c r="C328" i="10"/>
  <c r="M104" i="15" s="1"/>
  <c r="T104" i="15" s="1"/>
  <c r="C327" i="10"/>
  <c r="C326" i="10"/>
  <c r="C325" i="10"/>
  <c r="C324" i="10"/>
  <c r="R103" i="15" s="1"/>
  <c r="C323" i="10"/>
  <c r="M103" i="15" s="1"/>
  <c r="T103" i="15" s="1"/>
  <c r="C322" i="10"/>
  <c r="C321" i="10"/>
  <c r="C320" i="10"/>
  <c r="C319" i="10"/>
  <c r="C318" i="10"/>
  <c r="C317" i="10"/>
  <c r="R102" i="15" s="1"/>
  <c r="C316" i="10"/>
  <c r="M102" i="15" s="1"/>
  <c r="T102" i="15" s="1"/>
  <c r="C315" i="10"/>
  <c r="C314" i="10"/>
  <c r="C313" i="10"/>
  <c r="S101" i="15" s="1"/>
  <c r="C312" i="10"/>
  <c r="R101" i="15" s="1"/>
  <c r="C311" i="10"/>
  <c r="C310" i="10"/>
  <c r="C309" i="10"/>
  <c r="S100" i="15" s="1"/>
  <c r="C308" i="10"/>
  <c r="C307" i="10"/>
  <c r="S99" i="15" s="1"/>
  <c r="C306" i="10"/>
  <c r="R99" i="15" s="1"/>
  <c r="C305" i="10"/>
  <c r="C304" i="10"/>
  <c r="C303" i="10"/>
  <c r="S98" i="15" s="1"/>
  <c r="C302" i="10"/>
  <c r="R98" i="15" s="1"/>
  <c r="C301" i="10"/>
  <c r="C300" i="10"/>
  <c r="C299" i="10"/>
  <c r="S97" i="15" s="1"/>
  <c r="C298" i="10"/>
  <c r="R97" i="15" s="1"/>
  <c r="C297" i="10"/>
  <c r="C296" i="10"/>
  <c r="S96" i="15" s="1"/>
  <c r="C295" i="10"/>
  <c r="R96" i="15" s="1"/>
  <c r="C294" i="10"/>
  <c r="C293" i="10"/>
  <c r="C292" i="10"/>
  <c r="S95" i="15" s="1"/>
  <c r="C291" i="10"/>
  <c r="R95" i="15" s="1"/>
  <c r="C290" i="10"/>
  <c r="C289" i="10"/>
  <c r="C288" i="10"/>
  <c r="C287" i="10"/>
  <c r="S94" i="15" s="1"/>
  <c r="C286" i="10"/>
  <c r="R94" i="15" s="1"/>
  <c r="C285" i="10"/>
  <c r="C284" i="10"/>
  <c r="C283" i="10"/>
  <c r="S93" i="15" s="1"/>
  <c r="C282" i="10"/>
  <c r="R93" i="15" s="1"/>
  <c r="C281" i="10"/>
  <c r="M93" i="15" s="1"/>
  <c r="T93" i="15" s="1"/>
  <c r="C280" i="10"/>
  <c r="C279" i="10"/>
  <c r="C278" i="10"/>
  <c r="C277" i="10"/>
  <c r="S92" i="15" s="1"/>
  <c r="C276" i="10"/>
  <c r="R92" i="15" s="1"/>
  <c r="C275" i="10"/>
  <c r="M92" i="15" s="1"/>
  <c r="T92" i="15" s="1"/>
  <c r="C274" i="10"/>
  <c r="S91" i="15" s="1"/>
  <c r="C273" i="10"/>
  <c r="R91" i="15" s="1"/>
  <c r="C272" i="10"/>
  <c r="C271" i="10"/>
  <c r="C270" i="10"/>
  <c r="C269" i="10"/>
  <c r="S90" i="15" s="1"/>
  <c r="C268" i="10"/>
  <c r="R90" i="15" s="1"/>
  <c r="C267" i="10"/>
  <c r="M90" i="15" s="1"/>
  <c r="T90" i="15" s="1"/>
  <c r="C266" i="10"/>
  <c r="C265" i="10"/>
  <c r="C264" i="10"/>
  <c r="S89" i="15" s="1"/>
  <c r="C263" i="10"/>
  <c r="R89" i="15" s="1"/>
  <c r="C262" i="10"/>
  <c r="M89" i="15" s="1"/>
  <c r="T89" i="15" s="1"/>
  <c r="C261" i="10"/>
  <c r="C260" i="10"/>
  <c r="C259" i="10"/>
  <c r="N88" i="15" s="1"/>
  <c r="C258" i="10"/>
  <c r="C257" i="10"/>
  <c r="N87" i="15" s="1"/>
  <c r="C256" i="10"/>
  <c r="C255" i="10"/>
  <c r="N86" i="15" s="1"/>
  <c r="C254" i="10"/>
  <c r="C253" i="10"/>
  <c r="C252" i="10"/>
  <c r="N85" i="15" s="1"/>
  <c r="C251" i="10"/>
  <c r="C250" i="10"/>
  <c r="N84" i="15" s="1"/>
  <c r="C249" i="10"/>
  <c r="C248" i="10"/>
  <c r="C247" i="10"/>
  <c r="C246" i="10"/>
  <c r="N82" i="15" s="1"/>
  <c r="C245" i="10"/>
  <c r="C244" i="10"/>
  <c r="C243" i="10"/>
  <c r="N81" i="15" s="1"/>
  <c r="C242" i="10"/>
  <c r="C241" i="10"/>
  <c r="C240" i="10"/>
  <c r="N80" i="15" s="1"/>
  <c r="C239" i="10"/>
  <c r="C238" i="10"/>
  <c r="C237" i="10"/>
  <c r="C236" i="10"/>
  <c r="C235" i="10"/>
  <c r="Q78" i="15" s="1"/>
  <c r="C234" i="10"/>
  <c r="N78" i="15" s="1"/>
  <c r="C233" i="10"/>
  <c r="C232" i="10"/>
  <c r="C231" i="10"/>
  <c r="Q77" i="15" s="1"/>
  <c r="C230" i="10"/>
  <c r="N77" i="15" s="1"/>
  <c r="C229" i="10"/>
  <c r="C228" i="10"/>
  <c r="C227" i="10"/>
  <c r="Q76" i="15" s="1"/>
  <c r="C226" i="10"/>
  <c r="N76" i="15" s="1"/>
  <c r="C225" i="10"/>
  <c r="C224" i="10"/>
  <c r="Q75" i="15" s="1"/>
  <c r="C223" i="10"/>
  <c r="N75" i="15" s="1"/>
  <c r="C222" i="10"/>
  <c r="C221" i="10"/>
  <c r="C220" i="10"/>
  <c r="Q74" i="15" s="1"/>
  <c r="C219" i="10"/>
  <c r="N74" i="15" s="1"/>
  <c r="C218" i="10"/>
  <c r="C217" i="10"/>
  <c r="C216" i="10"/>
  <c r="Q73" i="15" s="1"/>
  <c r="C215" i="10"/>
  <c r="N73" i="15" s="1"/>
  <c r="C214" i="10"/>
  <c r="Q72" i="15" s="1"/>
  <c r="C213" i="10"/>
  <c r="N72" i="15" s="1"/>
  <c r="C212" i="10"/>
  <c r="C211" i="10"/>
  <c r="Q71" i="15" s="1"/>
  <c r="C210" i="10"/>
  <c r="N71" i="15" s="1"/>
  <c r="C209" i="10"/>
  <c r="C208" i="10"/>
  <c r="Q70" i="15" s="1"/>
  <c r="C207" i="10"/>
  <c r="N70" i="15" s="1"/>
  <c r="C206" i="10"/>
  <c r="C205" i="10"/>
  <c r="C204" i="10"/>
  <c r="C203" i="10"/>
  <c r="Q69" i="15" s="1"/>
  <c r="C202" i="10"/>
  <c r="C201" i="10"/>
  <c r="C200" i="10"/>
  <c r="Q68" i="15" s="1"/>
  <c r="C199" i="10"/>
  <c r="N68" i="15" s="1"/>
  <c r="C198" i="10"/>
  <c r="C197" i="10"/>
  <c r="C196" i="10"/>
  <c r="C195" i="10"/>
  <c r="C194" i="10"/>
  <c r="Q67" i="15" s="1"/>
  <c r="C193" i="10"/>
  <c r="C192" i="10"/>
  <c r="Q66" i="15" s="1"/>
  <c r="C191" i="10"/>
  <c r="C190" i="10"/>
  <c r="Q65" i="15" s="1"/>
  <c r="C189" i="10"/>
  <c r="N65" i="15" s="1"/>
  <c r="C188" i="10"/>
  <c r="C187" i="10"/>
  <c r="C186" i="10"/>
  <c r="Q64" i="15" s="1"/>
  <c r="C185" i="10"/>
  <c r="C184" i="10"/>
  <c r="C183" i="10"/>
  <c r="Q63" i="15" s="1"/>
  <c r="C182" i="10"/>
  <c r="N63" i="15" s="1"/>
  <c r="C181" i="10"/>
  <c r="C180" i="10"/>
  <c r="C179" i="10"/>
  <c r="C178" i="10"/>
  <c r="Q62" i="15" s="1"/>
  <c r="C177" i="10"/>
  <c r="C176" i="10"/>
  <c r="C175" i="10"/>
  <c r="C174" i="10"/>
  <c r="C173" i="10"/>
  <c r="Q61" i="15" s="1"/>
  <c r="C172" i="10"/>
  <c r="C171" i="10"/>
  <c r="C170" i="10"/>
  <c r="C169" i="10"/>
  <c r="M60" i="15" s="1"/>
  <c r="T60" i="15" s="1"/>
  <c r="C168" i="10"/>
  <c r="C167" i="10"/>
  <c r="C166" i="10"/>
  <c r="C165" i="10"/>
  <c r="M59" i="15" s="1"/>
  <c r="T59" i="15" s="1"/>
  <c r="C164" i="10"/>
  <c r="C163" i="10"/>
  <c r="C162" i="10"/>
  <c r="O58" i="15" s="1"/>
  <c r="C161" i="10"/>
  <c r="M58" i="15" s="1"/>
  <c r="T58" i="15" s="1"/>
  <c r="C160" i="10"/>
  <c r="C159" i="10"/>
  <c r="C158" i="10"/>
  <c r="C157" i="10"/>
  <c r="M57" i="15" s="1"/>
  <c r="T57" i="15" s="1"/>
  <c r="C156" i="10"/>
  <c r="C155" i="10"/>
  <c r="C154" i="10"/>
  <c r="O56" i="15" s="1"/>
  <c r="C153" i="10"/>
  <c r="C152" i="10"/>
  <c r="C151" i="10"/>
  <c r="C150" i="10"/>
  <c r="O55" i="15" s="1"/>
  <c r="C149" i="10"/>
  <c r="M55" i="15" s="1"/>
  <c r="T55" i="15" s="1"/>
  <c r="C148" i="10"/>
  <c r="C147" i="10"/>
  <c r="C146" i="10"/>
  <c r="C145" i="10"/>
  <c r="C144" i="10"/>
  <c r="O54" i="15" s="1"/>
  <c r="C143" i="10"/>
  <c r="C142" i="10"/>
  <c r="C141" i="10"/>
  <c r="O53" i="15" s="1"/>
  <c r="C140" i="10"/>
  <c r="S52" i="15" s="1"/>
  <c r="C139" i="10"/>
  <c r="R52" i="15" s="1"/>
  <c r="C138" i="10"/>
  <c r="M52" i="15" s="1"/>
  <c r="T52" i="15" s="1"/>
  <c r="C137" i="10"/>
  <c r="C136" i="10"/>
  <c r="C135" i="10"/>
  <c r="R51" i="15" s="1"/>
  <c r="C134" i="10"/>
  <c r="M51" i="15" s="1"/>
  <c r="T51" i="15" s="1"/>
  <c r="C133" i="10"/>
  <c r="C132" i="10"/>
  <c r="P50" i="15" s="1"/>
  <c r="C131" i="10"/>
  <c r="C130" i="10"/>
  <c r="C129" i="10"/>
  <c r="S49" i="15" s="1"/>
  <c r="C128" i="10"/>
  <c r="R49" i="15" s="1"/>
  <c r="C127" i="10"/>
  <c r="M49" i="15" s="1"/>
  <c r="T49" i="15" s="1"/>
  <c r="C126" i="10"/>
  <c r="C125" i="10"/>
  <c r="C124" i="10"/>
  <c r="C123" i="10"/>
  <c r="C122" i="10"/>
  <c r="R48" i="15" s="1"/>
  <c r="C121" i="10"/>
  <c r="M48" i="15" s="1"/>
  <c r="T48" i="15" s="1"/>
  <c r="C120" i="10"/>
  <c r="C119" i="10"/>
  <c r="C118" i="10"/>
  <c r="R47" i="15" s="1"/>
  <c r="C117" i="10"/>
  <c r="M47" i="15" s="1"/>
  <c r="T47" i="15" s="1"/>
  <c r="C116" i="10"/>
  <c r="C115" i="10"/>
  <c r="P46" i="15" s="1"/>
  <c r="C114" i="10"/>
  <c r="C113" i="10"/>
  <c r="P45" i="15" s="1"/>
  <c r="C112" i="10"/>
  <c r="C111" i="10"/>
  <c r="S44" i="15" s="1"/>
  <c r="C110" i="10"/>
  <c r="R44" i="15" s="1"/>
  <c r="C109" i="10"/>
  <c r="P44" i="15" s="1"/>
  <c r="C108" i="10"/>
  <c r="C107" i="10"/>
  <c r="S43" i="15" s="1"/>
  <c r="C106" i="10"/>
  <c r="R43" i="15" s="1"/>
  <c r="C105" i="10"/>
  <c r="P43" i="15" s="1"/>
  <c r="C104" i="10"/>
  <c r="C103" i="10"/>
  <c r="S42" i="15" s="1"/>
  <c r="C102" i="10"/>
  <c r="R42" i="15" s="1"/>
  <c r="C101" i="10"/>
  <c r="P42" i="15" s="1"/>
  <c r="C100" i="10"/>
  <c r="C99" i="10"/>
  <c r="S41" i="15" s="1"/>
  <c r="C98" i="10"/>
  <c r="R41" i="15" s="1"/>
  <c r="C97" i="10"/>
  <c r="C96" i="10"/>
  <c r="S40" i="15" s="1"/>
  <c r="C95" i="10"/>
  <c r="P40" i="15" s="1"/>
  <c r="C94" i="10"/>
  <c r="C93" i="10"/>
  <c r="S39" i="15" s="1"/>
  <c r="C92" i="10"/>
  <c r="C91" i="10"/>
  <c r="S38" i="15" s="1"/>
  <c r="C90" i="10"/>
  <c r="C89" i="10"/>
  <c r="S37" i="15" s="1"/>
  <c r="C88" i="10"/>
  <c r="P37" i="15" s="1"/>
  <c r="C87" i="10"/>
  <c r="C86" i="10"/>
  <c r="S36" i="15" s="1"/>
  <c r="C85" i="10"/>
  <c r="P36" i="15" s="1"/>
  <c r="C84" i="10"/>
  <c r="C83" i="10"/>
  <c r="P35" i="15" s="1"/>
  <c r="C82" i="10"/>
  <c r="C81" i="10"/>
  <c r="C80" i="10"/>
  <c r="C79" i="10"/>
  <c r="C78" i="10"/>
  <c r="C77" i="10"/>
  <c r="C76" i="10"/>
  <c r="C75" i="10"/>
  <c r="C74" i="10"/>
  <c r="C73" i="10"/>
  <c r="C72" i="10"/>
  <c r="C71" i="10"/>
  <c r="C70" i="10"/>
  <c r="C69" i="10"/>
  <c r="C68" i="10"/>
  <c r="C67" i="10"/>
  <c r="C66" i="10"/>
  <c r="C65" i="10"/>
  <c r="C64" i="10"/>
  <c r="C63" i="10"/>
  <c r="C62" i="10"/>
  <c r="C61" i="10"/>
  <c r="C60" i="10"/>
  <c r="Q27" i="15" s="1"/>
  <c r="C59" i="10"/>
  <c r="C58" i="10"/>
  <c r="C57" i="10"/>
  <c r="C56" i="10"/>
  <c r="C55" i="10"/>
  <c r="C54" i="10"/>
  <c r="C53" i="10"/>
  <c r="C52" i="10"/>
  <c r="Q20" i="15" s="1"/>
  <c r="C51" i="10"/>
  <c r="C50" i="10"/>
  <c r="Q19" i="15" s="1"/>
  <c r="C49" i="10"/>
  <c r="C48" i="10"/>
  <c r="Q18" i="15" s="1"/>
  <c r="C47" i="10"/>
  <c r="C46" i="10"/>
  <c r="N17" i="15" s="1"/>
  <c r="C45" i="10"/>
  <c r="C44" i="10"/>
  <c r="N16" i="15" s="1"/>
  <c r="C43" i="10"/>
  <c r="Q15" i="15" s="1"/>
  <c r="C42" i="10"/>
  <c r="N15" i="15" s="1"/>
  <c r="C41" i="10"/>
  <c r="Q14" i="15" s="1"/>
  <c r="C40" i="10"/>
  <c r="N14" i="15" s="1"/>
  <c r="C39" i="10"/>
  <c r="C38" i="10"/>
  <c r="N13" i="15" s="1"/>
  <c r="C37" i="10"/>
  <c r="C36" i="10"/>
  <c r="N12" i="15" s="1"/>
  <c r="C35" i="10"/>
  <c r="Q11" i="15" s="1"/>
  <c r="C34" i="10"/>
  <c r="N11" i="15" s="1"/>
  <c r="C33" i="10"/>
  <c r="C32" i="10"/>
  <c r="N10" i="15" s="1"/>
  <c r="C31" i="10"/>
  <c r="C30" i="10"/>
  <c r="N9" i="15" s="1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M6" i="15" s="1"/>
  <c r="T6" i="15" s="1"/>
  <c r="C14" i="10"/>
  <c r="C13" i="10"/>
  <c r="C12" i="10"/>
  <c r="C11" i="10"/>
  <c r="C10" i="10"/>
  <c r="M5" i="15" s="1"/>
  <c r="T5" i="15" s="1"/>
  <c r="C9" i="10"/>
  <c r="C8" i="10"/>
  <c r="C7" i="10"/>
  <c r="C6" i="10"/>
  <c r="C5" i="10"/>
  <c r="C4" i="10"/>
  <c r="C3" i="10"/>
  <c r="C2" i="10"/>
  <c r="B9" i="17" l="1"/>
  <c r="B8" i="17"/>
  <c r="AH16" i="15"/>
  <c r="AH17" i="15" s="1"/>
  <c r="AG16" i="15"/>
  <c r="AG17" i="15" s="1"/>
  <c r="AF16" i="15"/>
  <c r="AF17" i="15" s="1"/>
  <c r="AE16" i="15"/>
  <c r="AE17" i="15" s="1"/>
  <c r="AD16" i="15"/>
  <c r="AD17" i="15" s="1"/>
  <c r="J110" i="15"/>
  <c r="I110" i="15"/>
  <c r="H110" i="15"/>
  <c r="L109" i="15"/>
  <c r="K109" i="15"/>
  <c r="J109" i="15"/>
  <c r="I109" i="15"/>
  <c r="H109" i="15"/>
  <c r="I127" i="15"/>
  <c r="L108" i="15"/>
  <c r="K108" i="15"/>
  <c r="J108" i="15"/>
  <c r="I108" i="15"/>
  <c r="H108" i="15"/>
  <c r="L107" i="15"/>
  <c r="K107" i="15"/>
  <c r="J107" i="15"/>
  <c r="I107" i="15"/>
  <c r="H107" i="15"/>
  <c r="L106" i="15"/>
  <c r="K106" i="15"/>
  <c r="J106" i="15"/>
  <c r="I106" i="15"/>
  <c r="H106" i="15"/>
  <c r="L105" i="15"/>
  <c r="K105" i="15"/>
  <c r="J105" i="15"/>
  <c r="I105" i="15"/>
  <c r="H105" i="15"/>
  <c r="L104" i="15"/>
  <c r="Y104" i="15" s="1"/>
  <c r="K104" i="15"/>
  <c r="X104" i="15" s="1"/>
  <c r="J104" i="15"/>
  <c r="W104" i="15" s="1"/>
  <c r="I104" i="15"/>
  <c r="V104" i="15" s="1"/>
  <c r="H104" i="15"/>
  <c r="U104" i="15" s="1"/>
  <c r="L103" i="15"/>
  <c r="Y103" i="15" s="1"/>
  <c r="K103" i="15"/>
  <c r="X103" i="15" s="1"/>
  <c r="J103" i="15"/>
  <c r="W103" i="15" s="1"/>
  <c r="I103" i="15"/>
  <c r="V103" i="15" s="1"/>
  <c r="H103" i="15"/>
  <c r="U103" i="15" s="1"/>
  <c r="L102" i="15"/>
  <c r="Y102" i="15" s="1"/>
  <c r="K102" i="15"/>
  <c r="X102" i="15" s="1"/>
  <c r="J102" i="15"/>
  <c r="W102" i="15" s="1"/>
  <c r="I102" i="15"/>
  <c r="V102" i="15" s="1"/>
  <c r="H102" i="15"/>
  <c r="U102" i="15" s="1"/>
  <c r="L101" i="15"/>
  <c r="K101" i="15"/>
  <c r="J101" i="15"/>
  <c r="I101" i="15"/>
  <c r="H101" i="15"/>
  <c r="L100" i="15"/>
  <c r="K100" i="15"/>
  <c r="J100" i="15"/>
  <c r="I100" i="15"/>
  <c r="H100" i="15"/>
  <c r="L99" i="15"/>
  <c r="K99" i="15"/>
  <c r="J99" i="15"/>
  <c r="I99" i="15"/>
  <c r="H99" i="15"/>
  <c r="L98" i="15"/>
  <c r="K98" i="15"/>
  <c r="J98" i="15"/>
  <c r="I98" i="15"/>
  <c r="H98" i="15"/>
  <c r="L97" i="15"/>
  <c r="K97" i="15"/>
  <c r="J97" i="15"/>
  <c r="I97" i="15"/>
  <c r="H97" i="15"/>
  <c r="L96" i="15"/>
  <c r="K96" i="15"/>
  <c r="J96" i="15"/>
  <c r="I96" i="15"/>
  <c r="H96" i="15"/>
  <c r="L95" i="15"/>
  <c r="K95" i="15"/>
  <c r="J95" i="15"/>
  <c r="I95" i="15"/>
  <c r="H95" i="15"/>
  <c r="L94" i="15"/>
  <c r="K94" i="15"/>
  <c r="J94" i="15"/>
  <c r="I94" i="15"/>
  <c r="H94" i="15"/>
  <c r="L93" i="15"/>
  <c r="Y93" i="15" s="1"/>
  <c r="K93" i="15"/>
  <c r="X93" i="15" s="1"/>
  <c r="J93" i="15"/>
  <c r="W93" i="15" s="1"/>
  <c r="I93" i="15"/>
  <c r="V93" i="15" s="1"/>
  <c r="H93" i="15"/>
  <c r="U93" i="15" s="1"/>
  <c r="L92" i="15"/>
  <c r="Y92" i="15" s="1"/>
  <c r="K92" i="15"/>
  <c r="X92" i="15" s="1"/>
  <c r="J92" i="15"/>
  <c r="W92" i="15" s="1"/>
  <c r="I92" i="15"/>
  <c r="V92" i="15" s="1"/>
  <c r="H92" i="15"/>
  <c r="U92" i="15" s="1"/>
  <c r="L91" i="15"/>
  <c r="K91" i="15"/>
  <c r="J91" i="15"/>
  <c r="I91" i="15"/>
  <c r="H91" i="15"/>
  <c r="I74" i="15"/>
  <c r="H74" i="15"/>
  <c r="K74" i="15"/>
  <c r="L74" i="15"/>
  <c r="H75" i="15"/>
  <c r="I75" i="15"/>
  <c r="L73" i="15"/>
  <c r="K73" i="15"/>
  <c r="J73" i="15"/>
  <c r="I73" i="15"/>
  <c r="H73" i="15"/>
  <c r="J75" i="15"/>
  <c r="K75" i="15"/>
  <c r="L75" i="15"/>
  <c r="H76" i="15"/>
  <c r="L72" i="15"/>
  <c r="K72" i="15"/>
  <c r="J72" i="15"/>
  <c r="I72" i="15"/>
  <c r="H72" i="15"/>
  <c r="I76" i="15"/>
  <c r="J76" i="15"/>
  <c r="K76" i="15"/>
  <c r="L76" i="15"/>
  <c r="L71" i="15"/>
  <c r="K71" i="15"/>
  <c r="J71" i="15"/>
  <c r="I71" i="15"/>
  <c r="H71" i="15"/>
  <c r="H77" i="15"/>
  <c r="I77" i="15"/>
  <c r="J77" i="15"/>
  <c r="K77" i="15"/>
  <c r="L77" i="15"/>
  <c r="L70" i="15"/>
  <c r="K70" i="15"/>
  <c r="J70" i="15"/>
  <c r="I70" i="15"/>
  <c r="H70" i="15"/>
  <c r="H78" i="15"/>
  <c r="I78" i="15"/>
  <c r="J78" i="15"/>
  <c r="K78" i="15"/>
  <c r="L78" i="15"/>
  <c r="L69" i="15"/>
  <c r="K69" i="15"/>
  <c r="J69" i="15"/>
  <c r="I69" i="15"/>
  <c r="H69" i="15"/>
  <c r="H79" i="15"/>
  <c r="U79" i="15" s="1"/>
  <c r="I79" i="15"/>
  <c r="V79" i="15" s="1"/>
  <c r="J79" i="15"/>
  <c r="W79" i="15" s="1"/>
  <c r="K79" i="15"/>
  <c r="X79" i="15" s="1"/>
  <c r="L68" i="15"/>
  <c r="K68" i="15"/>
  <c r="J68" i="15"/>
  <c r="I68" i="15"/>
  <c r="H68" i="15"/>
  <c r="L79" i="15"/>
  <c r="Y79" i="15" s="1"/>
  <c r="H80" i="15"/>
  <c r="I80" i="15"/>
  <c r="J80" i="15"/>
  <c r="K80" i="15"/>
  <c r="L80" i="15"/>
  <c r="L67" i="15"/>
  <c r="K67" i="15"/>
  <c r="J67" i="15"/>
  <c r="I67" i="15"/>
  <c r="H67" i="15"/>
  <c r="H81" i="15"/>
  <c r="I81" i="15"/>
  <c r="J81" i="15"/>
  <c r="K81" i="15"/>
  <c r="L81" i="15"/>
  <c r="L66" i="15"/>
  <c r="K66" i="15"/>
  <c r="J66" i="15"/>
  <c r="I66" i="15"/>
  <c r="H66" i="15"/>
  <c r="H82" i="15"/>
  <c r="I82" i="15"/>
  <c r="J82" i="15"/>
  <c r="K82" i="15"/>
  <c r="L82" i="15"/>
  <c r="L65" i="15"/>
  <c r="K65" i="15"/>
  <c r="J65" i="15"/>
  <c r="I65" i="15"/>
  <c r="H65" i="15"/>
  <c r="H83" i="15"/>
  <c r="U83" i="15" s="1"/>
  <c r="I83" i="15"/>
  <c r="V83" i="15" s="1"/>
  <c r="J83" i="15"/>
  <c r="W83" i="15" s="1"/>
  <c r="K83" i="15"/>
  <c r="X83" i="15" s="1"/>
  <c r="L83" i="15"/>
  <c r="Y83" i="15" s="1"/>
  <c r="L64" i="15"/>
  <c r="K64" i="15"/>
  <c r="J64" i="15"/>
  <c r="I64" i="15"/>
  <c r="H64" i="15"/>
  <c r="H84" i="15"/>
  <c r="I84" i="15"/>
  <c r="J84" i="15"/>
  <c r="K84" i="15"/>
  <c r="L84" i="15"/>
  <c r="L63" i="15"/>
  <c r="K63" i="15"/>
  <c r="J63" i="15"/>
  <c r="I63" i="15"/>
  <c r="H63" i="15"/>
  <c r="H85" i="15"/>
  <c r="I85" i="15"/>
  <c r="J85" i="15"/>
  <c r="K85" i="15"/>
  <c r="L85" i="15"/>
  <c r="L62" i="15"/>
  <c r="K62" i="15"/>
  <c r="J62" i="15"/>
  <c r="I62" i="15"/>
  <c r="H62" i="15"/>
  <c r="H86" i="15"/>
  <c r="I86" i="15"/>
  <c r="J86" i="15"/>
  <c r="K86" i="15"/>
  <c r="L86" i="15"/>
  <c r="L61" i="15"/>
  <c r="K61" i="15"/>
  <c r="J61" i="15"/>
  <c r="I61" i="15"/>
  <c r="H61" i="15"/>
  <c r="H87" i="15"/>
  <c r="I87" i="15"/>
  <c r="J87" i="15"/>
  <c r="K87" i="15"/>
  <c r="L87" i="15"/>
  <c r="L60" i="15"/>
  <c r="Y60" i="15" s="1"/>
  <c r="K60" i="15"/>
  <c r="X60" i="15" s="1"/>
  <c r="J60" i="15"/>
  <c r="W60" i="15" s="1"/>
  <c r="I60" i="15"/>
  <c r="V60" i="15" s="1"/>
  <c r="H60" i="15"/>
  <c r="U60" i="15" s="1"/>
  <c r="H88" i="15"/>
  <c r="I88" i="15"/>
  <c r="J88" i="15"/>
  <c r="K88" i="15"/>
  <c r="L59" i="15"/>
  <c r="Y59" i="15" s="1"/>
  <c r="K59" i="15"/>
  <c r="X59" i="15" s="1"/>
  <c r="J59" i="15"/>
  <c r="W59" i="15" s="1"/>
  <c r="I59" i="15"/>
  <c r="V59" i="15" s="1"/>
  <c r="H59" i="15"/>
  <c r="U59" i="15" s="1"/>
  <c r="L88" i="15"/>
  <c r="H89" i="15"/>
  <c r="U89" i="15" s="1"/>
  <c r="I89" i="15"/>
  <c r="V89" i="15" s="1"/>
  <c r="J89" i="15"/>
  <c r="W89" i="15" s="1"/>
  <c r="L58" i="15"/>
  <c r="Y58" i="15" s="1"/>
  <c r="K58" i="15"/>
  <c r="X58" i="15" s="1"/>
  <c r="J58" i="15"/>
  <c r="W58" i="15" s="1"/>
  <c r="I58" i="15"/>
  <c r="V58" i="15" s="1"/>
  <c r="H58" i="15"/>
  <c r="U58" i="15" s="1"/>
  <c r="K89" i="15"/>
  <c r="X89" i="15" s="1"/>
  <c r="L89" i="15"/>
  <c r="Y89" i="15" s="1"/>
  <c r="L57" i="15"/>
  <c r="Y57" i="15" s="1"/>
  <c r="K57" i="15"/>
  <c r="X57" i="15" s="1"/>
  <c r="J57" i="15"/>
  <c r="W57" i="15" s="1"/>
  <c r="I57" i="15"/>
  <c r="V57" i="15" s="1"/>
  <c r="H57" i="15"/>
  <c r="U57" i="15" s="1"/>
  <c r="H90" i="15"/>
  <c r="U90" i="15" s="1"/>
  <c r="I90" i="15"/>
  <c r="V90" i="15" s="1"/>
  <c r="J90" i="15"/>
  <c r="W90" i="15" s="1"/>
  <c r="K90" i="15"/>
  <c r="X90" i="15" s="1"/>
  <c r="J74" i="15"/>
  <c r="L90" i="15"/>
  <c r="Y90" i="15" s="1"/>
  <c r="L56" i="15"/>
  <c r="K56" i="15"/>
  <c r="J56" i="15"/>
  <c r="I56" i="15"/>
  <c r="H56" i="15"/>
  <c r="L55" i="15"/>
  <c r="Y55" i="15" s="1"/>
  <c r="K55" i="15"/>
  <c r="X55" i="15" s="1"/>
  <c r="J55" i="15"/>
  <c r="W55" i="15" s="1"/>
  <c r="I55" i="15"/>
  <c r="V55" i="15" s="1"/>
  <c r="H55" i="15"/>
  <c r="U55" i="15" s="1"/>
  <c r="L54" i="15"/>
  <c r="K54" i="15"/>
  <c r="J54" i="15"/>
  <c r="I54" i="15"/>
  <c r="H54" i="15"/>
  <c r="L53" i="15"/>
  <c r="K53" i="15"/>
  <c r="J53" i="15"/>
  <c r="L28" i="15"/>
  <c r="Y28" i="15" s="1"/>
  <c r="H53" i="15"/>
  <c r="L52" i="15"/>
  <c r="Y52" i="15" s="1"/>
  <c r="K52" i="15"/>
  <c r="X52" i="15" s="1"/>
  <c r="J52" i="15"/>
  <c r="W52" i="15" s="1"/>
  <c r="I52" i="15"/>
  <c r="V52" i="15" s="1"/>
  <c r="H52" i="15"/>
  <c r="U52" i="15" s="1"/>
  <c r="L51" i="15"/>
  <c r="Y51" i="15" s="1"/>
  <c r="K51" i="15"/>
  <c r="X51" i="15" s="1"/>
  <c r="J51" i="15"/>
  <c r="W51" i="15" s="1"/>
  <c r="I51" i="15"/>
  <c r="V51" i="15" s="1"/>
  <c r="H51" i="15"/>
  <c r="U51" i="15" s="1"/>
  <c r="L50" i="15"/>
  <c r="K50" i="15"/>
  <c r="J50" i="15"/>
  <c r="I50" i="15"/>
  <c r="H50" i="15"/>
  <c r="L49" i="15"/>
  <c r="Y49" i="15" s="1"/>
  <c r="K49" i="15"/>
  <c r="X49" i="15" s="1"/>
  <c r="J49" i="15"/>
  <c r="W49" i="15" s="1"/>
  <c r="I49" i="15"/>
  <c r="V49" i="15" s="1"/>
  <c r="H49" i="15"/>
  <c r="U49" i="15" s="1"/>
  <c r="L48" i="15"/>
  <c r="Y48" i="15" s="1"/>
  <c r="K48" i="15"/>
  <c r="X48" i="15" s="1"/>
  <c r="J48" i="15"/>
  <c r="W48" i="15" s="1"/>
  <c r="I48" i="15"/>
  <c r="V48" i="15" s="1"/>
  <c r="H48" i="15"/>
  <c r="U48" i="15" s="1"/>
  <c r="L47" i="15"/>
  <c r="Y47" i="15" s="1"/>
  <c r="K47" i="15"/>
  <c r="X47" i="15" s="1"/>
  <c r="J47" i="15"/>
  <c r="W47" i="15" s="1"/>
  <c r="I47" i="15"/>
  <c r="V47" i="15" s="1"/>
  <c r="H47" i="15"/>
  <c r="U47" i="15" s="1"/>
  <c r="L46" i="15"/>
  <c r="K46" i="15"/>
  <c r="J46" i="15"/>
  <c r="I46" i="15"/>
  <c r="H46" i="15"/>
  <c r="L45" i="15"/>
  <c r="K45" i="15"/>
  <c r="J45" i="15"/>
  <c r="I45" i="15"/>
  <c r="H45" i="15"/>
  <c r="L44" i="15"/>
  <c r="K44" i="15"/>
  <c r="J44" i="15"/>
  <c r="I44" i="15"/>
  <c r="H44" i="15"/>
  <c r="L43" i="15"/>
  <c r="K43" i="15"/>
  <c r="J43" i="15"/>
  <c r="I43" i="15"/>
  <c r="H43" i="15"/>
  <c r="L42" i="15"/>
  <c r="K42" i="15"/>
  <c r="J42" i="15"/>
  <c r="I42" i="15"/>
  <c r="H42" i="15"/>
  <c r="L41" i="15"/>
  <c r="K41" i="15"/>
  <c r="J41" i="15"/>
  <c r="I41" i="15"/>
  <c r="H41" i="15"/>
  <c r="L40" i="15"/>
  <c r="K40" i="15"/>
  <c r="J40" i="15"/>
  <c r="I40" i="15"/>
  <c r="H40" i="15"/>
  <c r="L39" i="15"/>
  <c r="K39" i="15"/>
  <c r="J39" i="15"/>
  <c r="I39" i="15"/>
  <c r="H39" i="15"/>
  <c r="L38" i="15"/>
  <c r="K38" i="15"/>
  <c r="J38" i="15"/>
  <c r="I38" i="15"/>
  <c r="H38" i="15"/>
  <c r="L37" i="15"/>
  <c r="K37" i="15"/>
  <c r="J37" i="15"/>
  <c r="I37" i="15"/>
  <c r="H37" i="15"/>
  <c r="L36" i="15"/>
  <c r="K36" i="15"/>
  <c r="J36" i="15"/>
  <c r="I36" i="15"/>
  <c r="H36" i="15"/>
  <c r="L35" i="15"/>
  <c r="K35" i="15"/>
  <c r="J35" i="15"/>
  <c r="I35" i="15"/>
  <c r="H35" i="15"/>
  <c r="L34" i="15"/>
  <c r="Y34" i="15" s="1"/>
  <c r="K34" i="15"/>
  <c r="X34" i="15" s="1"/>
  <c r="J34" i="15"/>
  <c r="W34" i="15" s="1"/>
  <c r="I34" i="15"/>
  <c r="V34" i="15" s="1"/>
  <c r="H34" i="15"/>
  <c r="U34" i="15" s="1"/>
  <c r="L33" i="15"/>
  <c r="Y33" i="15" s="1"/>
  <c r="K33" i="15"/>
  <c r="X33" i="15" s="1"/>
  <c r="J33" i="15"/>
  <c r="W33" i="15" s="1"/>
  <c r="I33" i="15"/>
  <c r="V33" i="15" s="1"/>
  <c r="H33" i="15"/>
  <c r="U33" i="15" s="1"/>
  <c r="L32" i="15"/>
  <c r="Y32" i="15" s="1"/>
  <c r="K32" i="15"/>
  <c r="X32" i="15" s="1"/>
  <c r="J32" i="15"/>
  <c r="W32" i="15" s="1"/>
  <c r="I32" i="15"/>
  <c r="V32" i="15" s="1"/>
  <c r="H32" i="15"/>
  <c r="U32" i="15" s="1"/>
  <c r="J120" i="15"/>
  <c r="W120" i="15" s="1"/>
  <c r="L31" i="15"/>
  <c r="Y31" i="15" s="1"/>
  <c r="K31" i="15"/>
  <c r="X31" i="15" s="1"/>
  <c r="J31" i="15"/>
  <c r="W31" i="15" s="1"/>
  <c r="I31" i="15"/>
  <c r="V31" i="15" s="1"/>
  <c r="H31" i="15"/>
  <c r="U31" i="15" s="1"/>
  <c r="L144" i="15"/>
  <c r="K144" i="15"/>
  <c r="J144" i="15"/>
  <c r="I144" i="15"/>
  <c r="H144" i="15"/>
  <c r="L143" i="15"/>
  <c r="L30" i="15"/>
  <c r="Y30" i="15" s="1"/>
  <c r="K30" i="15"/>
  <c r="X30" i="15" s="1"/>
  <c r="J30" i="15"/>
  <c r="W30" i="15" s="1"/>
  <c r="I30" i="15"/>
  <c r="V30" i="15" s="1"/>
  <c r="H30" i="15"/>
  <c r="U30" i="15" s="1"/>
  <c r="K143" i="15"/>
  <c r="J143" i="15"/>
  <c r="I143" i="15"/>
  <c r="H143" i="15"/>
  <c r="L142" i="15"/>
  <c r="K142" i="15"/>
  <c r="L29" i="15"/>
  <c r="Y29" i="15" s="1"/>
  <c r="K29" i="15"/>
  <c r="X29" i="15" s="1"/>
  <c r="J29" i="15"/>
  <c r="W29" i="15" s="1"/>
  <c r="I29" i="15"/>
  <c r="V29" i="15" s="1"/>
  <c r="H29" i="15"/>
  <c r="U29" i="15" s="1"/>
  <c r="J142" i="15"/>
  <c r="I142" i="15"/>
  <c r="H142" i="15"/>
  <c r="L141" i="15"/>
  <c r="Y141" i="15" s="1"/>
  <c r="K141" i="15"/>
  <c r="X141" i="15" s="1"/>
  <c r="J141" i="15"/>
  <c r="W141" i="15" s="1"/>
  <c r="I141" i="15"/>
  <c r="V141" i="15" s="1"/>
  <c r="K28" i="15"/>
  <c r="X28" i="15" s="1"/>
  <c r="J28" i="15"/>
  <c r="W28" i="15" s="1"/>
  <c r="I28" i="15"/>
  <c r="V28" i="15" s="1"/>
  <c r="H28" i="15"/>
  <c r="U28" i="15" s="1"/>
  <c r="H141" i="15"/>
  <c r="U141" i="15" s="1"/>
  <c r="L140" i="15"/>
  <c r="K140" i="15"/>
  <c r="J140" i="15"/>
  <c r="I140" i="15"/>
  <c r="H140" i="15"/>
  <c r="L27" i="15"/>
  <c r="K27" i="15"/>
  <c r="J27" i="15"/>
  <c r="I27" i="15"/>
  <c r="H27" i="15"/>
  <c r="L139" i="15"/>
  <c r="K139" i="15"/>
  <c r="J139" i="15"/>
  <c r="I139" i="15"/>
  <c r="H139" i="15"/>
  <c r="L138" i="15"/>
  <c r="Y138" i="15" s="1"/>
  <c r="L26" i="15"/>
  <c r="Y26" i="15" s="1"/>
  <c r="K26" i="15"/>
  <c r="X26" i="15" s="1"/>
  <c r="J26" i="15"/>
  <c r="W26" i="15" s="1"/>
  <c r="I26" i="15"/>
  <c r="V26" i="15" s="1"/>
  <c r="H26" i="15"/>
  <c r="U26" i="15" s="1"/>
  <c r="K138" i="15"/>
  <c r="X138" i="15" s="1"/>
  <c r="J138" i="15"/>
  <c r="W138" i="15" s="1"/>
  <c r="I138" i="15"/>
  <c r="V138" i="15" s="1"/>
  <c r="H138" i="15"/>
  <c r="U138" i="15" s="1"/>
  <c r="L137" i="15"/>
  <c r="Y137" i="15" s="1"/>
  <c r="K137" i="15"/>
  <c r="X137" i="15" s="1"/>
  <c r="L25" i="15"/>
  <c r="Y25" i="15" s="1"/>
  <c r="K25" i="15"/>
  <c r="X25" i="15" s="1"/>
  <c r="J25" i="15"/>
  <c r="W25" i="15" s="1"/>
  <c r="I25" i="15"/>
  <c r="V25" i="15" s="1"/>
  <c r="H25" i="15"/>
  <c r="U25" i="15" s="1"/>
  <c r="J137" i="15"/>
  <c r="W137" i="15" s="1"/>
  <c r="I137" i="15"/>
  <c r="V137" i="15" s="1"/>
  <c r="H137" i="15"/>
  <c r="U137" i="15" s="1"/>
  <c r="L136" i="15"/>
  <c r="K136" i="15"/>
  <c r="J136" i="15"/>
  <c r="L24" i="15"/>
  <c r="Y24" i="15" s="1"/>
  <c r="K24" i="15"/>
  <c r="X24" i="15" s="1"/>
  <c r="J24" i="15"/>
  <c r="W24" i="15" s="1"/>
  <c r="I24" i="15"/>
  <c r="V24" i="15" s="1"/>
  <c r="H24" i="15"/>
  <c r="U24" i="15" s="1"/>
  <c r="I136" i="15"/>
  <c r="H136" i="15"/>
  <c r="L135" i="15"/>
  <c r="K135" i="15"/>
  <c r="J135" i="15"/>
  <c r="I135" i="15"/>
  <c r="L23" i="15"/>
  <c r="Y23" i="15" s="1"/>
  <c r="K23" i="15"/>
  <c r="X23" i="15" s="1"/>
  <c r="J23" i="15"/>
  <c r="W23" i="15" s="1"/>
  <c r="I23" i="15"/>
  <c r="V23" i="15" s="1"/>
  <c r="H23" i="15"/>
  <c r="U23" i="15" s="1"/>
  <c r="H135" i="15"/>
  <c r="L134" i="15"/>
  <c r="K134" i="15"/>
  <c r="J134" i="15"/>
  <c r="I134" i="15"/>
  <c r="H134" i="15"/>
  <c r="L22" i="15"/>
  <c r="Y22" i="15" s="1"/>
  <c r="K22" i="15"/>
  <c r="X22" i="15" s="1"/>
  <c r="J22" i="15"/>
  <c r="W22" i="15" s="1"/>
  <c r="I22" i="15"/>
  <c r="V22" i="15" s="1"/>
  <c r="H22" i="15"/>
  <c r="U22" i="15" s="1"/>
  <c r="L133" i="15"/>
  <c r="Y133" i="15" s="1"/>
  <c r="K133" i="15"/>
  <c r="X133" i="15" s="1"/>
  <c r="J133" i="15"/>
  <c r="W133" i="15" s="1"/>
  <c r="I133" i="15"/>
  <c r="V133" i="15" s="1"/>
  <c r="H133" i="15"/>
  <c r="U133" i="15" s="1"/>
  <c r="L132" i="15"/>
  <c r="L21" i="15"/>
  <c r="Y21" i="15" s="1"/>
  <c r="K21" i="15"/>
  <c r="X21" i="15" s="1"/>
  <c r="J21" i="15"/>
  <c r="W21" i="15" s="1"/>
  <c r="I21" i="15"/>
  <c r="V21" i="15" s="1"/>
  <c r="H21" i="15"/>
  <c r="U21" i="15" s="1"/>
  <c r="K132" i="15"/>
  <c r="J132" i="15"/>
  <c r="I132" i="15"/>
  <c r="H132" i="15"/>
  <c r="L131" i="15"/>
  <c r="K131" i="15"/>
  <c r="L20" i="15"/>
  <c r="K20" i="15"/>
  <c r="J20" i="15"/>
  <c r="I20" i="15"/>
  <c r="H20" i="15"/>
  <c r="J131" i="15"/>
  <c r="I131" i="15"/>
  <c r="H131" i="15"/>
  <c r="L130" i="15"/>
  <c r="K130" i="15"/>
  <c r="J130" i="15"/>
  <c r="L19" i="15"/>
  <c r="K19" i="15"/>
  <c r="J19" i="15"/>
  <c r="I19" i="15"/>
  <c r="H19" i="15"/>
  <c r="I130" i="15"/>
  <c r="H130" i="15"/>
  <c r="L129" i="15"/>
  <c r="K129" i="15"/>
  <c r="J129" i="15"/>
  <c r="I129" i="15"/>
  <c r="L18" i="15"/>
  <c r="K18" i="15"/>
  <c r="J18" i="15"/>
  <c r="I18" i="15"/>
  <c r="H18" i="15"/>
  <c r="H129" i="15"/>
  <c r="L128" i="15"/>
  <c r="K128" i="15"/>
  <c r="J128" i="15"/>
  <c r="I128" i="15"/>
  <c r="H128" i="15"/>
  <c r="L17" i="15"/>
  <c r="K17" i="15"/>
  <c r="J17" i="15"/>
  <c r="I17" i="15"/>
  <c r="H17" i="15"/>
  <c r="L127" i="15"/>
  <c r="K127" i="15"/>
  <c r="J127" i="15"/>
  <c r="H127" i="15"/>
  <c r="L126" i="15"/>
  <c r="K126" i="15"/>
  <c r="J126" i="15"/>
  <c r="I126" i="15"/>
  <c r="H126" i="15"/>
  <c r="L125" i="15"/>
  <c r="K125" i="15"/>
  <c r="L16" i="15"/>
  <c r="K16" i="15"/>
  <c r="J16" i="15"/>
  <c r="I16" i="15"/>
  <c r="H16" i="15"/>
  <c r="J125" i="15"/>
  <c r="I125" i="15"/>
  <c r="H125" i="15"/>
  <c r="L124" i="15"/>
  <c r="K124" i="15"/>
  <c r="L15" i="15"/>
  <c r="K15" i="15"/>
  <c r="J15" i="15"/>
  <c r="I15" i="15"/>
  <c r="H15" i="15"/>
  <c r="J124" i="15"/>
  <c r="I124" i="15"/>
  <c r="H124" i="15"/>
  <c r="L123" i="15"/>
  <c r="Y123" i="15" s="1"/>
  <c r="K123" i="15"/>
  <c r="X123" i="15" s="1"/>
  <c r="J123" i="15"/>
  <c r="W123" i="15" s="1"/>
  <c r="L14" i="15"/>
  <c r="K14" i="15"/>
  <c r="J14" i="15"/>
  <c r="I14" i="15"/>
  <c r="H14" i="15"/>
  <c r="I123" i="15"/>
  <c r="V123" i="15" s="1"/>
  <c r="H123" i="15"/>
  <c r="U123" i="15" s="1"/>
  <c r="L122" i="15"/>
  <c r="Y122" i="15" s="1"/>
  <c r="K122" i="15"/>
  <c r="X122" i="15" s="1"/>
  <c r="J122" i="15"/>
  <c r="W122" i="15" s="1"/>
  <c r="I122" i="15"/>
  <c r="V122" i="15" s="1"/>
  <c r="L13" i="15"/>
  <c r="K13" i="15"/>
  <c r="J13" i="15"/>
  <c r="I13" i="15"/>
  <c r="H13" i="15"/>
  <c r="H122" i="15"/>
  <c r="U122" i="15" s="1"/>
  <c r="L121" i="15"/>
  <c r="Y121" i="15" s="1"/>
  <c r="K121" i="15"/>
  <c r="X121" i="15" s="1"/>
  <c r="J121" i="15"/>
  <c r="W121" i="15" s="1"/>
  <c r="I121" i="15"/>
  <c r="V121" i="15" s="1"/>
  <c r="H121" i="15"/>
  <c r="U121" i="15" s="1"/>
  <c r="L12" i="15"/>
  <c r="K12" i="15"/>
  <c r="J12" i="15"/>
  <c r="I12" i="15"/>
  <c r="H12" i="15"/>
  <c r="L120" i="15"/>
  <c r="Y120" i="15" s="1"/>
  <c r="K120" i="15"/>
  <c r="X120" i="15" s="1"/>
  <c r="I53" i="15"/>
  <c r="I120" i="15"/>
  <c r="V120" i="15" s="1"/>
  <c r="H120" i="15"/>
  <c r="U120" i="15" s="1"/>
  <c r="L119" i="15"/>
  <c r="Y119" i="15" s="1"/>
  <c r="L11" i="15"/>
  <c r="K11" i="15"/>
  <c r="J11" i="15"/>
  <c r="I11" i="15"/>
  <c r="H11" i="15"/>
  <c r="K119" i="15"/>
  <c r="X119" i="15" s="1"/>
  <c r="J119" i="15"/>
  <c r="W119" i="15" s="1"/>
  <c r="I119" i="15"/>
  <c r="V119" i="15" s="1"/>
  <c r="H119" i="15"/>
  <c r="U119" i="15" s="1"/>
  <c r="L118" i="15"/>
  <c r="Y118" i="15" s="1"/>
  <c r="K118" i="15"/>
  <c r="X118" i="15" s="1"/>
  <c r="L10" i="15"/>
  <c r="K10" i="15"/>
  <c r="J10" i="15"/>
  <c r="I10" i="15"/>
  <c r="H10" i="15"/>
  <c r="J118" i="15"/>
  <c r="W118" i="15" s="1"/>
  <c r="I118" i="15"/>
  <c r="V118" i="15" s="1"/>
  <c r="H118" i="15"/>
  <c r="U118" i="15" s="1"/>
  <c r="L117" i="15"/>
  <c r="Y117" i="15" s="1"/>
  <c r="K117" i="15"/>
  <c r="X117" i="15" s="1"/>
  <c r="J117" i="15"/>
  <c r="W117" i="15" s="1"/>
  <c r="L9" i="15"/>
  <c r="K9" i="15"/>
  <c r="J9" i="15"/>
  <c r="I9" i="15"/>
  <c r="H9" i="15"/>
  <c r="I117" i="15"/>
  <c r="V117" i="15" s="1"/>
  <c r="H117" i="15"/>
  <c r="U117" i="15" s="1"/>
  <c r="L116" i="15"/>
  <c r="K116" i="15"/>
  <c r="J116" i="15"/>
  <c r="I116" i="15"/>
  <c r="L8" i="15"/>
  <c r="Y8" i="15" s="1"/>
  <c r="K8" i="15"/>
  <c r="X8" i="15" s="1"/>
  <c r="J8" i="15"/>
  <c r="W8" i="15" s="1"/>
  <c r="I8" i="15"/>
  <c r="V8" i="15" s="1"/>
  <c r="H8" i="15"/>
  <c r="U8" i="15" s="1"/>
  <c r="H116" i="15"/>
  <c r="L115" i="15"/>
  <c r="Y115" i="15" s="1"/>
  <c r="K115" i="15"/>
  <c r="X115" i="15" s="1"/>
  <c r="J115" i="15"/>
  <c r="W115" i="15" s="1"/>
  <c r="I115" i="15"/>
  <c r="V115" i="15" s="1"/>
  <c r="H115" i="15"/>
  <c r="U115" i="15" s="1"/>
  <c r="L7" i="15"/>
  <c r="Y7" i="15" s="1"/>
  <c r="K7" i="15"/>
  <c r="X7" i="15" s="1"/>
  <c r="J7" i="15"/>
  <c r="W7" i="15" s="1"/>
  <c r="I7" i="15"/>
  <c r="V7" i="15" s="1"/>
  <c r="H7" i="15"/>
  <c r="U7" i="15" s="1"/>
  <c r="L114" i="15"/>
  <c r="K114" i="15"/>
  <c r="J114" i="15"/>
  <c r="I114" i="15"/>
  <c r="H114" i="15"/>
  <c r="L6" i="15"/>
  <c r="Y6" i="15" s="1"/>
  <c r="K6" i="15"/>
  <c r="X6" i="15" s="1"/>
  <c r="J6" i="15"/>
  <c r="W6" i="15" s="1"/>
  <c r="I6" i="15"/>
  <c r="V6" i="15" s="1"/>
  <c r="H6" i="15"/>
  <c r="U6" i="15" s="1"/>
  <c r="L113" i="15"/>
  <c r="K113" i="15"/>
  <c r="J113" i="15"/>
  <c r="I113" i="15"/>
  <c r="H113" i="15"/>
  <c r="L5" i="15"/>
  <c r="Y5" i="15" s="1"/>
  <c r="K5" i="15"/>
  <c r="X5" i="15" s="1"/>
  <c r="J5" i="15"/>
  <c r="W5" i="15" s="1"/>
  <c r="I5" i="15"/>
  <c r="V5" i="15" s="1"/>
  <c r="H5" i="15"/>
  <c r="U5" i="15" s="1"/>
  <c r="L112" i="15"/>
  <c r="K112" i="15"/>
  <c r="J112" i="15"/>
  <c r="I112" i="15"/>
  <c r="H112" i="15"/>
  <c r="L111" i="15"/>
  <c r="L4" i="15"/>
  <c r="Y4" i="15" s="1"/>
  <c r="K4" i="15"/>
  <c r="X4" i="15" s="1"/>
  <c r="J4" i="15"/>
  <c r="W4" i="15" s="1"/>
  <c r="I4" i="15"/>
  <c r="V4" i="15" s="1"/>
  <c r="H4" i="15"/>
  <c r="U4" i="15" s="1"/>
  <c r="K111" i="15"/>
  <c r="J111" i="15"/>
  <c r="I111" i="15"/>
  <c r="H111" i="15"/>
  <c r="L110" i="15"/>
  <c r="K110" i="15"/>
  <c r="L3" i="15"/>
  <c r="Y3" i="15" s="1"/>
  <c r="K3" i="15"/>
  <c r="X3" i="15" s="1"/>
  <c r="J3" i="15"/>
  <c r="W3" i="15" s="1"/>
  <c r="I3" i="15"/>
  <c r="V3" i="15" s="1"/>
  <c r="H3" i="15"/>
  <c r="U3" i="15" s="1"/>
  <c r="T144" i="15"/>
  <c r="T143" i="15"/>
  <c r="T142" i="15"/>
  <c r="T140" i="15"/>
  <c r="T139" i="15"/>
  <c r="T136" i="15"/>
  <c r="T135" i="15"/>
  <c r="T134" i="15"/>
  <c r="T132" i="15"/>
  <c r="T131" i="15"/>
  <c r="T130" i="15"/>
  <c r="T129" i="15"/>
  <c r="T128" i="15"/>
  <c r="T127" i="15"/>
  <c r="V127" i="15" s="1"/>
  <c r="T126" i="15"/>
  <c r="T125" i="15"/>
  <c r="T124" i="15"/>
  <c r="T116" i="15"/>
  <c r="T114" i="15"/>
  <c r="T113" i="15"/>
  <c r="T112" i="15"/>
  <c r="T111" i="15"/>
  <c r="T110" i="15"/>
  <c r="T109" i="15"/>
  <c r="T108" i="15"/>
  <c r="T107" i="15"/>
  <c r="T106" i="15"/>
  <c r="T105" i="15"/>
  <c r="T101" i="15"/>
  <c r="T100" i="15"/>
  <c r="T99" i="15"/>
  <c r="T98" i="15"/>
  <c r="T97" i="15"/>
  <c r="T96" i="15"/>
  <c r="T95" i="15"/>
  <c r="T94" i="15"/>
  <c r="T91" i="15"/>
  <c r="T88" i="15"/>
  <c r="T87" i="15"/>
  <c r="T86" i="15"/>
  <c r="T85" i="15"/>
  <c r="T84" i="15"/>
  <c r="T82" i="15"/>
  <c r="T81" i="15"/>
  <c r="T80" i="15"/>
  <c r="T78" i="15"/>
  <c r="T77" i="15"/>
  <c r="T76" i="15"/>
  <c r="T75" i="15"/>
  <c r="T74" i="15"/>
  <c r="T73" i="15"/>
  <c r="T72" i="15"/>
  <c r="T71" i="15"/>
  <c r="T70" i="15"/>
  <c r="T69" i="15"/>
  <c r="T68" i="15"/>
  <c r="T67" i="15"/>
  <c r="T66" i="15"/>
  <c r="T65" i="15"/>
  <c r="T64" i="15"/>
  <c r="T63" i="15"/>
  <c r="T62" i="15"/>
  <c r="T61" i="15"/>
  <c r="T56" i="15"/>
  <c r="T54" i="15"/>
  <c r="T53" i="15"/>
  <c r="T50" i="15"/>
  <c r="T46" i="15"/>
  <c r="T45" i="15"/>
  <c r="T44" i="15"/>
  <c r="T43" i="15"/>
  <c r="T42" i="15"/>
  <c r="T41" i="15"/>
  <c r="T40" i="15"/>
  <c r="T39" i="15"/>
  <c r="T38" i="15"/>
  <c r="T37" i="15"/>
  <c r="T36" i="15"/>
  <c r="T35" i="15"/>
  <c r="T27" i="15"/>
  <c r="T20" i="15"/>
  <c r="T19" i="15"/>
  <c r="T18" i="15"/>
  <c r="T17" i="15"/>
  <c r="T16" i="15"/>
  <c r="T15" i="15"/>
  <c r="T14" i="15"/>
  <c r="T13" i="15"/>
  <c r="T12" i="15"/>
  <c r="T11" i="15"/>
  <c r="T10" i="15"/>
  <c r="T9" i="15"/>
  <c r="V27" i="15" l="1"/>
  <c r="U27" i="15"/>
  <c r="Y139" i="15"/>
  <c r="X139" i="15"/>
  <c r="W139" i="15"/>
  <c r="V139" i="15"/>
  <c r="U139" i="15"/>
  <c r="Y136" i="15"/>
  <c r="X136" i="15"/>
  <c r="W136" i="15"/>
  <c r="V136" i="15"/>
  <c r="U136" i="15"/>
  <c r="Y135" i="15"/>
  <c r="X135" i="15"/>
  <c r="W135" i="15"/>
  <c r="V135" i="15"/>
  <c r="U135" i="15"/>
  <c r="Y134" i="15"/>
  <c r="X134" i="15"/>
  <c r="W134" i="15"/>
  <c r="V134" i="15"/>
  <c r="U134" i="15"/>
  <c r="Y132" i="15"/>
  <c r="X132" i="15"/>
  <c r="W132" i="15"/>
  <c r="V132" i="15"/>
  <c r="U132" i="15"/>
  <c r="Y131" i="15"/>
  <c r="X131" i="15"/>
  <c r="Y20" i="15"/>
  <c r="X20" i="15"/>
  <c r="W20" i="15"/>
  <c r="V20" i="15"/>
  <c r="U20" i="15"/>
  <c r="W131" i="15"/>
  <c r="V131" i="15"/>
  <c r="U131" i="15"/>
  <c r="Y130" i="15"/>
  <c r="X130" i="15"/>
  <c r="W130" i="15"/>
  <c r="Y19" i="15"/>
  <c r="X19" i="15"/>
  <c r="W19" i="15"/>
  <c r="V19" i="15"/>
  <c r="U19" i="15"/>
  <c r="V130" i="15"/>
  <c r="U130" i="15"/>
  <c r="Y129" i="15"/>
  <c r="X129" i="15"/>
  <c r="W129" i="15"/>
  <c r="V129" i="15"/>
  <c r="Y18" i="15"/>
  <c r="X18" i="15"/>
  <c r="W18" i="15"/>
  <c r="V18" i="15"/>
  <c r="U18" i="15"/>
  <c r="U129" i="15"/>
  <c r="Y128" i="15"/>
  <c r="X128" i="15"/>
  <c r="W128" i="15"/>
  <c r="V128" i="15"/>
  <c r="U128" i="15"/>
  <c r="Y17" i="15"/>
  <c r="X17" i="15"/>
  <c r="W17" i="15"/>
  <c r="V17" i="15"/>
  <c r="U17" i="15"/>
  <c r="Y127" i="15"/>
  <c r="X127" i="15"/>
  <c r="W127" i="15"/>
  <c r="U127" i="15"/>
  <c r="Y126" i="15"/>
  <c r="X126" i="15"/>
  <c r="W126" i="15"/>
  <c r="V126" i="15"/>
  <c r="U126" i="15"/>
  <c r="Y125" i="15"/>
  <c r="X125" i="15"/>
  <c r="Y16" i="15"/>
  <c r="X16" i="15"/>
  <c r="W16" i="15"/>
  <c r="V16" i="15"/>
  <c r="U16" i="15"/>
  <c r="W125" i="15"/>
  <c r="V125" i="15"/>
  <c r="U125" i="15"/>
  <c r="Y124" i="15"/>
  <c r="X124" i="15"/>
  <c r="Y15" i="15"/>
  <c r="X15" i="15"/>
  <c r="W15" i="15"/>
  <c r="V15" i="15"/>
  <c r="U15" i="15"/>
  <c r="W124" i="15"/>
  <c r="V124" i="15"/>
  <c r="U124" i="15"/>
  <c r="Y14" i="15"/>
  <c r="X14" i="15"/>
  <c r="W14" i="15"/>
  <c r="V14" i="15"/>
  <c r="U14" i="15"/>
  <c r="Y13" i="15"/>
  <c r="X13" i="15"/>
  <c r="W13" i="15"/>
  <c r="V13" i="15"/>
  <c r="U13" i="15"/>
  <c r="Y12" i="15"/>
  <c r="X12" i="15"/>
  <c r="W12" i="15"/>
  <c r="V12" i="15"/>
  <c r="U12" i="15"/>
  <c r="V53" i="15"/>
  <c r="Y11" i="15"/>
  <c r="X11" i="15"/>
  <c r="W11" i="15"/>
  <c r="V11" i="15"/>
  <c r="U11" i="15"/>
  <c r="Y10" i="15"/>
  <c r="X10" i="15"/>
  <c r="W10" i="15"/>
  <c r="V10" i="15"/>
  <c r="U10" i="15"/>
  <c r="Y9" i="15"/>
  <c r="X9" i="15"/>
  <c r="AG11" i="15" s="1"/>
  <c r="W9" i="15"/>
  <c r="V9" i="15"/>
  <c r="U9" i="15"/>
  <c r="Y116" i="15"/>
  <c r="X116" i="15"/>
  <c r="W116" i="15"/>
  <c r="V116" i="15"/>
  <c r="U116" i="15"/>
  <c r="Y114" i="15"/>
  <c r="X114" i="15"/>
  <c r="W114" i="15"/>
  <c r="V114" i="15"/>
  <c r="U114" i="15"/>
  <c r="Y113" i="15"/>
  <c r="X113" i="15"/>
  <c r="W113" i="15"/>
  <c r="V113" i="15"/>
  <c r="U113" i="15"/>
  <c r="Y112" i="15"/>
  <c r="X112" i="15"/>
  <c r="W112" i="15"/>
  <c r="V112" i="15"/>
  <c r="U112" i="15"/>
  <c r="Y111" i="15"/>
  <c r="X111" i="15"/>
  <c r="W111" i="15"/>
  <c r="V111" i="15"/>
  <c r="U111" i="15"/>
  <c r="Y110" i="15"/>
  <c r="X110" i="15"/>
  <c r="E19" i="17"/>
  <c r="E20" i="17"/>
  <c r="F20" i="17" s="1"/>
  <c r="E21" i="17"/>
  <c r="F21" i="17" s="1"/>
  <c r="E22" i="17"/>
  <c r="F22" i="17" s="1"/>
  <c r="E23" i="17"/>
  <c r="F23" i="17" s="1"/>
  <c r="W144" i="15"/>
  <c r="X144" i="15"/>
  <c r="Y144" i="15"/>
  <c r="U144" i="15"/>
  <c r="V144" i="15"/>
  <c r="U143" i="15"/>
  <c r="V143" i="15"/>
  <c r="W143" i="15"/>
  <c r="X143" i="15"/>
  <c r="Y143" i="15"/>
  <c r="U142" i="15"/>
  <c r="V142" i="15"/>
  <c r="W142" i="15"/>
  <c r="X142" i="15"/>
  <c r="Y142" i="15"/>
  <c r="U140" i="15"/>
  <c r="Y140" i="15"/>
  <c r="X140" i="15"/>
  <c r="W140" i="15"/>
  <c r="V140" i="15"/>
  <c r="W110" i="15"/>
  <c r="V110" i="15"/>
  <c r="U110" i="15"/>
  <c r="Y109" i="15"/>
  <c r="X109" i="15"/>
  <c r="W109" i="15"/>
  <c r="V109" i="15"/>
  <c r="U109" i="15"/>
  <c r="Y108" i="15"/>
  <c r="X108" i="15"/>
  <c r="W108" i="15"/>
  <c r="V108" i="15"/>
  <c r="U108" i="15"/>
  <c r="X107" i="15"/>
  <c r="W107" i="15"/>
  <c r="V107" i="15"/>
  <c r="U107" i="15"/>
  <c r="Y107" i="15"/>
  <c r="Y106" i="15"/>
  <c r="X106" i="15"/>
  <c r="U106" i="15"/>
  <c r="V106" i="15"/>
  <c r="W106" i="15"/>
  <c r="Y105" i="15"/>
  <c r="X105" i="15"/>
  <c r="W105" i="15"/>
  <c r="U105" i="15"/>
  <c r="V105" i="15"/>
  <c r="Y101" i="15"/>
  <c r="U101" i="15"/>
  <c r="V101" i="15"/>
  <c r="W101" i="15"/>
  <c r="X101" i="15"/>
  <c r="U100" i="15"/>
  <c r="V100" i="15"/>
  <c r="W100" i="15"/>
  <c r="X100" i="15"/>
  <c r="Y100" i="15"/>
  <c r="U99" i="15"/>
  <c r="V99" i="15"/>
  <c r="W99" i="15"/>
  <c r="X99" i="15"/>
  <c r="Y99" i="15"/>
  <c r="U98" i="15"/>
  <c r="V98" i="15"/>
  <c r="W98" i="15"/>
  <c r="X98" i="15"/>
  <c r="Y98" i="15"/>
  <c r="W97" i="15"/>
  <c r="V97" i="15"/>
  <c r="U97" i="15"/>
  <c r="Y97" i="15"/>
  <c r="X97" i="15"/>
  <c r="Y96" i="15"/>
  <c r="X96" i="15"/>
  <c r="W96" i="15"/>
  <c r="V96" i="15"/>
  <c r="U96" i="15"/>
  <c r="Y95" i="15"/>
  <c r="X95" i="15"/>
  <c r="W95" i="15"/>
  <c r="V95" i="15"/>
  <c r="U95" i="15"/>
  <c r="W94" i="15"/>
  <c r="Y94" i="15"/>
  <c r="U94" i="15"/>
  <c r="V94" i="15"/>
  <c r="X94" i="15"/>
  <c r="U91" i="15"/>
  <c r="V91" i="15"/>
  <c r="W91" i="15"/>
  <c r="X91" i="15"/>
  <c r="Y91" i="15"/>
  <c r="X88" i="15"/>
  <c r="W88" i="15"/>
  <c r="V88" i="15"/>
  <c r="U88" i="15"/>
  <c r="Y88" i="15"/>
  <c r="V87" i="15"/>
  <c r="Y87" i="15"/>
  <c r="X87" i="15"/>
  <c r="W87" i="15"/>
  <c r="U87" i="15"/>
  <c r="U86" i="15"/>
  <c r="Y86" i="15"/>
  <c r="W86" i="15"/>
  <c r="V86" i="15"/>
  <c r="X86" i="15"/>
  <c r="V85" i="15"/>
  <c r="U85" i="15"/>
  <c r="X85" i="15"/>
  <c r="Y85" i="15"/>
  <c r="W85" i="15"/>
  <c r="V84" i="15"/>
  <c r="W84" i="15"/>
  <c r="Y84" i="15"/>
  <c r="X84" i="15"/>
  <c r="U84" i="15"/>
  <c r="Y82" i="15"/>
  <c r="X82" i="15"/>
  <c r="W82" i="15"/>
  <c r="V82" i="15"/>
  <c r="U82" i="15"/>
  <c r="U81" i="15"/>
  <c r="V81" i="15"/>
  <c r="W81" i="15"/>
  <c r="X81" i="15"/>
  <c r="Y81" i="15"/>
  <c r="V80" i="15"/>
  <c r="X80" i="15"/>
  <c r="W80" i="15"/>
  <c r="Y80" i="15"/>
  <c r="U80" i="15"/>
  <c r="Y78" i="15"/>
  <c r="X78" i="15"/>
  <c r="U78" i="15"/>
  <c r="W78" i="15"/>
  <c r="V78" i="15"/>
  <c r="X77" i="15"/>
  <c r="W77" i="15"/>
  <c r="U77" i="15"/>
  <c r="Y77" i="15"/>
  <c r="V77" i="15"/>
  <c r="V76" i="15"/>
  <c r="U76" i="15"/>
  <c r="W76" i="15"/>
  <c r="X76" i="15"/>
  <c r="Y76" i="15"/>
  <c r="Y75" i="15"/>
  <c r="X75" i="15"/>
  <c r="W75" i="15"/>
  <c r="U75" i="15"/>
  <c r="V75" i="15"/>
  <c r="W74" i="15"/>
  <c r="U74" i="15"/>
  <c r="X74" i="15"/>
  <c r="Y74" i="15"/>
  <c r="V74" i="15"/>
  <c r="U73" i="15"/>
  <c r="Y73" i="15"/>
  <c r="X73" i="15"/>
  <c r="W73" i="15"/>
  <c r="V73" i="15"/>
  <c r="Y72" i="15"/>
  <c r="W72" i="15"/>
  <c r="V72" i="15"/>
  <c r="U72" i="15"/>
  <c r="X72" i="15"/>
  <c r="V71" i="15"/>
  <c r="U71" i="15"/>
  <c r="W71" i="15"/>
  <c r="X71" i="15"/>
  <c r="Y71" i="15"/>
  <c r="V70" i="15"/>
  <c r="U70" i="15"/>
  <c r="Y70" i="15"/>
  <c r="W70" i="15"/>
  <c r="X70" i="15"/>
  <c r="X69" i="15"/>
  <c r="U69" i="15"/>
  <c r="W69" i="15"/>
  <c r="Y69" i="15"/>
  <c r="V69" i="15"/>
  <c r="U68" i="15"/>
  <c r="Y68" i="15"/>
  <c r="W68" i="15"/>
  <c r="V68" i="15"/>
  <c r="X68" i="15"/>
  <c r="W67" i="15"/>
  <c r="U67" i="15"/>
  <c r="V67" i="15"/>
  <c r="Y67" i="15"/>
  <c r="X67" i="15"/>
  <c r="Y66" i="15"/>
  <c r="X66" i="15"/>
  <c r="W66" i="15"/>
  <c r="V66" i="15"/>
  <c r="U66" i="15"/>
  <c r="V65" i="15"/>
  <c r="X65" i="15"/>
  <c r="Y65" i="15"/>
  <c r="W65" i="15"/>
  <c r="U65" i="15"/>
  <c r="X64" i="15"/>
  <c r="W64" i="15"/>
  <c r="Y64" i="15"/>
  <c r="V64" i="15"/>
  <c r="U64" i="15"/>
  <c r="Y63" i="15"/>
  <c r="U63" i="15"/>
  <c r="V63" i="15"/>
  <c r="W63" i="15"/>
  <c r="X63" i="15"/>
  <c r="V62" i="15"/>
  <c r="U62" i="15"/>
  <c r="X62" i="15"/>
  <c r="Y62" i="15"/>
  <c r="W62" i="15"/>
  <c r="Y61" i="15"/>
  <c r="X61" i="15"/>
  <c r="W61" i="15"/>
  <c r="V61" i="15"/>
  <c r="U61" i="15"/>
  <c r="W56" i="15"/>
  <c r="U56" i="15"/>
  <c r="V56" i="15"/>
  <c r="Y56" i="15"/>
  <c r="X56" i="15"/>
  <c r="Y54" i="15"/>
  <c r="V54" i="15"/>
  <c r="W54" i="15"/>
  <c r="X54" i="15"/>
  <c r="U54" i="15"/>
  <c r="Y53" i="15"/>
  <c r="X53" i="15"/>
  <c r="W53" i="15"/>
  <c r="U53" i="15"/>
  <c r="V50" i="15"/>
  <c r="U50" i="15"/>
  <c r="X50" i="15"/>
  <c r="W50" i="15"/>
  <c r="Y50" i="15"/>
  <c r="W46" i="15"/>
  <c r="X46" i="15"/>
  <c r="Y46" i="15"/>
  <c r="U46" i="15"/>
  <c r="V46" i="15"/>
  <c r="V45" i="15"/>
  <c r="W45" i="15"/>
  <c r="X45" i="15"/>
  <c r="Y45" i="15"/>
  <c r="U45" i="15"/>
  <c r="Y44" i="15"/>
  <c r="X44" i="15"/>
  <c r="W44" i="15"/>
  <c r="V44" i="15"/>
  <c r="U44" i="15"/>
  <c r="U43" i="15"/>
  <c r="V43" i="15"/>
  <c r="W43" i="15"/>
  <c r="X43" i="15"/>
  <c r="Y43" i="15"/>
  <c r="U42" i="15"/>
  <c r="V42" i="15"/>
  <c r="W42" i="15"/>
  <c r="X42" i="15"/>
  <c r="Y42" i="15"/>
  <c r="V41" i="15"/>
  <c r="W41" i="15"/>
  <c r="X41" i="15"/>
  <c r="Y41" i="15"/>
  <c r="U41" i="15"/>
  <c r="X40" i="15"/>
  <c r="Y40" i="15"/>
  <c r="W40" i="15"/>
  <c r="V40" i="15"/>
  <c r="U40" i="15"/>
  <c r="Y39" i="15"/>
  <c r="X39" i="15"/>
  <c r="W39" i="15"/>
  <c r="V39" i="15"/>
  <c r="U39" i="15"/>
  <c r="Y38" i="15"/>
  <c r="W38" i="15"/>
  <c r="V38" i="15"/>
  <c r="U38" i="15"/>
  <c r="X38" i="15"/>
  <c r="V37" i="15"/>
  <c r="U37" i="15"/>
  <c r="W37" i="15"/>
  <c r="X37" i="15"/>
  <c r="Y37" i="15"/>
  <c r="W36" i="15"/>
  <c r="X36" i="15"/>
  <c r="Y36" i="15"/>
  <c r="V36" i="15"/>
  <c r="U36" i="15"/>
  <c r="U35" i="15"/>
  <c r="V35" i="15"/>
  <c r="W35" i="15"/>
  <c r="X35" i="15"/>
  <c r="Y35" i="15"/>
  <c r="Y27" i="15"/>
  <c r="X27" i="15"/>
  <c r="W27" i="15"/>
  <c r="AD8" i="15" l="1"/>
  <c r="AD13" i="15"/>
  <c r="AD12" i="15"/>
  <c r="AD9" i="15"/>
  <c r="AD11" i="15"/>
  <c r="AD7" i="15"/>
  <c r="AD10" i="15"/>
  <c r="AF9" i="15"/>
  <c r="AF13" i="15"/>
  <c r="AF12" i="15"/>
  <c r="AF11" i="15"/>
  <c r="AF10" i="15"/>
  <c r="AF7" i="15"/>
  <c r="AF8" i="15"/>
  <c r="AH11" i="15"/>
  <c r="AH9" i="15"/>
  <c r="AH8" i="15"/>
  <c r="AH12" i="15"/>
  <c r="AH10" i="15"/>
  <c r="AH7" i="15"/>
  <c r="AH13" i="15"/>
  <c r="AE11" i="15"/>
  <c r="AE8" i="15"/>
  <c r="AE9" i="15"/>
  <c r="AE12" i="15"/>
  <c r="AE13" i="15"/>
  <c r="AE10" i="15"/>
  <c r="AE7" i="15"/>
  <c r="AG13" i="15"/>
  <c r="AG7" i="15"/>
  <c r="AG8" i="15"/>
  <c r="AG9" i="15"/>
  <c r="AG12" i="15"/>
  <c r="AG10" i="15"/>
  <c r="F19" i="17"/>
  <c r="F24" i="17" s="1"/>
  <c r="B12" i="17" s="1"/>
  <c r="E24" i="17"/>
  <c r="B11" i="17" s="1"/>
  <c r="AI7" i="15"/>
  <c r="AD14" i="15"/>
  <c r="AD18" i="15" s="1"/>
  <c r="AI8" i="15" l="1"/>
  <c r="AL8" i="15" s="1"/>
  <c r="AI13" i="15"/>
  <c r="AL13" i="15" s="1"/>
  <c r="AI12" i="15"/>
  <c r="AL12" i="15" s="1"/>
  <c r="AI9" i="15"/>
  <c r="AL9" i="15" s="1"/>
  <c r="AI11" i="15"/>
  <c r="AL11" i="15" s="1"/>
  <c r="AI10" i="15"/>
  <c r="AL10" i="15" s="1"/>
  <c r="AH14" i="15"/>
  <c r="AH18" i="15" s="1"/>
  <c r="AF14" i="15"/>
  <c r="AF18" i="15" s="1"/>
  <c r="AE14" i="15"/>
  <c r="AE18" i="15" s="1"/>
  <c r="AG14" i="15"/>
  <c r="AG18" i="15" s="1"/>
  <c r="AL7" i="15"/>
  <c r="AL14" i="15" s="1"/>
  <c r="AI14" i="15"/>
</calcChain>
</file>

<file path=xl/sharedStrings.xml><?xml version="1.0" encoding="utf-8"?>
<sst xmlns="http://schemas.openxmlformats.org/spreadsheetml/2006/main" count="5759" uniqueCount="456">
  <si>
    <t>hoja</t>
  </si>
  <si>
    <t>descripcion</t>
  </si>
  <si>
    <t>Sectores</t>
  </si>
  <si>
    <t>Un sector por fila (zona censal). macrozona: distrito al que pertenece (cada sector en una sola).</t>
  </si>
  <si>
    <t xml:space="preserve">Sitios </t>
  </si>
  <si>
    <t>Ubicaciones candidatas (incluye las actuales). macrozona: dónde está el sitio. superficie: espacio para contenedores.</t>
  </si>
  <si>
    <t>PuntosActuales</t>
  </si>
  <si>
    <t>Los puntos limpios que existen hoy, el sitio donde están y su nombre municipal (el mismo que usa DotacionActual).</t>
  </si>
  <si>
    <t>Materiales</t>
  </si>
  <si>
    <t>Las 5 categorías del DS 12. atractivo_no_reciclar: uN de cada material, calibrado en la hoja Calibracion con las toneladas 2023.</t>
  </si>
  <si>
    <t>TiposContenedor</t>
  </si>
  <si>
    <t>Opciones de compra: capacidad máxima nominal por volumen y densidad, limitada además por la carga del fabricante (100 %; sin margen operativo de 20 %).</t>
  </si>
  <si>
    <t>DotacionActual</t>
  </si>
  <si>
    <t>Dotación inicial ESTIMADA (no inventario histórico) por punto y material, usando el máximo semanal de los residuos recibidos en 2023 y el 100 % de la capacidad físicamente admisible; sin gasto de adquisición.</t>
  </si>
  <si>
    <t>Generacion</t>
  </si>
  <si>
    <t>Generación anual por habitante de cada material en cada sector.</t>
  </si>
  <si>
    <t>Semanas</t>
  </si>
  <si>
    <t>Una fila por semana del horizonte. fraccion_generacion: parte de la generación anual que ocurre esa semana. temporada solo se usa para gráficos.</t>
  </si>
  <si>
    <t>AtractivoSitios</t>
  </si>
  <si>
    <t>Pares sector–sitio con distancia euclidiana &lt;= Dmax; atractivo exp(-beta·distancia). Base: Dmax=2 km, beta=0.5/km (calibrado con las toneladas 2023, ver Calibracion). Fuera del radio se omiten y su atractivo es 0.</t>
  </si>
  <si>
    <t>Alternativas</t>
  </si>
  <si>
    <t>Una fila por cada material que recibe cada alternativa de terceros.</t>
  </si>
  <si>
    <t>AtractivoAlternativas</t>
  </si>
  <si>
    <t>Pares sector–alternativa con distancia euclidiana &lt;= Dmax; mismo beta y radio que AtractivoSitios. Fuera del radio se omiten y su atractivo es 0.</t>
  </si>
  <si>
    <t>Camiones</t>
  </si>
  <si>
    <t>Camiones asignados a la red de puntos limpios (no los domiciliarios).</t>
  </si>
  <si>
    <t>Costos</t>
  </si>
  <si>
    <t>Parámetros escalares. No cambiar los nombres de la columna parametro.</t>
  </si>
  <si>
    <t>Coordenadas</t>
  </si>
  <si>
    <t>Solo para mapas; el modelo no las usa.</t>
  </si>
  <si>
    <t>AVISO</t>
  </si>
  <si>
    <t>AVISO: instancia académica que combina datos territoriales y municipales con parámetros estimados y supuestos. Las cantidades iniciales NO representan un inventario observado; consultar el reporte técnico.</t>
  </si>
  <si>
    <t>PARÁMETROS DE ATRACTIVO</t>
  </si>
  <si>
    <t>Valor / interpretación</t>
  </si>
  <si>
    <t>beta [1/km]</t>
  </si>
  <si>
    <t>Dmax [km]</t>
  </si>
  <si>
    <t>Representación</t>
  </si>
  <si>
    <t>Solo pares dentro del radio; todos los demás tienen atractivo cero y se omiten.</t>
  </si>
  <si>
    <t>Para cambiar Dmax</t>
  </si>
  <si>
    <t>Regenerar AtractivoSitios y AtractivoAlternativas desde Coordenadas (el cambio de celda no agrega filas).</t>
  </si>
  <si>
    <t>Calibracion</t>
  </si>
  <si>
    <t>Cálculo de uN por material según calibracion_uN.pdf: cada uN hace que el modelo logit reproduzca las toneladas 2023 de ese material en los 6 puntos que calibran. El código no lee esta hoja.</t>
  </si>
  <si>
    <t>sector</t>
  </si>
  <si>
    <t>macrozona</t>
  </si>
  <si>
    <t>poblacion [hab]</t>
  </si>
  <si>
    <t>Z1</t>
  </si>
  <si>
    <t>Sur Oriente</t>
  </si>
  <si>
    <t>Z2</t>
  </si>
  <si>
    <t>Z3</t>
  </si>
  <si>
    <t>Z4</t>
  </si>
  <si>
    <t>Z5</t>
  </si>
  <si>
    <t>Z6</t>
  </si>
  <si>
    <t>Z7</t>
  </si>
  <si>
    <t>Norte Oriente</t>
  </si>
  <si>
    <t>Z8</t>
  </si>
  <si>
    <t>Z9</t>
  </si>
  <si>
    <t>Z10</t>
  </si>
  <si>
    <t>Z11</t>
  </si>
  <si>
    <t>Z12</t>
  </si>
  <si>
    <t>Z13</t>
  </si>
  <si>
    <t>Z14</t>
  </si>
  <si>
    <t>Z15</t>
  </si>
  <si>
    <t>Z16</t>
  </si>
  <si>
    <t>Z17</t>
  </si>
  <si>
    <t>Z18</t>
  </si>
  <si>
    <t>Z19</t>
  </si>
  <si>
    <t>Z20</t>
  </si>
  <si>
    <t>Z21</t>
  </si>
  <si>
    <t>Z22</t>
  </si>
  <si>
    <t>Z23</t>
  </si>
  <si>
    <t>Z24</t>
  </si>
  <si>
    <t>Z25</t>
  </si>
  <si>
    <t>Z26</t>
  </si>
  <si>
    <t>Z27</t>
  </si>
  <si>
    <t>Z28</t>
  </si>
  <si>
    <t>Z29</t>
  </si>
  <si>
    <t>Z30</t>
  </si>
  <si>
    <t>Z31</t>
  </si>
  <si>
    <t>Z32</t>
  </si>
  <si>
    <t>Z33</t>
  </si>
  <si>
    <t>Sur Poniente</t>
  </si>
  <si>
    <t>Z34</t>
  </si>
  <si>
    <t>Z35</t>
  </si>
  <si>
    <t>Z36</t>
  </si>
  <si>
    <t>Z37</t>
  </si>
  <si>
    <t>Z38</t>
  </si>
  <si>
    <t>Z39</t>
  </si>
  <si>
    <t>Z40</t>
  </si>
  <si>
    <t>Z41</t>
  </si>
  <si>
    <t>Z42</t>
  </si>
  <si>
    <t>Z43</t>
  </si>
  <si>
    <t>Z44</t>
  </si>
  <si>
    <t>Z45</t>
  </si>
  <si>
    <t>Z46</t>
  </si>
  <si>
    <t>Z47</t>
  </si>
  <si>
    <t>Z48</t>
  </si>
  <si>
    <t>Z49</t>
  </si>
  <si>
    <t>Z50</t>
  </si>
  <si>
    <t>Z51</t>
  </si>
  <si>
    <t>Norte Poniente</t>
  </si>
  <si>
    <t>Z52</t>
  </si>
  <si>
    <t>Z53</t>
  </si>
  <si>
    <t>Z54</t>
  </si>
  <si>
    <t>Z55</t>
  </si>
  <si>
    <t>Z56</t>
  </si>
  <si>
    <t>Z57</t>
  </si>
  <si>
    <t>Z58</t>
  </si>
  <si>
    <t>Z59</t>
  </si>
  <si>
    <t>Z60</t>
  </si>
  <si>
    <t>Z61</t>
  </si>
  <si>
    <t>Z62</t>
  </si>
  <si>
    <t>Z63</t>
  </si>
  <si>
    <t>Z64</t>
  </si>
  <si>
    <t>Z65</t>
  </si>
  <si>
    <t>Z66</t>
  </si>
  <si>
    <t>Z67</t>
  </si>
  <si>
    <t>Z68</t>
  </si>
  <si>
    <t>Z69</t>
  </si>
  <si>
    <t>Z70</t>
  </si>
  <si>
    <t>Z71</t>
  </si>
  <si>
    <t>Z72</t>
  </si>
  <si>
    <t>Z73</t>
  </si>
  <si>
    <t>Z74</t>
  </si>
  <si>
    <t>Z75</t>
  </si>
  <si>
    <t>Z76</t>
  </si>
  <si>
    <t>Z77</t>
  </si>
  <si>
    <t>Z78</t>
  </si>
  <si>
    <t>Z79</t>
  </si>
  <si>
    <t>Z80</t>
  </si>
  <si>
    <t>Z81</t>
  </si>
  <si>
    <t>Z82</t>
  </si>
  <si>
    <t>Z83</t>
  </si>
  <si>
    <t>Z84</t>
  </si>
  <si>
    <t>Z85</t>
  </si>
  <si>
    <t>Z86</t>
  </si>
  <si>
    <t>Z87</t>
  </si>
  <si>
    <t>Z88</t>
  </si>
  <si>
    <t>Z89</t>
  </si>
  <si>
    <t>Z90</t>
  </si>
  <si>
    <t>Z91</t>
  </si>
  <si>
    <t>Z92</t>
  </si>
  <si>
    <t>Z93</t>
  </si>
  <si>
    <t>Z94</t>
  </si>
  <si>
    <t>Z95</t>
  </si>
  <si>
    <t>Z96</t>
  </si>
  <si>
    <t>Z97</t>
  </si>
  <si>
    <t>Z98</t>
  </si>
  <si>
    <t>Z99</t>
  </si>
  <si>
    <t>Z100</t>
  </si>
  <si>
    <t>Z101</t>
  </si>
  <si>
    <t>Z102</t>
  </si>
  <si>
    <t>Z103</t>
  </si>
  <si>
    <t>Z104</t>
  </si>
  <si>
    <t>Z105</t>
  </si>
  <si>
    <t>Z106</t>
  </si>
  <si>
    <t>Z107</t>
  </si>
  <si>
    <t>Z108</t>
  </si>
  <si>
    <t>Z109</t>
  </si>
  <si>
    <t>Z110</t>
  </si>
  <si>
    <t>Z111</t>
  </si>
  <si>
    <t>Z112</t>
  </si>
  <si>
    <t>Z113</t>
  </si>
  <si>
    <t>Z114</t>
  </si>
  <si>
    <t>Z115</t>
  </si>
  <si>
    <t>Z116</t>
  </si>
  <si>
    <t>Z117</t>
  </si>
  <si>
    <t>Z118</t>
  </si>
  <si>
    <t>Z119</t>
  </si>
  <si>
    <t>Z120</t>
  </si>
  <si>
    <t>Z121</t>
  </si>
  <si>
    <t>Z122</t>
  </si>
  <si>
    <t>Z123</t>
  </si>
  <si>
    <t>Z124</t>
  </si>
  <si>
    <t>Z125</t>
  </si>
  <si>
    <t>Z126</t>
  </si>
  <si>
    <t>Z127</t>
  </si>
  <si>
    <t>Z128</t>
  </si>
  <si>
    <t>Z129</t>
  </si>
  <si>
    <t>Z130</t>
  </si>
  <si>
    <t>Z131</t>
  </si>
  <si>
    <t>Z132</t>
  </si>
  <si>
    <t>Z133</t>
  </si>
  <si>
    <t>Z134</t>
  </si>
  <si>
    <t>Z135</t>
  </si>
  <si>
    <t>Z136</t>
  </si>
  <si>
    <t>Z137</t>
  </si>
  <si>
    <t>Z138</t>
  </si>
  <si>
    <t>Z139</t>
  </si>
  <si>
    <t>Z140</t>
  </si>
  <si>
    <t>Z141</t>
  </si>
  <si>
    <t>Z142</t>
  </si>
  <si>
    <t>sitio</t>
  </si>
  <si>
    <t>superficie [m2]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</si>
  <si>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</si>
  <si>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</si>
  <si>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</si>
  <si>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</si>
  <si>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</si>
  <si>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</si>
  <si>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</si>
  <si>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</si>
  <si>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</si>
  <si>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</si>
  <si>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</si>
  <si>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</si>
  <si>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</si>
  <si>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</si>
  <si>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</si>
  <si>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</si>
  <si>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</si>
  <si>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</si>
  <si>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</si>
  <si>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</si>
  <si>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punto</t>
  </si>
  <si>
    <t>sitio_actual</t>
  </si>
  <si>
    <t>nombre_sitio_actual</t>
  </si>
  <si>
    <t>P1</t>
  </si>
  <si>
    <t>Juan de Dios Malebrán</t>
  </si>
  <si>
    <t>P2</t>
  </si>
  <si>
    <t>Los Toros</t>
  </si>
  <si>
    <t>P3</t>
  </si>
  <si>
    <t>Creta</t>
  </si>
  <si>
    <t>P4</t>
  </si>
  <si>
    <t>Los Evangelistas</t>
  </si>
  <si>
    <t>P5</t>
  </si>
  <si>
    <t>Don Ramón</t>
  </si>
  <si>
    <t>P6</t>
  </si>
  <si>
    <t>Madre Tierra</t>
  </si>
  <si>
    <t>P7</t>
  </si>
  <si>
    <t>Santa Faustina</t>
  </si>
  <si>
    <t>material</t>
  </si>
  <si>
    <t>atractivo_no_reciclar [-]</t>
  </si>
  <si>
    <t>papel_carton</t>
  </si>
  <si>
    <t>plastico</t>
  </si>
  <si>
    <t>vidrio</t>
  </si>
  <si>
    <t>metal</t>
  </si>
  <si>
    <t>carton_liquidos</t>
  </si>
  <si>
    <t>tipo</t>
  </si>
  <si>
    <t>capacidad [ton/cont]</t>
  </si>
  <si>
    <t>superficie [m2/cont]</t>
  </si>
  <si>
    <t>costo_compra [CLP/cont]</t>
  </si>
  <si>
    <t>costo_mantencion [CLP/cont/año]</t>
  </si>
  <si>
    <t>PC_770</t>
  </si>
  <si>
    <t>PC_1100</t>
  </si>
  <si>
    <t>PL_240</t>
  </si>
  <si>
    <t>PL_770</t>
  </si>
  <si>
    <t>PL_1100</t>
  </si>
  <si>
    <t>VI_240</t>
  </si>
  <si>
    <t>VI_3000</t>
  </si>
  <si>
    <t>ME_240</t>
  </si>
  <si>
    <t>ME_770</t>
  </si>
  <si>
    <t>CL_770</t>
  </si>
  <si>
    <t>CL_1100</t>
  </si>
  <si>
    <t>tipo_existente</t>
  </si>
  <si>
    <t>cantidad [cont/punto]</t>
  </si>
  <si>
    <t>capacidad_util [ton/cont]</t>
  </si>
  <si>
    <t>EX_JAULA_PC_6400</t>
  </si>
  <si>
    <t>EX_PL_770</t>
  </si>
  <si>
    <t>EX_VI_CAMP_3000</t>
  </si>
  <si>
    <t>EX_ME_770</t>
  </si>
  <si>
    <t>EX_CL_770</t>
  </si>
  <si>
    <t>generacion [ton/hab/año]</t>
  </si>
  <si>
    <t>semana</t>
  </si>
  <si>
    <t>temporada</t>
  </si>
  <si>
    <t>fraccion_generacion [-]</t>
  </si>
  <si>
    <t>verano</t>
  </si>
  <si>
    <t>resto</t>
  </si>
  <si>
    <t>atractivo [-]</t>
  </si>
  <si>
    <t>alternativa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</si>
  <si>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</si>
  <si>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</si>
  <si>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</si>
  <si>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</si>
  <si>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</si>
  <si>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</si>
  <si>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</si>
  <si>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</si>
  <si>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</si>
  <si>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</si>
  <si>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</si>
  <si>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</si>
  <si>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</si>
  <si>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</si>
  <si>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</si>
  <si>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</si>
  <si>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</si>
  <si>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</si>
  <si>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</si>
  <si>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</si>
  <si>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</si>
  <si>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</si>
  <si>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</si>
  <si>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</si>
  <si>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</si>
  <si>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</si>
  <si>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</si>
  <si>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</si>
  <si>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</si>
  <si>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</si>
  <si>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</si>
  <si>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</si>
  <si>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</si>
  <si>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</si>
  <si>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</si>
  <si>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</si>
  <si>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</si>
  <si>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</si>
  <si>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</si>
  <si>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</si>
  <si>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camion</t>
  </si>
  <si>
    <t>capacidad [ton/recorrido]</t>
  </si>
  <si>
    <t>costo_recorrido [CLP/recorrido]</t>
  </si>
  <si>
    <t>volumen [m3/recorrido]</t>
  </si>
  <si>
    <t>compatible_campana [0/1]</t>
  </si>
  <si>
    <t>H1</t>
  </si>
  <si>
    <t>H2</t>
  </si>
  <si>
    <t>H3</t>
  </si>
  <si>
    <t>parametro</t>
  </si>
  <si>
    <t>valor</t>
  </si>
  <si>
    <t>unidad</t>
  </si>
  <si>
    <t>F</t>
  </si>
  <si>
    <t>visitas/semana</t>
  </si>
  <si>
    <t>B</t>
  </si>
  <si>
    <t>CLP/año</t>
  </si>
  <si>
    <t>cH</t>
  </si>
  <si>
    <t>CLP/ubicación habilitada</t>
  </si>
  <si>
    <t>tasa_mantencion</t>
  </si>
  <si>
    <t>1/año</t>
  </si>
  <si>
    <t>generación g_im [ton/hab/año]</t>
  </si>
  <si>
    <t>atractivo alternativas que reciben m [-]</t>
  </si>
  <si>
    <t>atractivo puntos actuales u_in [-]</t>
  </si>
  <si>
    <t>suma puntos actuales [-]</t>
  </si>
  <si>
    <t>captura por unidad de atractivo [ton/hab/año]</t>
  </si>
  <si>
    <t>Calibración de uN por material. Buscar objetivo, una vez por material: definir la celda de la fila 18 = 0 cambiando el uN de la fila 4.</t>
  </si>
  <si>
    <t>uN [-]</t>
  </si>
  <si>
    <t>nombre</t>
  </si>
  <si>
    <t>papel_carton modelo [ton/año]</t>
  </si>
  <si>
    <t>plastico modelo [ton/año]</t>
  </si>
  <si>
    <t>vidrio modelo [ton/año]</t>
  </si>
  <si>
    <t>metal modelo [ton/año]</t>
  </si>
  <si>
    <t>carton_liquidos modelo [ton/año]</t>
  </si>
  <si>
    <t>total modelo [ton/año]</t>
  </si>
  <si>
    <t>total real 2023 [ton]</t>
  </si>
  <si>
    <t>calibra [1/0]</t>
  </si>
  <si>
    <t>error modelo − real [ton]</t>
  </si>
  <si>
    <t>Modelo, puntos que calibran [t]</t>
  </si>
  <si>
    <t>error absoluto total de los puntos que calibran [t]</t>
  </si>
  <si>
    <t>Real 2023, 7 puntos [t]</t>
  </si>
  <si>
    <t>Puntos excluidos, estimado con la mezcla promedio [t]</t>
  </si>
  <si>
    <t>Objetivo, puntos que calibran [t]</t>
  </si>
  <si>
    <t>Diferencia modelo − objetivo [t]</t>
  </si>
  <si>
    <t>Notas</t>
  </si>
  <si>
    <t>Toneladas 2023: CSV de cada punto limpio (Portal de Datos Abiertos), solo los 5 materiales del modelo, escala valor/10.000 (reporte técnico, tablas 3.1 y 3.2).</t>
  </si>
  <si>
    <t>Santa Faustina no calibra (calibra = 0) por la interrupción de julio de 2023, pero sigue compitiendo por los vecinos en la columna T (reporte técnico, anexo C).</t>
  </si>
  <si>
    <t>Como no se tiene su desglose por material, lo que aportó Santa Faustina se reparte con la mezcla de los 7 puntos (fila 16). Si se obtiene su desglose real, reemplazar la fila 16 y repetir Buscar objetivo.</t>
  </si>
  <si>
    <t>Un uN por material hace que el modelo reproduzca la mezcla observada (54 % vidrio, 9 % plástico) en vez de la mezcla de generación domiciliaria.</t>
  </si>
  <si>
    <t>Atractivos con beta = 0.5/km y Dmax = 2 km (LEEME). Supuesto: la calibración no considera la capacidad de los contenedores (en 2023 los puntos no se rebalsaron).</t>
  </si>
  <si>
    <t>beta se bajó desde 2,1/km porque con ese valor el modelo asignaba más material a los puntos que reciben menos (correlación negativa); ver tabla de comparación de beta.</t>
  </si>
  <si>
    <t>Comparación de beta (repitiendo esta hoja con cada valor; Dmax = 2 km)</t>
  </si>
  <si>
    <t>error absoluto, 6 puntos [t]</t>
  </si>
  <si>
    <t>correlación modelo-real [-]</t>
  </si>
  <si>
    <t>elemento</t>
  </si>
  <si>
    <t>x [km]</t>
  </si>
  <si>
    <t>y [km]</t>
  </si>
  <si>
    <t>GENERACION 2023  |  BASE Y TRAZABILIDAD  |  V1</t>
  </si>
  <si>
    <t>Generación ajustada a 560.695 habitantes del Excel; tasas numéricas en Generacion para compatibilidad con código.</t>
  </si>
  <si>
    <t>Población de instancia</t>
  </si>
  <si>
    <t>hab</t>
  </si>
  <si>
    <t>Fijada por el equipo; igual a suma de Sectores</t>
  </si>
  <si>
    <t>RSD 2023 - suma de meses</t>
  </si>
  <si>
    <t>ton</t>
  </si>
  <si>
    <t>Dato base anual de recolección domiciliaria; sumar detalle mensual</t>
  </si>
  <si>
    <t>Mes (2023)</t>
  </si>
  <si>
    <t>RSD recolectado [ton]</t>
  </si>
  <si>
    <t>RSD 2023 - total indicado</t>
  </si>
  <si>
    <t>Discrepancia pendiente de revisar en RSD_2023.xlsx</t>
  </si>
  <si>
    <t>Enero</t>
  </si>
  <si>
    <t>Diferencia suma - total</t>
  </si>
  <si>
    <t>Control del dato anual</t>
  </si>
  <si>
    <t>Febrero</t>
  </si>
  <si>
    <t>Tasa anual RSD ajustada</t>
  </si>
  <si>
    <t>ton/hab/año</t>
  </si>
  <si>
    <t>198.449 / 560.695, no es tasa oficial por habitante</t>
  </si>
  <si>
    <t>Marzo</t>
  </si>
  <si>
    <t>Fracción estimada 5 materiales</t>
  </si>
  <si>
    <t>[-]</t>
  </si>
  <si>
    <t>Suma de composición de los cinco materiales</t>
  </si>
  <si>
    <t>Abril</t>
  </si>
  <si>
    <t>Tasa anual 5 materiales</t>
  </si>
  <si>
    <t>Suma de tasas anuales estimadas</t>
  </si>
  <si>
    <t>Mayo</t>
  </si>
  <si>
    <t>Toneladas estimadas 5 materiales</t>
  </si>
  <si>
    <t>ton/año</t>
  </si>
  <si>
    <t>Estimación de generación de cinco materiales</t>
  </si>
  <si>
    <t>Junio</t>
  </si>
  <si>
    <t>Población en Sectores</t>
  </si>
  <si>
    <t>Verificación independiente contra hoja Sectores</t>
  </si>
  <si>
    <t>Julio</t>
  </si>
  <si>
    <t>Suma fracciones en Semanas</t>
  </si>
  <si>
    <t>Debe ser 1 para no duplicar estacionalidad</t>
  </si>
  <si>
    <t>Agosto</t>
  </si>
  <si>
    <t>Registros de Generacion</t>
  </si>
  <si>
    <t>filas</t>
  </si>
  <si>
    <t>142 sectores x 5 materiales = 710</t>
  </si>
  <si>
    <t>Septiembre</t>
  </si>
  <si>
    <t>Diferencia vs 710</t>
  </si>
  <si>
    <t>Debe ser 0</t>
  </si>
  <si>
    <t>Octubre</t>
  </si>
  <si>
    <t>Noviembre</t>
  </si>
  <si>
    <t>Material</t>
  </si>
  <si>
    <t>Proporción [% de RSD]</t>
  </si>
  <si>
    <t>Origen</t>
  </si>
  <si>
    <t>Año referencia</t>
  </si>
  <si>
    <t>Tasa [ton/hab/año]</t>
  </si>
  <si>
    <t>Estimado [ton/año]</t>
  </si>
  <si>
    <t>URL fuente</t>
  </si>
  <si>
    <t>Diciembre</t>
  </si>
  <si>
    <t>Papel y cartón</t>
  </si>
  <si>
    <t>MMA / Catastro SUBDERE 2017</t>
  </si>
  <si>
    <t>2017</t>
  </si>
  <si>
    <t>https://snichile.mma.gob.cl/wp-content/uploads/2023/04/2022_IIN_CL.pdf</t>
  </si>
  <si>
    <t>SUMA MENSUAL</t>
  </si>
  <si>
    <t>Plástico</t>
  </si>
  <si>
    <t>Vidrio</t>
  </si>
  <si>
    <t>Metales</t>
  </si>
  <si>
    <t>Cartón para líquidos</t>
  </si>
  <si>
    <t>CONAMA-PUCV / Sector residencial RM</t>
  </si>
  <si>
    <t>2005</t>
  </si>
  <si>
    <t>https://metadatos.mma.gob.cl/sinia/articles-39508_pdf_informeF.pdf</t>
  </si>
  <si>
    <t>TOTAL CINCO MATERIALES</t>
  </si>
  <si>
    <t>METODOLOGÍA Y LIMITACIONES PARA EL REPORTE DEL EQUIPO</t>
  </si>
  <si>
    <t>Alcance: las 710 filas (142 sectores x 5 materiales) en Generacion fueron completadas. No se alteraron las 15 hojas originales restantes.</t>
  </si>
  <si>
    <t>Fórmula: g_m = (RSD_2023 / P_instancia) x q_m; RSD_2023=198.449 ton (suma mensual) y P_instancia=560.695 hab.</t>
  </si>
  <si>
    <t>La misma tasa per cápita de cada material se aplica a todos los sectores; las cantidades totales difieren según la población sectorial.</t>
  </si>
  <si>
    <t>La generación total se aproxima a partir de residuos domiciliarios RECOLECTADOS. No equivale a generación medida de envases elegibles.</t>
  </si>
  <si>
    <t>Composición: porcentajes regionales SUBDERE 2017 para papel-cartón, plástico, vidrio y metales. Tetrapack = 0,70 % de CONAMA-PUCV residencial 2005.</t>
  </si>
  <si>
    <t>Los valores de composición son supuestos respaldados por caracterizaciones históricas de la RM, NO mediciones comunales de 2023.</t>
  </si>
  <si>
    <t>Papel/cartón y Tetrapack se separan como categorías diferentes. Al mezclar dos caracterizaciones distintas subsiste incertidumbre metodológica.</t>
  </si>
  <si>
    <t>Discrepancia: el total 2023 citado previamente es 198.446 ton y la suma de las cifras mensuales anotadas es 198.449 ton (3 ton). Verificar descarga municipal.</t>
  </si>
  <si>
    <t>La hoja Semanas queda intacta. Sus 52 fracciones suman 1; NO aplicar nuevamente un factor adicional de verano.</t>
  </si>
  <si>
    <t>IMPORTANTE: tasa per cápita ajustada a población georreferenciada de 2024; NO publicitarla como tasa oficial per cápita observada para 2023.</t>
  </si>
  <si>
    <t>Valores de Generacion son NÚMEROS y no fórmulas para facilitar lectura desde código externo; las fórmulas de respaldo están en esta hoja.</t>
  </si>
  <si>
    <t>PENDIENTE: comprobar el detalle mensual directamente desde RSD_2023.xlsx, no disponible para descarga automática en esta sesión.</t>
  </si>
  <si>
    <t>RESTO DE LA INSTANCIA: las hojas TiposContenedor, DotacionActual, Camiones, Costos y atractivos aún requieren trabajo/validación.</t>
  </si>
  <si>
    <t>ENLACES Y DOCUMENTOS PARA TRAZABILIDAD</t>
  </si>
  <si>
    <t>Residuos 2023</t>
  </si>
  <si>
    <t>Municipalidad de Puente Alto; serie mensual RSD 2023</t>
  </si>
  <si>
    <t>https://datos.mpuentealto.cl/datasets/201106/residuos-solidos-domiciliarios-en-toneladas-enero-a-diciembre-2023/</t>
  </si>
  <si>
    <t>Composición regional 2017</t>
  </si>
  <si>
    <t>MMA; Informe inventario GEI 2022, tabla 7-8</t>
  </si>
  <si>
    <t>Tetrapack RM</t>
  </si>
  <si>
    <t>CONAMA-PUCV; estudio caracterización residencial, tabla 29</t>
  </si>
  <si>
    <t>142 sectores del Excel original; documentación de compañero</t>
  </si>
  <si>
    <t>Archivo ICS1113-E3-texto-informe.md.pdf</t>
  </si>
  <si>
    <t>Estacionalidad</t>
  </si>
  <si>
    <t>52 factores en hoja Semanas; investigación de compañero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</si>
</sst>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"/>
    <numFmt numFmtId="165" formatCode="0.00000"/>
    <numFmt numFmtId="166" formatCode="#,##0;[Red]\(#,##0\);\-"/>
    <numFmt numFmtId="167" formatCode="0.000000000000"/>
    <numFmt numFmtId="168" formatCode="0.000000"/>
    <numFmt numFmtId="169" formatCode="#,##0.00000"/>
    <numFmt numFmtId="170" formatCode="0.0%"/>
    <numFmt numFmtId="171" formatCode="#,##0.000"/>
  </numFmts>
  <fonts count="11">
    <font>
      <sz val="11"/>
      <color theme="1"/>
      <name val="Calibri"/>
      <charset val="1"/>
    </font>
    <font>
      <b/>
      <sz val="11"/>
      <color rgb="FFFFFFFF"/>
      <name val="Calibri"/>
      <charset val="1"/>
    </font>
    <font>
      <b/>
      <sz val="11"/>
      <name val="Cambria"/>
      <charset val="1"/>
    </font>
    <font>
      <b/>
      <sz val="11"/>
      <color rgb="FF153452"/>
      <name val="Calibri"/>
      <charset val="1"/>
    </font>
    <font>
      <sz val="11"/>
      <color rgb="FF153452"/>
      <name val="Calibri"/>
      <charset val="1"/>
    </font>
    <font>
      <sz val="11"/>
      <color rgb="FF2154A6"/>
      <name val="Calibri"/>
      <charset val="1"/>
    </font>
    <font>
      <sz val="11"/>
      <name val="Cambria"/>
      <charset val="1"/>
    </font>
    <font>
      <b/>
      <sz val="16"/>
      <color rgb="FFFFFFFF"/>
      <name val="Calibri"/>
      <charset val="1"/>
    </font>
    <font>
      <sz val="11"/>
      <color rgb="FF22545B"/>
      <name val="Calibri"/>
      <charset val="1"/>
    </font>
    <font>
      <b/>
      <sz val="11"/>
      <color theme="1"/>
      <name val="Calibri"/>
      <charset val="1"/>
    </font>
    <font>
      <b/>
      <sz val="11"/>
      <color rgb="FF145A64"/>
      <name val="Calibri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6"/>
        <bgColor rgb="FF969696"/>
      </patternFill>
    </fill>
    <fill>
      <patternFill patternType="solid">
        <fgColor rgb="FF28445E"/>
        <bgColor rgb="FF204567"/>
      </patternFill>
    </fill>
    <fill>
      <patternFill patternType="solid">
        <fgColor rgb="FF164E63"/>
        <bgColor rgb="FF22545B"/>
      </patternFill>
    </fill>
    <fill>
      <patternFill patternType="solid">
        <fgColor rgb="FF115E68"/>
        <bgColor rgb="FF145A64"/>
      </patternFill>
    </fill>
    <fill>
      <patternFill patternType="solid">
        <fgColor rgb="FF145A64"/>
        <bgColor rgb="FF115E68"/>
      </patternFill>
    </fill>
    <fill>
      <patternFill patternType="solid">
        <fgColor rgb="FF204567"/>
        <bgColor rgb="FF28445E"/>
      </patternFill>
    </fill>
    <fill>
      <patternFill patternType="solid">
        <fgColor rgb="FF153452"/>
        <bgColor rgb="FF204567"/>
      </patternFill>
    </fill>
    <fill>
      <patternFill patternType="solid">
        <fgColor rgb="FFEDEDED"/>
        <bgColor rgb="FFF0F5F5"/>
      </patternFill>
    </fill>
    <fill>
      <patternFill patternType="solid">
        <fgColor rgb="FFFFF2CC"/>
        <bgColor rgb="FFEDEDED"/>
      </patternFill>
    </fill>
    <fill>
      <patternFill patternType="solid">
        <fgColor rgb="FFE2F1F1"/>
        <bgColor rgb="FFEDEDED"/>
      </patternFill>
    </fill>
    <fill>
      <patternFill patternType="solid">
        <fgColor rgb="FFF0F5F5"/>
        <bgColor rgb="FFEDEDED"/>
      </patternFill>
    </fill>
    <fill>
      <patternFill patternType="solid">
        <fgColor rgb="FFFFFFFF"/>
        <bgColor rgb="FFF0F5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14" borderId="0" xfId="0" applyFont="1" applyFill="1" applyBorder="1" applyAlignment="1">
      <alignment wrapText="1"/>
    </xf>
    <xf numFmtId="0" fontId="0" fillId="13" borderId="0" xfId="0" applyFont="1" applyFill="1" applyBorder="1" applyAlignment="1">
      <alignment wrapText="1"/>
    </xf>
    <xf numFmtId="0" fontId="7" fillId="7" borderId="0" xfId="0" applyFont="1" applyFill="1" applyBorder="1" applyAlignment="1">
      <alignment vertical="center"/>
    </xf>
    <xf numFmtId="0" fontId="0" fillId="0" borderId="0" xfId="0" applyFont="1"/>
    <xf numFmtId="0" fontId="0" fillId="2" borderId="0" xfId="0" applyFont="1" applyFill="1"/>
    <xf numFmtId="0" fontId="0" fillId="3" borderId="0" xfId="0" applyFont="1" applyFill="1"/>
    <xf numFmtId="0" fontId="1" fillId="4" borderId="0" xfId="0" applyFont="1" applyFill="1"/>
    <xf numFmtId="164" fontId="0" fillId="0" borderId="0" xfId="0" applyNumberFormat="1"/>
    <xf numFmtId="0" fontId="0" fillId="0" borderId="0" xfId="0" applyFont="1" applyAlignment="1">
      <alignment wrapText="1"/>
    </xf>
    <xf numFmtId="0" fontId="2" fillId="0" borderId="0" xfId="0" applyFont="1"/>
    <xf numFmtId="0" fontId="1" fillId="5" borderId="0" xfId="0" applyFont="1" applyFill="1" applyAlignment="1">
      <alignment wrapText="1"/>
    </xf>
    <xf numFmtId="165" fontId="0" fillId="0" borderId="0" xfId="0" applyNumberFormat="1"/>
    <xf numFmtId="3" fontId="0" fillId="0" borderId="0" xfId="0" applyNumberFormat="1"/>
    <xf numFmtId="166" fontId="0" fillId="0" borderId="0" xfId="0" applyNumberFormat="1"/>
    <xf numFmtId="0" fontId="1" fillId="6" borderId="0" xfId="0" applyFont="1" applyFill="1" applyAlignment="1">
      <alignment wrapText="1"/>
    </xf>
    <xf numFmtId="1" fontId="0" fillId="0" borderId="0" xfId="0" applyNumberFormat="1"/>
    <xf numFmtId="0" fontId="1" fillId="7" borderId="0" xfId="0" applyFont="1" applyFill="1" applyAlignment="1">
      <alignment vertical="center"/>
    </xf>
    <xf numFmtId="167" fontId="0" fillId="0" borderId="0" xfId="0" applyNumberFormat="1"/>
    <xf numFmtId="0" fontId="1" fillId="8" borderId="0" xfId="0" applyFont="1" applyFill="1"/>
    <xf numFmtId="168" fontId="0" fillId="0" borderId="0" xfId="0" applyNumberFormat="1"/>
    <xf numFmtId="0" fontId="1" fillId="9" borderId="0" xfId="0" applyFont="1" applyFill="1" applyAlignment="1">
      <alignment vertical="center" wrapText="1"/>
    </xf>
    <xf numFmtId="0" fontId="3" fillId="0" borderId="0" xfId="0" applyFont="1"/>
    <xf numFmtId="164" fontId="4" fillId="0" borderId="0" xfId="0" applyNumberFormat="1" applyFont="1"/>
    <xf numFmtId="3" fontId="4" fillId="0" borderId="0" xfId="0" applyNumberFormat="1" applyFont="1"/>
    <xf numFmtId="1" fontId="4" fillId="0" borderId="0" xfId="0" applyNumberFormat="1" applyFont="1"/>
    <xf numFmtId="166" fontId="5" fillId="0" borderId="0" xfId="0" applyNumberFormat="1" applyFont="1"/>
    <xf numFmtId="9" fontId="5" fillId="0" borderId="0" xfId="0" applyNumberFormat="1" applyFont="1"/>
    <xf numFmtId="0" fontId="2" fillId="10" borderId="0" xfId="0" applyFont="1" applyFill="1"/>
    <xf numFmtId="0" fontId="2" fillId="11" borderId="0" xfId="0" applyFont="1" applyFill="1"/>
    <xf numFmtId="0" fontId="0" fillId="11" borderId="0" xfId="0" applyFill="1"/>
    <xf numFmtId="0" fontId="6" fillId="0" borderId="0" xfId="0" applyFont="1"/>
    <xf numFmtId="4" fontId="0" fillId="0" borderId="0" xfId="0" applyNumberFormat="1"/>
    <xf numFmtId="0" fontId="1" fillId="7" borderId="0" xfId="0" applyFont="1" applyFill="1"/>
    <xf numFmtId="169" fontId="0" fillId="0" borderId="0" xfId="0" applyNumberFormat="1"/>
    <xf numFmtId="0" fontId="1" fillId="7" borderId="0" xfId="0" applyFont="1" applyFill="1" applyAlignment="1">
      <alignment wrapText="1"/>
    </xf>
    <xf numFmtId="170" fontId="0" fillId="0" borderId="0" xfId="0" applyNumberFormat="1"/>
    <xf numFmtId="171" fontId="0" fillId="0" borderId="0" xfId="0" applyNumberFormat="1"/>
    <xf numFmtId="0" fontId="9" fillId="12" borderId="0" xfId="0" applyFont="1" applyFill="1"/>
    <xf numFmtId="3" fontId="9" fillId="12" borderId="0" xfId="0" applyNumberFormat="1" applyFont="1" applyFill="1"/>
    <xf numFmtId="0" fontId="10" fillId="12" borderId="0" xfId="0" applyFont="1" applyFill="1"/>
    <xf numFmtId="170" fontId="10" fillId="12" borderId="0" xfId="0" applyNumberFormat="1" applyFont="1" applyFill="1"/>
    <xf numFmtId="167" fontId="10" fillId="12" borderId="0" xfId="0" applyNumberFormat="1" applyFont="1" applyFill="1"/>
    <xf numFmtId="171" fontId="10" fillId="12" borderId="0" xfId="0" applyNumberFormat="1" applyFont="1" applyFill="1"/>
    <xf numFmtId="0" fontId="0" fillId="13" borderId="0" xfId="0" applyFont="1" applyFill="1" applyAlignment="1">
      <alignment wrapText="1"/>
    </xf>
    <xf numFmtId="0" fontId="0" fillId="14" borderId="0" xfId="0" applyFont="1" applyFill="1" applyAlignment="1">
      <alignment wrapText="1"/>
    </xf>
    <xf numFmtId="0" fontId="8" fillId="12" borderId="0" xfId="0" applyFont="1" applyFill="1" applyBorder="1" applyAlignment="1"/>
    <xf numFmtId="0" fontId="0" fillId="0" borderId="0" xfId="0" applyFont="1" applyBorder="1" applyAlignment="1"/>
    <xf numFmtId="0" fontId="1" fillId="7" borderId="0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15E68"/>
      <rgbColor rgb="FFC0C0C0"/>
      <rgbColor rgb="FF808080"/>
      <rgbColor rgb="FF9999FF"/>
      <rgbColor rgb="FF993366"/>
      <rgbColor rgb="FFFFF2CC"/>
      <rgbColor rgb="FFE2F1F1"/>
      <rgbColor rgb="FF660066"/>
      <rgbColor rgb="FFFF8080"/>
      <rgbColor rgb="FF2154A6"/>
      <rgbColor rgb="FFCCCCFF"/>
      <rgbColor rgb="FF000080"/>
      <rgbColor rgb="FFFF00FF"/>
      <rgbColor rgb="FFFFFF00"/>
      <rgbColor rgb="FF00FFFF"/>
      <rgbColor rgb="FF800080"/>
      <rgbColor rgb="FF800000"/>
      <rgbColor rgb="FF145A64"/>
      <rgbColor rgb="FF0000FF"/>
      <rgbColor rgb="FF00CCFF"/>
      <rgbColor rgb="FFF0F5F5"/>
      <rgbColor rgb="FFEDEDED"/>
      <rgbColor rgb="FFFFFF99"/>
      <rgbColor rgb="FF99CCFF"/>
      <rgbColor rgb="FFFF99CC"/>
      <rgbColor rgb="FFCC99FF"/>
      <rgbColor rgb="FFFFCC99"/>
      <rgbColor rgb="FF3366FF"/>
      <rgbColor rgb="FF33CCCC"/>
      <rgbColor rgb="FF9BBB59"/>
      <rgbColor rgb="FFFFCC00"/>
      <rgbColor rgb="FFFF9900"/>
      <rgbColor rgb="FFFF6600"/>
      <rgbColor rgb="FF666699"/>
      <rgbColor rgb="FF969696"/>
      <rgbColor rgb="FF153452"/>
      <rgbColor rgb="FF339966"/>
      <rgbColor rgb="FF164E63"/>
      <rgbColor rgb="FF22545B"/>
      <rgbColor rgb="FF993300"/>
      <rgbColor rgb="FF993366"/>
      <rgbColor rgb="FF204567"/>
      <rgbColor rgb="FF28445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3"/>
  <sheetViews>
    <sheetView tabSelected="1" zoomScaleNormal="100" workbookViewId="0">
      <selection activeCell="A4" sqref="A4"/>
    </sheetView>
  </sheetViews>
  <sheetFormatPr defaultColWidth="8.7109375" defaultRowHeight="15"/>
  <cols>
    <col min="1" max="1" width="100.7109375" customWidth="1"/>
  </cols>
  <sheetData>
    <row r="1" spans="1:2">
      <c r="A1" t="s">
        <v>0</v>
      </c>
      <c r="B1" s="4" t="s">
        <v>1</v>
      </c>
    </row>
    <row r="2" spans="1:2">
      <c r="A2" s="5" t="s">
        <v>2</v>
      </c>
      <c r="B2" s="4" t="s">
        <v>3</v>
      </c>
    </row>
    <row r="3" spans="1:2">
      <c r="A3" s="5" t="s">
        <v>4</v>
      </c>
      <c r="B3" s="4" t="s">
        <v>5</v>
      </c>
    </row>
    <row r="4" spans="1:2">
      <c r="A4" s="6" t="s">
        <v>6</v>
      </c>
      <c r="B4" s="4" t="s">
        <v>7</v>
      </c>
    </row>
    <row r="5" spans="1:2">
      <c r="A5" s="6" t="s">
        <v>8</v>
      </c>
      <c r="B5" s="4" t="s">
        <v>9</v>
      </c>
    </row>
    <row r="6" spans="1:2">
      <c r="A6" t="s">
        <v>10</v>
      </c>
      <c r="B6" s="4" t="s">
        <v>11</v>
      </c>
    </row>
    <row r="7" spans="1:2">
      <c r="A7" t="s">
        <v>12</v>
      </c>
      <c r="B7" s="4" t="s">
        <v>13</v>
      </c>
    </row>
    <row r="8" spans="1:2">
      <c r="A8" t="s">
        <v>14</v>
      </c>
      <c r="B8" s="4" t="s">
        <v>15</v>
      </c>
    </row>
    <row r="9" spans="1:2">
      <c r="A9" s="6" t="s">
        <v>16</v>
      </c>
      <c r="B9" s="4" t="s">
        <v>17</v>
      </c>
    </row>
    <row r="10" spans="1:2">
      <c r="A10" t="s">
        <v>18</v>
      </c>
      <c r="B10" s="4" t="s">
        <v>19</v>
      </c>
    </row>
    <row r="11" spans="1:2">
      <c r="A11" s="6" t="s">
        <v>20</v>
      </c>
      <c r="B11" s="4" t="s">
        <v>21</v>
      </c>
    </row>
    <row r="12" spans="1:2">
      <c r="A12" t="s">
        <v>22</v>
      </c>
      <c r="B12" s="4" t="s">
        <v>23</v>
      </c>
    </row>
    <row r="13" spans="1:2">
      <c r="A13" t="s">
        <v>24</v>
      </c>
      <c r="B13" s="4" t="s">
        <v>25</v>
      </c>
    </row>
    <row r="14" spans="1:2">
      <c r="A14" t="s">
        <v>26</v>
      </c>
      <c r="B14" s="4" t="s">
        <v>27</v>
      </c>
    </row>
    <row r="15" spans="1:2">
      <c r="A15" s="6" t="s">
        <v>28</v>
      </c>
      <c r="B15" s="4" t="s">
        <v>29</v>
      </c>
    </row>
    <row r="16" spans="1:2">
      <c r="A16" t="s">
        <v>30</v>
      </c>
      <c r="B16" s="4" t="s">
        <v>31</v>
      </c>
    </row>
    <row r="18" spans="1:2" ht="24" customHeight="1">
      <c r="A18" s="7" t="s">
        <v>32</v>
      </c>
      <c r="B18" s="7" t="s">
        <v>33</v>
      </c>
    </row>
    <row r="19" spans="1:2">
      <c r="A19" t="s">
        <v>34</v>
      </c>
      <c r="B19" s="8">
        <v>0.5</v>
      </c>
    </row>
    <row r="20" spans="1:2">
      <c r="A20" t="s">
        <v>35</v>
      </c>
      <c r="B20" s="8">
        <v>2</v>
      </c>
    </row>
    <row r="21" spans="1:2" ht="36" customHeight="1">
      <c r="A21" t="s">
        <v>36</v>
      </c>
      <c r="B21" s="9" t="s">
        <v>37</v>
      </c>
    </row>
    <row r="22" spans="1:2" ht="36" customHeight="1">
      <c r="A22" t="s">
        <v>38</v>
      </c>
      <c r="B22" s="9" t="s">
        <v>39</v>
      </c>
    </row>
    <row r="23" spans="1:2">
      <c r="A23" t="s">
        <v>40</v>
      </c>
      <c r="B23" s="4" t="s">
        <v>41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43"/>
  <sheetViews>
    <sheetView zoomScaleNormal="100" workbookViewId="0"/>
  </sheetViews>
  <sheetFormatPr defaultColWidth="8.7109375" defaultRowHeight="15"/>
  <sheetData>
    <row r="1" spans="1:3">
      <c r="A1" t="s">
        <v>42</v>
      </c>
      <c r="B1" t="s">
        <v>43</v>
      </c>
      <c r="C1" t="s">
        <v>44</v>
      </c>
    </row>
    <row r="2" spans="1:3">
      <c r="A2" t="s">
        <v>45</v>
      </c>
      <c r="B2" t="s">
        <v>46</v>
      </c>
      <c r="C2">
        <v>2849</v>
      </c>
    </row>
    <row r="3" spans="1:3">
      <c r="A3" t="s">
        <v>47</v>
      </c>
      <c r="B3" t="s">
        <v>46</v>
      </c>
      <c r="C3">
        <v>5671</v>
      </c>
    </row>
    <row r="4" spans="1:3">
      <c r="A4" t="s">
        <v>48</v>
      </c>
      <c r="B4" t="s">
        <v>46</v>
      </c>
      <c r="C4">
        <v>2170</v>
      </c>
    </row>
    <row r="5" spans="1:3">
      <c r="A5" t="s">
        <v>49</v>
      </c>
      <c r="B5" t="s">
        <v>46</v>
      </c>
      <c r="C5">
        <v>1868</v>
      </c>
    </row>
    <row r="6" spans="1:3">
      <c r="A6" t="s">
        <v>50</v>
      </c>
      <c r="B6" t="s">
        <v>46</v>
      </c>
      <c r="C6">
        <v>1511</v>
      </c>
    </row>
    <row r="7" spans="1:3">
      <c r="A7" t="s">
        <v>51</v>
      </c>
      <c r="B7" t="s">
        <v>46</v>
      </c>
      <c r="C7">
        <v>3068</v>
      </c>
    </row>
    <row r="8" spans="1:3">
      <c r="A8" t="s">
        <v>52</v>
      </c>
      <c r="B8" t="s">
        <v>53</v>
      </c>
      <c r="C8">
        <v>3975</v>
      </c>
    </row>
    <row r="9" spans="1:3">
      <c r="A9" t="s">
        <v>54</v>
      </c>
      <c r="B9" t="s">
        <v>53</v>
      </c>
      <c r="C9">
        <v>3739</v>
      </c>
    </row>
    <row r="10" spans="1:3">
      <c r="A10" t="s">
        <v>55</v>
      </c>
      <c r="B10" t="s">
        <v>53</v>
      </c>
      <c r="C10">
        <v>1825</v>
      </c>
    </row>
    <row r="11" spans="1:3">
      <c r="A11" t="s">
        <v>56</v>
      </c>
      <c r="B11" t="s">
        <v>53</v>
      </c>
      <c r="C11">
        <v>4171</v>
      </c>
    </row>
    <row r="12" spans="1:3">
      <c r="A12" t="s">
        <v>57</v>
      </c>
      <c r="B12" t="s">
        <v>53</v>
      </c>
      <c r="C12">
        <v>2572</v>
      </c>
    </row>
    <row r="13" spans="1:3">
      <c r="A13" t="s">
        <v>58</v>
      </c>
      <c r="B13" t="s">
        <v>53</v>
      </c>
      <c r="C13">
        <v>5622</v>
      </c>
    </row>
    <row r="14" spans="1:3">
      <c r="A14" t="s">
        <v>59</v>
      </c>
      <c r="B14" t="s">
        <v>53</v>
      </c>
      <c r="C14">
        <v>2139</v>
      </c>
    </row>
    <row r="15" spans="1:3">
      <c r="A15" t="s">
        <v>60</v>
      </c>
      <c r="B15" t="s">
        <v>53</v>
      </c>
      <c r="C15">
        <v>5940</v>
      </c>
    </row>
    <row r="16" spans="1:3">
      <c r="A16" t="s">
        <v>61</v>
      </c>
      <c r="B16" t="s">
        <v>53</v>
      </c>
      <c r="C16">
        <v>3093</v>
      </c>
    </row>
    <row r="17" spans="1:3">
      <c r="A17" t="s">
        <v>62</v>
      </c>
      <c r="B17" t="s">
        <v>46</v>
      </c>
      <c r="C17">
        <v>4980</v>
      </c>
    </row>
    <row r="18" spans="1:3">
      <c r="A18" t="s">
        <v>63</v>
      </c>
      <c r="B18" t="s">
        <v>46</v>
      </c>
      <c r="C18">
        <v>4837</v>
      </c>
    </row>
    <row r="19" spans="1:3">
      <c r="A19" t="s">
        <v>64</v>
      </c>
      <c r="B19" t="s">
        <v>46</v>
      </c>
      <c r="C19">
        <v>9872</v>
      </c>
    </row>
    <row r="20" spans="1:3">
      <c r="A20" t="s">
        <v>65</v>
      </c>
      <c r="B20" t="s">
        <v>46</v>
      </c>
      <c r="C20">
        <v>8592</v>
      </c>
    </row>
    <row r="21" spans="1:3">
      <c r="A21" t="s">
        <v>66</v>
      </c>
      <c r="B21" t="s">
        <v>46</v>
      </c>
      <c r="C21">
        <v>5694</v>
      </c>
    </row>
    <row r="22" spans="1:3">
      <c r="A22" t="s">
        <v>67</v>
      </c>
      <c r="B22" t="s">
        <v>46</v>
      </c>
      <c r="C22">
        <v>4952</v>
      </c>
    </row>
    <row r="23" spans="1:3">
      <c r="A23" t="s">
        <v>68</v>
      </c>
      <c r="B23" t="s">
        <v>46</v>
      </c>
      <c r="C23">
        <v>9683</v>
      </c>
    </row>
    <row r="24" spans="1:3">
      <c r="A24" t="s">
        <v>69</v>
      </c>
      <c r="B24" t="s">
        <v>46</v>
      </c>
      <c r="C24">
        <v>3406</v>
      </c>
    </row>
    <row r="25" spans="1:3">
      <c r="A25" t="s">
        <v>70</v>
      </c>
      <c r="B25" t="s">
        <v>46</v>
      </c>
      <c r="C25">
        <v>9275</v>
      </c>
    </row>
    <row r="26" spans="1:3">
      <c r="A26" t="s">
        <v>71</v>
      </c>
      <c r="B26" t="s">
        <v>46</v>
      </c>
      <c r="C26">
        <v>1341</v>
      </c>
    </row>
    <row r="27" spans="1:3">
      <c r="A27" t="s">
        <v>72</v>
      </c>
      <c r="B27" t="s">
        <v>46</v>
      </c>
      <c r="C27">
        <v>2373</v>
      </c>
    </row>
    <row r="28" spans="1:3">
      <c r="A28" t="s">
        <v>73</v>
      </c>
      <c r="B28" t="s">
        <v>46</v>
      </c>
      <c r="C28">
        <v>2279</v>
      </c>
    </row>
    <row r="29" spans="1:3">
      <c r="A29" t="s">
        <v>74</v>
      </c>
      <c r="B29" t="s">
        <v>46</v>
      </c>
      <c r="C29">
        <v>4252</v>
      </c>
    </row>
    <row r="30" spans="1:3">
      <c r="A30" t="s">
        <v>75</v>
      </c>
      <c r="B30" t="s">
        <v>46</v>
      </c>
      <c r="C30">
        <v>2790</v>
      </c>
    </row>
    <row r="31" spans="1:3">
      <c r="A31" t="s">
        <v>76</v>
      </c>
      <c r="B31" t="s">
        <v>46</v>
      </c>
      <c r="C31">
        <v>4569</v>
      </c>
    </row>
    <row r="32" spans="1:3">
      <c r="A32" t="s">
        <v>77</v>
      </c>
      <c r="B32" t="s">
        <v>46</v>
      </c>
      <c r="C32">
        <v>4583</v>
      </c>
    </row>
    <row r="33" spans="1:3">
      <c r="A33" t="s">
        <v>78</v>
      </c>
      <c r="B33" t="s">
        <v>46</v>
      </c>
      <c r="C33">
        <v>3445</v>
      </c>
    </row>
    <row r="34" spans="1:3">
      <c r="A34" t="s">
        <v>79</v>
      </c>
      <c r="B34" t="s">
        <v>80</v>
      </c>
      <c r="C34">
        <v>2671</v>
      </c>
    </row>
    <row r="35" spans="1:3">
      <c r="A35" t="s">
        <v>81</v>
      </c>
      <c r="B35" t="s">
        <v>80</v>
      </c>
      <c r="C35">
        <v>3710</v>
      </c>
    </row>
    <row r="36" spans="1:3">
      <c r="A36" t="s">
        <v>82</v>
      </c>
      <c r="B36" t="s">
        <v>80</v>
      </c>
      <c r="C36">
        <v>4926</v>
      </c>
    </row>
    <row r="37" spans="1:3">
      <c r="A37" t="s">
        <v>83</v>
      </c>
      <c r="B37" t="s">
        <v>80</v>
      </c>
      <c r="C37">
        <v>0</v>
      </c>
    </row>
    <row r="38" spans="1:3">
      <c r="A38" t="s">
        <v>84</v>
      </c>
      <c r="B38" t="s">
        <v>80</v>
      </c>
      <c r="C38">
        <v>7363</v>
      </c>
    </row>
    <row r="39" spans="1:3">
      <c r="A39" t="s">
        <v>85</v>
      </c>
      <c r="B39" t="s">
        <v>80</v>
      </c>
      <c r="C39">
        <v>4784</v>
      </c>
    </row>
    <row r="40" spans="1:3">
      <c r="A40" t="s">
        <v>86</v>
      </c>
      <c r="B40" t="s">
        <v>80</v>
      </c>
      <c r="C40">
        <v>7345</v>
      </c>
    </row>
    <row r="41" spans="1:3">
      <c r="A41" t="s">
        <v>87</v>
      </c>
      <c r="B41" t="s">
        <v>80</v>
      </c>
      <c r="C41">
        <v>3603</v>
      </c>
    </row>
    <row r="42" spans="1:3">
      <c r="A42" t="s">
        <v>88</v>
      </c>
      <c r="B42" t="s">
        <v>80</v>
      </c>
      <c r="C42">
        <v>3128</v>
      </c>
    </row>
    <row r="43" spans="1:3">
      <c r="A43" t="s">
        <v>89</v>
      </c>
      <c r="B43" t="s">
        <v>80</v>
      </c>
      <c r="C43">
        <v>4065</v>
      </c>
    </row>
    <row r="44" spans="1:3">
      <c r="A44" t="s">
        <v>90</v>
      </c>
      <c r="B44" t="s">
        <v>80</v>
      </c>
      <c r="C44">
        <v>3988</v>
      </c>
    </row>
    <row r="45" spans="1:3">
      <c r="A45" t="s">
        <v>91</v>
      </c>
      <c r="B45" t="s">
        <v>80</v>
      </c>
      <c r="C45">
        <v>5003</v>
      </c>
    </row>
    <row r="46" spans="1:3">
      <c r="A46" t="s">
        <v>92</v>
      </c>
      <c r="B46" t="s">
        <v>80</v>
      </c>
      <c r="C46">
        <v>4481</v>
      </c>
    </row>
    <row r="47" spans="1:3">
      <c r="A47" t="s">
        <v>93</v>
      </c>
      <c r="B47" t="s">
        <v>80</v>
      </c>
      <c r="C47">
        <v>2988</v>
      </c>
    </row>
    <row r="48" spans="1:3">
      <c r="A48" t="s">
        <v>94</v>
      </c>
      <c r="B48" t="s">
        <v>80</v>
      </c>
      <c r="C48">
        <v>4219</v>
      </c>
    </row>
    <row r="49" spans="1:3">
      <c r="A49" t="s">
        <v>95</v>
      </c>
      <c r="B49" t="s">
        <v>80</v>
      </c>
      <c r="C49">
        <v>4001</v>
      </c>
    </row>
    <row r="50" spans="1:3">
      <c r="A50" t="s">
        <v>96</v>
      </c>
      <c r="B50" t="s">
        <v>80</v>
      </c>
      <c r="C50">
        <v>5507</v>
      </c>
    </row>
    <row r="51" spans="1:3">
      <c r="A51" t="s">
        <v>97</v>
      </c>
      <c r="B51" t="s">
        <v>80</v>
      </c>
      <c r="C51">
        <v>3798</v>
      </c>
    </row>
    <row r="52" spans="1:3">
      <c r="A52" t="s">
        <v>98</v>
      </c>
      <c r="B52" t="s">
        <v>99</v>
      </c>
      <c r="C52">
        <v>3897</v>
      </c>
    </row>
    <row r="53" spans="1:3">
      <c r="A53" t="s">
        <v>100</v>
      </c>
      <c r="B53" t="s">
        <v>99</v>
      </c>
      <c r="C53">
        <v>3645</v>
      </c>
    </row>
    <row r="54" spans="1:3">
      <c r="A54" t="s">
        <v>101</v>
      </c>
      <c r="B54" t="s">
        <v>99</v>
      </c>
      <c r="C54">
        <v>4028</v>
      </c>
    </row>
    <row r="55" spans="1:3">
      <c r="A55" t="s">
        <v>102</v>
      </c>
      <c r="B55" t="s">
        <v>99</v>
      </c>
      <c r="C55">
        <v>4247</v>
      </c>
    </row>
    <row r="56" spans="1:3">
      <c r="A56" t="s">
        <v>103</v>
      </c>
      <c r="B56" t="s">
        <v>99</v>
      </c>
      <c r="C56">
        <v>4493</v>
      </c>
    </row>
    <row r="57" spans="1:3">
      <c r="A57" t="s">
        <v>104</v>
      </c>
      <c r="B57" t="s">
        <v>99</v>
      </c>
      <c r="C57">
        <v>5041</v>
      </c>
    </row>
    <row r="58" spans="1:3">
      <c r="A58" t="s">
        <v>105</v>
      </c>
      <c r="B58" t="s">
        <v>99</v>
      </c>
      <c r="C58">
        <v>9208</v>
      </c>
    </row>
    <row r="59" spans="1:3">
      <c r="A59" t="s">
        <v>106</v>
      </c>
      <c r="B59" t="s">
        <v>99</v>
      </c>
      <c r="C59">
        <v>3432</v>
      </c>
    </row>
    <row r="60" spans="1:3">
      <c r="A60" t="s">
        <v>107</v>
      </c>
      <c r="B60" t="s">
        <v>53</v>
      </c>
      <c r="C60">
        <v>4393</v>
      </c>
    </row>
    <row r="61" spans="1:3">
      <c r="A61" t="s">
        <v>108</v>
      </c>
      <c r="B61" t="s">
        <v>53</v>
      </c>
      <c r="C61">
        <v>2812</v>
      </c>
    </row>
    <row r="62" spans="1:3">
      <c r="A62" t="s">
        <v>109</v>
      </c>
      <c r="B62" t="s">
        <v>53</v>
      </c>
      <c r="C62">
        <v>4686</v>
      </c>
    </row>
    <row r="63" spans="1:3">
      <c r="A63" t="s">
        <v>110</v>
      </c>
      <c r="B63" t="s">
        <v>53</v>
      </c>
      <c r="C63">
        <v>3857</v>
      </c>
    </row>
    <row r="64" spans="1:3">
      <c r="A64" t="s">
        <v>111</v>
      </c>
      <c r="B64" t="s">
        <v>53</v>
      </c>
      <c r="C64">
        <v>4425</v>
      </c>
    </row>
    <row r="65" spans="1:3">
      <c r="A65" t="s">
        <v>112</v>
      </c>
      <c r="B65" t="s">
        <v>53</v>
      </c>
      <c r="C65">
        <v>3803</v>
      </c>
    </row>
    <row r="66" spans="1:3">
      <c r="A66" t="s">
        <v>113</v>
      </c>
      <c r="B66" t="s">
        <v>53</v>
      </c>
      <c r="C66">
        <v>3899</v>
      </c>
    </row>
    <row r="67" spans="1:3">
      <c r="A67" t="s">
        <v>114</v>
      </c>
      <c r="B67" t="s">
        <v>53</v>
      </c>
      <c r="C67">
        <v>3348</v>
      </c>
    </row>
    <row r="68" spans="1:3">
      <c r="A68" t="s">
        <v>115</v>
      </c>
      <c r="B68" t="s">
        <v>53</v>
      </c>
      <c r="C68">
        <v>3343</v>
      </c>
    </row>
    <row r="69" spans="1:3">
      <c r="A69" t="s">
        <v>116</v>
      </c>
      <c r="B69" t="s">
        <v>53</v>
      </c>
      <c r="C69">
        <v>4108</v>
      </c>
    </row>
    <row r="70" spans="1:3">
      <c r="A70" t="s">
        <v>117</v>
      </c>
      <c r="B70" t="s">
        <v>53</v>
      </c>
      <c r="C70">
        <v>2900</v>
      </c>
    </row>
    <row r="71" spans="1:3">
      <c r="A71" t="s">
        <v>118</v>
      </c>
      <c r="B71" t="s">
        <v>53</v>
      </c>
      <c r="C71">
        <v>3344</v>
      </c>
    </row>
    <row r="72" spans="1:3">
      <c r="A72" t="s">
        <v>119</v>
      </c>
      <c r="B72" t="s">
        <v>53</v>
      </c>
      <c r="C72">
        <v>2223</v>
      </c>
    </row>
    <row r="73" spans="1:3">
      <c r="A73" t="s">
        <v>120</v>
      </c>
      <c r="B73" t="s">
        <v>53</v>
      </c>
      <c r="C73">
        <v>3462</v>
      </c>
    </row>
    <row r="74" spans="1:3">
      <c r="A74" t="s">
        <v>121</v>
      </c>
      <c r="B74" t="s">
        <v>53</v>
      </c>
      <c r="C74">
        <v>4017</v>
      </c>
    </row>
    <row r="75" spans="1:3">
      <c r="A75" t="s">
        <v>122</v>
      </c>
      <c r="B75" t="s">
        <v>53</v>
      </c>
      <c r="C75">
        <v>3473</v>
      </c>
    </row>
    <row r="76" spans="1:3">
      <c r="A76" t="s">
        <v>123</v>
      </c>
      <c r="B76" t="s">
        <v>53</v>
      </c>
      <c r="C76">
        <v>2867</v>
      </c>
    </row>
    <row r="77" spans="1:3">
      <c r="A77" t="s">
        <v>124</v>
      </c>
      <c r="B77" t="s">
        <v>53</v>
      </c>
      <c r="C77">
        <v>2043</v>
      </c>
    </row>
    <row r="78" spans="1:3">
      <c r="A78" t="s">
        <v>125</v>
      </c>
      <c r="B78" t="s">
        <v>53</v>
      </c>
      <c r="C78">
        <v>2931</v>
      </c>
    </row>
    <row r="79" spans="1:3">
      <c r="A79" t="s">
        <v>126</v>
      </c>
      <c r="B79" t="s">
        <v>53</v>
      </c>
      <c r="C79">
        <v>2771</v>
      </c>
    </row>
    <row r="80" spans="1:3">
      <c r="A80" t="s">
        <v>127</v>
      </c>
      <c r="B80" t="s">
        <v>53</v>
      </c>
      <c r="C80">
        <v>3714</v>
      </c>
    </row>
    <row r="81" spans="1:3">
      <c r="A81" t="s">
        <v>128</v>
      </c>
      <c r="B81" t="s">
        <v>53</v>
      </c>
      <c r="C81">
        <v>2125</v>
      </c>
    </row>
    <row r="82" spans="1:3">
      <c r="A82" t="s">
        <v>129</v>
      </c>
      <c r="B82" t="s">
        <v>53</v>
      </c>
      <c r="C82">
        <v>2961</v>
      </c>
    </row>
    <row r="83" spans="1:3">
      <c r="A83" t="s">
        <v>130</v>
      </c>
      <c r="B83" t="s">
        <v>53</v>
      </c>
      <c r="C83">
        <v>4117</v>
      </c>
    </row>
    <row r="84" spans="1:3">
      <c r="A84" t="s">
        <v>131</v>
      </c>
      <c r="B84" t="s">
        <v>53</v>
      </c>
      <c r="C84">
        <v>3877</v>
      </c>
    </row>
    <row r="85" spans="1:3">
      <c r="A85" t="s">
        <v>132</v>
      </c>
      <c r="B85" t="s">
        <v>53</v>
      </c>
      <c r="C85">
        <v>3710</v>
      </c>
    </row>
    <row r="86" spans="1:3">
      <c r="A86" t="s">
        <v>133</v>
      </c>
      <c r="B86" t="s">
        <v>53</v>
      </c>
      <c r="C86">
        <v>4212</v>
      </c>
    </row>
    <row r="87" spans="1:3">
      <c r="A87" t="s">
        <v>134</v>
      </c>
      <c r="B87" t="s">
        <v>53</v>
      </c>
      <c r="C87">
        <v>1912</v>
      </c>
    </row>
    <row r="88" spans="1:3">
      <c r="A88" t="s">
        <v>135</v>
      </c>
      <c r="B88" t="s">
        <v>80</v>
      </c>
      <c r="C88">
        <v>1726</v>
      </c>
    </row>
    <row r="89" spans="1:3">
      <c r="A89" t="s">
        <v>136</v>
      </c>
      <c r="B89" t="s">
        <v>80</v>
      </c>
      <c r="C89">
        <v>3573</v>
      </c>
    </row>
    <row r="90" spans="1:3">
      <c r="A90" t="s">
        <v>137</v>
      </c>
      <c r="B90" t="s">
        <v>80</v>
      </c>
      <c r="C90">
        <v>4580</v>
      </c>
    </row>
    <row r="91" spans="1:3">
      <c r="A91" t="s">
        <v>138</v>
      </c>
      <c r="B91" t="s">
        <v>80</v>
      </c>
      <c r="C91">
        <v>3112</v>
      </c>
    </row>
    <row r="92" spans="1:3">
      <c r="A92" t="s">
        <v>139</v>
      </c>
      <c r="B92" t="s">
        <v>80</v>
      </c>
      <c r="C92">
        <v>2961</v>
      </c>
    </row>
    <row r="93" spans="1:3">
      <c r="A93" t="s">
        <v>140</v>
      </c>
      <c r="B93" t="s">
        <v>80</v>
      </c>
      <c r="C93">
        <v>3926</v>
      </c>
    </row>
    <row r="94" spans="1:3">
      <c r="A94" t="s">
        <v>141</v>
      </c>
      <c r="B94" t="s">
        <v>80</v>
      </c>
      <c r="C94">
        <v>4352</v>
      </c>
    </row>
    <row r="95" spans="1:3">
      <c r="A95" t="s">
        <v>142</v>
      </c>
      <c r="B95" t="s">
        <v>80</v>
      </c>
      <c r="C95">
        <v>3555</v>
      </c>
    </row>
    <row r="96" spans="1:3">
      <c r="A96" t="s">
        <v>143</v>
      </c>
      <c r="B96" t="s">
        <v>80</v>
      </c>
      <c r="C96">
        <v>5192</v>
      </c>
    </row>
    <row r="97" spans="1:3">
      <c r="A97" t="s">
        <v>144</v>
      </c>
      <c r="B97" t="s">
        <v>80</v>
      </c>
      <c r="C97">
        <v>4664</v>
      </c>
    </row>
    <row r="98" spans="1:3">
      <c r="A98" t="s">
        <v>145</v>
      </c>
      <c r="B98" t="s">
        <v>80</v>
      </c>
      <c r="C98">
        <v>3681</v>
      </c>
    </row>
    <row r="99" spans="1:3">
      <c r="A99" t="s">
        <v>146</v>
      </c>
      <c r="B99" t="s">
        <v>80</v>
      </c>
      <c r="C99">
        <v>3850</v>
      </c>
    </row>
    <row r="100" spans="1:3">
      <c r="A100" t="s">
        <v>147</v>
      </c>
      <c r="B100" t="s">
        <v>80</v>
      </c>
      <c r="C100">
        <v>5150</v>
      </c>
    </row>
    <row r="101" spans="1:3">
      <c r="A101" t="s">
        <v>148</v>
      </c>
      <c r="B101" t="s">
        <v>80</v>
      </c>
      <c r="C101">
        <v>5165</v>
      </c>
    </row>
    <row r="102" spans="1:3">
      <c r="A102" t="s">
        <v>149</v>
      </c>
      <c r="B102" t="s">
        <v>80</v>
      </c>
      <c r="C102">
        <v>3012</v>
      </c>
    </row>
    <row r="103" spans="1:3">
      <c r="A103" t="s">
        <v>150</v>
      </c>
      <c r="B103" t="s">
        <v>80</v>
      </c>
      <c r="C103">
        <v>4281</v>
      </c>
    </row>
    <row r="104" spans="1:3">
      <c r="A104" t="s">
        <v>151</v>
      </c>
      <c r="B104" t="s">
        <v>99</v>
      </c>
      <c r="C104">
        <v>4591</v>
      </c>
    </row>
    <row r="105" spans="1:3">
      <c r="A105" t="s">
        <v>152</v>
      </c>
      <c r="B105" t="s">
        <v>99</v>
      </c>
      <c r="C105">
        <v>3786</v>
      </c>
    </row>
    <row r="106" spans="1:3">
      <c r="A106" t="s">
        <v>153</v>
      </c>
      <c r="B106" t="s">
        <v>99</v>
      </c>
      <c r="C106">
        <v>3885</v>
      </c>
    </row>
    <row r="107" spans="1:3">
      <c r="A107" t="s">
        <v>154</v>
      </c>
      <c r="B107" t="s">
        <v>99</v>
      </c>
      <c r="C107">
        <v>2967</v>
      </c>
    </row>
    <row r="108" spans="1:3">
      <c r="A108" t="s">
        <v>155</v>
      </c>
      <c r="B108" t="s">
        <v>99</v>
      </c>
      <c r="C108">
        <v>3490</v>
      </c>
    </row>
    <row r="109" spans="1:3">
      <c r="A109" t="s">
        <v>156</v>
      </c>
      <c r="B109" t="s">
        <v>99</v>
      </c>
      <c r="C109">
        <v>4208</v>
      </c>
    </row>
    <row r="110" spans="1:3">
      <c r="A110" t="s">
        <v>157</v>
      </c>
      <c r="B110" t="s">
        <v>99</v>
      </c>
      <c r="C110">
        <v>5545</v>
      </c>
    </row>
    <row r="111" spans="1:3">
      <c r="A111" t="s">
        <v>158</v>
      </c>
      <c r="B111" t="s">
        <v>99</v>
      </c>
      <c r="C111">
        <v>1541</v>
      </c>
    </row>
    <row r="112" spans="1:3">
      <c r="A112" t="s">
        <v>159</v>
      </c>
      <c r="B112" t="s">
        <v>99</v>
      </c>
      <c r="C112">
        <v>2388</v>
      </c>
    </row>
    <row r="113" spans="1:3">
      <c r="A113" t="s">
        <v>160</v>
      </c>
      <c r="B113" t="s">
        <v>99</v>
      </c>
      <c r="C113">
        <v>2515</v>
      </c>
    </row>
    <row r="114" spans="1:3">
      <c r="A114" t="s">
        <v>161</v>
      </c>
      <c r="B114" t="s">
        <v>99</v>
      </c>
      <c r="C114">
        <v>3726</v>
      </c>
    </row>
    <row r="115" spans="1:3">
      <c r="A115" t="s">
        <v>162</v>
      </c>
      <c r="B115" t="s">
        <v>99</v>
      </c>
      <c r="C115">
        <v>3481</v>
      </c>
    </row>
    <row r="116" spans="1:3">
      <c r="A116" t="s">
        <v>163</v>
      </c>
      <c r="B116" t="s">
        <v>99</v>
      </c>
      <c r="C116">
        <v>5054</v>
      </c>
    </row>
    <row r="117" spans="1:3">
      <c r="A117" t="s">
        <v>164</v>
      </c>
      <c r="B117" t="s">
        <v>99</v>
      </c>
      <c r="C117">
        <v>4565</v>
      </c>
    </row>
    <row r="118" spans="1:3">
      <c r="A118" t="s">
        <v>165</v>
      </c>
      <c r="B118" t="s">
        <v>99</v>
      </c>
      <c r="C118">
        <v>4302</v>
      </c>
    </row>
    <row r="119" spans="1:3">
      <c r="A119" t="s">
        <v>166</v>
      </c>
      <c r="B119" t="s">
        <v>99</v>
      </c>
      <c r="C119">
        <v>4114</v>
      </c>
    </row>
    <row r="120" spans="1:3">
      <c r="A120" t="s">
        <v>167</v>
      </c>
      <c r="B120" t="s">
        <v>99</v>
      </c>
      <c r="C120">
        <v>4648</v>
      </c>
    </row>
    <row r="121" spans="1:3">
      <c r="A121" t="s">
        <v>168</v>
      </c>
      <c r="B121" t="s">
        <v>99</v>
      </c>
      <c r="C121">
        <v>3892</v>
      </c>
    </row>
    <row r="122" spans="1:3">
      <c r="A122" t="s">
        <v>169</v>
      </c>
      <c r="B122" t="s">
        <v>99</v>
      </c>
      <c r="C122">
        <v>2779</v>
      </c>
    </row>
    <row r="123" spans="1:3">
      <c r="A123" t="s">
        <v>170</v>
      </c>
      <c r="B123" t="s">
        <v>80</v>
      </c>
      <c r="C123">
        <v>7145</v>
      </c>
    </row>
    <row r="124" spans="1:3">
      <c r="A124" t="s">
        <v>171</v>
      </c>
      <c r="B124" t="s">
        <v>80</v>
      </c>
      <c r="C124">
        <v>3382</v>
      </c>
    </row>
    <row r="125" spans="1:3">
      <c r="A125" t="s">
        <v>172</v>
      </c>
      <c r="B125" t="s">
        <v>80</v>
      </c>
      <c r="C125">
        <v>4835</v>
      </c>
    </row>
    <row r="126" spans="1:3">
      <c r="A126" t="s">
        <v>173</v>
      </c>
      <c r="B126" t="s">
        <v>80</v>
      </c>
      <c r="C126">
        <v>1931</v>
      </c>
    </row>
    <row r="127" spans="1:3">
      <c r="A127" t="s">
        <v>174</v>
      </c>
      <c r="B127" t="s">
        <v>80</v>
      </c>
      <c r="C127">
        <v>4371</v>
      </c>
    </row>
    <row r="128" spans="1:3">
      <c r="A128" t="s">
        <v>175</v>
      </c>
      <c r="B128" t="s">
        <v>80</v>
      </c>
      <c r="C128">
        <v>26</v>
      </c>
    </row>
    <row r="129" spans="1:3">
      <c r="A129" t="s">
        <v>176</v>
      </c>
      <c r="B129" t="s">
        <v>80</v>
      </c>
      <c r="C129">
        <v>4012</v>
      </c>
    </row>
    <row r="130" spans="1:3">
      <c r="A130" t="s">
        <v>177</v>
      </c>
      <c r="B130" t="s">
        <v>80</v>
      </c>
      <c r="C130">
        <v>2361</v>
      </c>
    </row>
    <row r="131" spans="1:3">
      <c r="A131" t="s">
        <v>178</v>
      </c>
      <c r="B131" t="s">
        <v>80</v>
      </c>
      <c r="C131">
        <v>4419</v>
      </c>
    </row>
    <row r="132" spans="1:3">
      <c r="A132" t="s">
        <v>179</v>
      </c>
      <c r="B132" t="s">
        <v>46</v>
      </c>
      <c r="C132">
        <v>4825</v>
      </c>
    </row>
    <row r="133" spans="1:3">
      <c r="A133" t="s">
        <v>180</v>
      </c>
      <c r="B133" t="s">
        <v>46</v>
      </c>
      <c r="C133">
        <v>2895</v>
      </c>
    </row>
    <row r="134" spans="1:3">
      <c r="A134" t="s">
        <v>181</v>
      </c>
      <c r="B134" t="s">
        <v>46</v>
      </c>
      <c r="C134">
        <v>3025</v>
      </c>
    </row>
    <row r="135" spans="1:3">
      <c r="A135" t="s">
        <v>182</v>
      </c>
      <c r="B135" t="s">
        <v>46</v>
      </c>
      <c r="C135">
        <v>4092</v>
      </c>
    </row>
    <row r="136" spans="1:3">
      <c r="A136" t="s">
        <v>183</v>
      </c>
      <c r="B136" t="s">
        <v>46</v>
      </c>
      <c r="C136">
        <v>2888</v>
      </c>
    </row>
    <row r="137" spans="1:3">
      <c r="A137" t="s">
        <v>184</v>
      </c>
      <c r="B137" t="s">
        <v>46</v>
      </c>
      <c r="C137">
        <v>4611</v>
      </c>
    </row>
    <row r="138" spans="1:3">
      <c r="A138" t="s">
        <v>185</v>
      </c>
      <c r="B138" t="s">
        <v>46</v>
      </c>
      <c r="C138">
        <v>4793</v>
      </c>
    </row>
    <row r="139" spans="1:3">
      <c r="A139" t="s">
        <v>186</v>
      </c>
      <c r="B139" t="s">
        <v>46</v>
      </c>
      <c r="C139">
        <v>4908</v>
      </c>
    </row>
    <row r="140" spans="1:3">
      <c r="A140" t="s">
        <v>187</v>
      </c>
      <c r="B140" t="s">
        <v>46</v>
      </c>
      <c r="C140">
        <v>3866</v>
      </c>
    </row>
    <row r="141" spans="1:3">
      <c r="A141" t="s">
        <v>188</v>
      </c>
      <c r="B141" t="s">
        <v>46</v>
      </c>
      <c r="C141">
        <v>4056</v>
      </c>
    </row>
    <row r="142" spans="1:3">
      <c r="A142" t="s">
        <v>189</v>
      </c>
      <c r="B142" t="s">
        <v>46</v>
      </c>
      <c r="C142">
        <v>3791</v>
      </c>
    </row>
    <row r="143" spans="1:3">
      <c r="A143" t="s">
        <v>190</v>
      </c>
      <c r="B143" t="s">
        <v>46</v>
      </c>
      <c r="C143">
        <v>4166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1"/>
  <sheetViews>
    <sheetView zoomScaleNormal="100" workbookViewId="0"/>
  </sheetViews>
  <sheetFormatPr defaultColWidth="8.7109375" defaultRowHeight="15"/>
  <sheetData>
    <row r="1" spans="1:3">
      <c r="A1" t="s">
        <v>191</v>
      </c>
      <c r="B1" t="s">
        <v>43</v>
      </c>
      <c r="C1" t="s">
        <v>192</v>
      </c>
    </row>
    <row r="2" spans="1:3">
      <c r="A2" t="s">
        <v>193</v>
      </c>
      <c r="B2" t="s">
        <v>80</v>
      </c>
      <c r="C2">
        <v>420</v>
      </c>
    </row>
    <row r="3" spans="1:3">
      <c r="A3" t="s">
        <v>194</v>
      </c>
      <c r="B3" t="s">
        <v>53</v>
      </c>
      <c r="C3">
        <v>480</v>
      </c>
    </row>
    <row r="4" spans="1:3">
      <c r="A4" t="s">
        <v>195</v>
      </c>
      <c r="B4" t="s">
        <v>99</v>
      </c>
      <c r="C4">
        <v>640</v>
      </c>
    </row>
    <row r="5" spans="1:3">
      <c r="A5" t="s">
        <v>196</v>
      </c>
      <c r="B5" t="s">
        <v>80</v>
      </c>
      <c r="C5">
        <v>440</v>
      </c>
    </row>
    <row r="6" spans="1:3">
      <c r="A6" t="s">
        <v>197</v>
      </c>
      <c r="B6" t="s">
        <v>53</v>
      </c>
      <c r="C6">
        <v>490</v>
      </c>
    </row>
    <row r="7" spans="1:3">
      <c r="A7" t="s">
        <v>198</v>
      </c>
      <c r="B7" t="s">
        <v>80</v>
      </c>
      <c r="C7">
        <v>500</v>
      </c>
    </row>
    <row r="8" spans="1:3">
      <c r="A8" t="s">
        <v>199</v>
      </c>
      <c r="B8" t="s">
        <v>80</v>
      </c>
      <c r="C8">
        <v>640</v>
      </c>
    </row>
    <row r="9" spans="1:3">
      <c r="A9" t="s">
        <v>200</v>
      </c>
      <c r="B9" t="s">
        <v>46</v>
      </c>
      <c r="C9">
        <v>550</v>
      </c>
    </row>
    <row r="10" spans="1:3">
      <c r="A10" t="s">
        <v>201</v>
      </c>
      <c r="B10" t="s">
        <v>46</v>
      </c>
      <c r="C10">
        <v>420</v>
      </c>
    </row>
    <row r="11" spans="1:3">
      <c r="A11" t="s">
        <v>202</v>
      </c>
      <c r="B11" t="s">
        <v>99</v>
      </c>
      <c r="C11">
        <v>440</v>
      </c>
    </row>
    <row r="12" spans="1:3">
      <c r="A12" t="s">
        <v>203</v>
      </c>
      <c r="B12" t="s">
        <v>46</v>
      </c>
      <c r="C12">
        <v>540</v>
      </c>
    </row>
    <row r="13" spans="1:3">
      <c r="A13" t="s">
        <v>204</v>
      </c>
      <c r="B13" t="s">
        <v>99</v>
      </c>
      <c r="C13">
        <v>450</v>
      </c>
    </row>
    <row r="14" spans="1:3">
      <c r="A14" t="s">
        <v>205</v>
      </c>
      <c r="B14" t="s">
        <v>53</v>
      </c>
      <c r="C14">
        <v>540</v>
      </c>
    </row>
    <row r="15" spans="1:3">
      <c r="A15" t="s">
        <v>206</v>
      </c>
      <c r="B15" t="s">
        <v>53</v>
      </c>
      <c r="C15">
        <v>520</v>
      </c>
    </row>
    <row r="16" spans="1:3">
      <c r="A16" t="s">
        <v>207</v>
      </c>
      <c r="B16" t="s">
        <v>46</v>
      </c>
      <c r="C16">
        <v>640</v>
      </c>
    </row>
    <row r="17" spans="1:3">
      <c r="A17" t="s">
        <v>208</v>
      </c>
      <c r="B17" t="s">
        <v>80</v>
      </c>
      <c r="C17">
        <v>620</v>
      </c>
    </row>
    <row r="18" spans="1:3">
      <c r="A18" t="s">
        <v>209</v>
      </c>
      <c r="B18" t="s">
        <v>46</v>
      </c>
      <c r="C18">
        <v>520</v>
      </c>
    </row>
    <row r="19" spans="1:3">
      <c r="A19" t="s">
        <v>210</v>
      </c>
      <c r="B19" t="s">
        <v>80</v>
      </c>
      <c r="C19">
        <v>590</v>
      </c>
    </row>
    <row r="20" spans="1:3">
      <c r="A20" t="s">
        <v>211</v>
      </c>
      <c r="B20" t="s">
        <v>99</v>
      </c>
      <c r="C20">
        <v>610</v>
      </c>
    </row>
    <row r="21" spans="1:3">
      <c r="A21" t="s">
        <v>212</v>
      </c>
      <c r="B21" t="s">
        <v>99</v>
      </c>
      <c r="C21">
        <v>560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8"/>
  <sheetViews>
    <sheetView zoomScaleNormal="100" workbookViewId="0"/>
  </sheetViews>
  <sheetFormatPr defaultColWidth="8.7109375" defaultRowHeight="15"/>
  <sheetData>
    <row r="1" spans="1:3">
      <c r="A1" t="s">
        <v>213</v>
      </c>
      <c r="B1" t="s">
        <v>214</v>
      </c>
      <c r="C1" s="10" t="s">
        <v>215</v>
      </c>
    </row>
    <row r="2" spans="1:3">
      <c r="A2" t="s">
        <v>216</v>
      </c>
      <c r="B2" t="s">
        <v>193</v>
      </c>
      <c r="C2" t="s">
        <v>217</v>
      </c>
    </row>
    <row r="3" spans="1:3">
      <c r="A3" t="s">
        <v>218</v>
      </c>
      <c r="B3" t="s">
        <v>194</v>
      </c>
      <c r="C3" t="s">
        <v>219</v>
      </c>
    </row>
    <row r="4" spans="1:3">
      <c r="A4" t="s">
        <v>220</v>
      </c>
      <c r="B4" t="s">
        <v>195</v>
      </c>
      <c r="C4" t="s">
        <v>221</v>
      </c>
    </row>
    <row r="5" spans="1:3">
      <c r="A5" t="s">
        <v>222</v>
      </c>
      <c r="B5" t="s">
        <v>196</v>
      </c>
      <c r="C5" t="s">
        <v>223</v>
      </c>
    </row>
    <row r="6" spans="1:3">
      <c r="A6" t="s">
        <v>224</v>
      </c>
      <c r="B6" t="s">
        <v>197</v>
      </c>
      <c r="C6" t="s">
        <v>225</v>
      </c>
    </row>
    <row r="7" spans="1:3">
      <c r="A7" t="s">
        <v>226</v>
      </c>
      <c r="B7" t="s">
        <v>198</v>
      </c>
      <c r="C7" t="s">
        <v>227</v>
      </c>
    </row>
    <row r="8" spans="1:3">
      <c r="A8" t="s">
        <v>228</v>
      </c>
      <c r="B8" t="s">
        <v>199</v>
      </c>
      <c r="C8" t="s">
        <v>229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6"/>
  <sheetViews>
    <sheetView zoomScaleNormal="100" workbookViewId="0"/>
  </sheetViews>
  <sheetFormatPr defaultColWidth="8.7109375" defaultRowHeight="15"/>
  <sheetData>
    <row r="1" spans="1:2">
      <c r="A1" t="s">
        <v>230</v>
      </c>
      <c r="B1" s="10" t="s">
        <v>231</v>
      </c>
    </row>
    <row r="2" spans="1:2">
      <c r="A2" t="s">
        <v>232</v>
      </c>
      <c r="B2">
        <f>Calibracion!$AD$4</f>
        <v>225.37262507783501</v>
      </c>
    </row>
    <row r="3" spans="1:2">
      <c r="A3" t="s">
        <v>233</v>
      </c>
      <c r="B3">
        <f>Calibracion!$AE$4</f>
        <v>679.79178653620295</v>
      </c>
    </row>
    <row r="4" spans="1:2">
      <c r="A4" t="s">
        <v>234</v>
      </c>
      <c r="B4">
        <f>Calibracion!$AF$4</f>
        <v>40.933046455046203</v>
      </c>
    </row>
    <row r="5" spans="1:2">
      <c r="A5" t="s">
        <v>235</v>
      </c>
      <c r="B5">
        <f>Calibracion!$AG$4</f>
        <v>202.60370880345599</v>
      </c>
    </row>
    <row r="6" spans="1:2">
      <c r="A6" t="s">
        <v>236</v>
      </c>
      <c r="B6">
        <f>Calibracion!$AH$4</f>
        <v>228.68972714368499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2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/>
  <cols>
    <col min="1" max="1" width="15" customWidth="1"/>
    <col min="2" max="2" width="21" customWidth="1"/>
    <col min="3" max="4" width="23" customWidth="1"/>
    <col min="5" max="5" width="24" customWidth="1"/>
    <col min="6" max="6" width="27" customWidth="1"/>
  </cols>
  <sheetData>
    <row r="1" spans="1:6" ht="25.5" customHeight="1">
      <c r="A1" s="11" t="s">
        <v>237</v>
      </c>
      <c r="B1" s="11" t="s">
        <v>230</v>
      </c>
      <c r="C1" s="11" t="s">
        <v>238</v>
      </c>
      <c r="D1" s="11" t="s">
        <v>239</v>
      </c>
      <c r="E1" s="11" t="s">
        <v>240</v>
      </c>
      <c r="F1" s="11" t="s">
        <v>241</v>
      </c>
    </row>
    <row r="2" spans="1:6">
      <c r="A2" t="s">
        <v>242</v>
      </c>
      <c r="B2" t="s">
        <v>232</v>
      </c>
      <c r="C2" s="12">
        <v>5.5055E-2</v>
      </c>
      <c r="D2" s="12">
        <v>1.0164</v>
      </c>
      <c r="E2" s="13">
        <v>442150</v>
      </c>
      <c r="F2" s="14">
        <f>ROUND(E2*Costos!$B$5,0)</f>
        <v>22108</v>
      </c>
    </row>
    <row r="3" spans="1:6">
      <c r="A3" t="s">
        <v>243</v>
      </c>
      <c r="B3" t="s">
        <v>232</v>
      </c>
      <c r="C3" s="12">
        <v>7.8649999999999998E-2</v>
      </c>
      <c r="D3" s="12">
        <v>1.4659</v>
      </c>
      <c r="E3" s="13">
        <v>527043</v>
      </c>
      <c r="F3" s="14">
        <f>ROUND(E3*Costos!$B$5,0)</f>
        <v>26352</v>
      </c>
    </row>
    <row r="4" spans="1:6">
      <c r="A4" t="s">
        <v>244</v>
      </c>
      <c r="B4" t="s">
        <v>233</v>
      </c>
      <c r="C4" s="12">
        <v>9.5999999999999992E-3</v>
      </c>
      <c r="D4" s="12">
        <v>0.42703000000000002</v>
      </c>
      <c r="E4" s="13">
        <v>96334</v>
      </c>
      <c r="F4" s="14">
        <f>ROUND(E4*Costos!$B$5,0)</f>
        <v>4817</v>
      </c>
    </row>
    <row r="5" spans="1:6">
      <c r="A5" t="s">
        <v>245</v>
      </c>
      <c r="B5" t="s">
        <v>233</v>
      </c>
      <c r="C5" s="12">
        <v>3.0800000000000001E-2</v>
      </c>
      <c r="D5" s="12">
        <v>1.0164</v>
      </c>
      <c r="E5" s="13">
        <v>442150</v>
      </c>
      <c r="F5" s="14">
        <f>ROUND(E5*Costos!$B$5,0)</f>
        <v>22108</v>
      </c>
    </row>
    <row r="6" spans="1:6">
      <c r="A6" t="s">
        <v>246</v>
      </c>
      <c r="B6" t="s">
        <v>233</v>
      </c>
      <c r="C6" s="12">
        <v>4.3999999999999997E-2</v>
      </c>
      <c r="D6" s="12">
        <v>1.4659</v>
      </c>
      <c r="E6" s="13">
        <v>527043</v>
      </c>
      <c r="F6" s="14">
        <f>ROUND(E6*Costos!$B$5,0)</f>
        <v>26352</v>
      </c>
    </row>
    <row r="7" spans="1:6">
      <c r="A7" t="s">
        <v>247</v>
      </c>
      <c r="B7" t="s">
        <v>234</v>
      </c>
      <c r="C7" s="12">
        <v>9.6000000000000002E-2</v>
      </c>
      <c r="D7" s="12">
        <v>0.42703000000000002</v>
      </c>
      <c r="E7" s="13">
        <v>96334</v>
      </c>
      <c r="F7" s="14">
        <f>ROUND(E7*Costos!$B$5,0)</f>
        <v>4817</v>
      </c>
    </row>
    <row r="8" spans="1:6">
      <c r="A8" t="s">
        <v>248</v>
      </c>
      <c r="B8" t="s">
        <v>234</v>
      </c>
      <c r="C8" s="12">
        <v>1.5</v>
      </c>
      <c r="D8" s="12">
        <v>2.64</v>
      </c>
      <c r="E8" s="13">
        <v>1500000</v>
      </c>
      <c r="F8" s="14">
        <f>ROUND(E8*Costos!$B$5,0)</f>
        <v>75000</v>
      </c>
    </row>
    <row r="9" spans="1:6">
      <c r="A9" t="s">
        <v>249</v>
      </c>
      <c r="B9" t="s">
        <v>235</v>
      </c>
      <c r="C9" s="12">
        <v>8.6400000000000001E-3</v>
      </c>
      <c r="D9" s="12">
        <v>0.42703000000000002</v>
      </c>
      <c r="E9" s="13">
        <v>96334</v>
      </c>
      <c r="F9" s="14">
        <f>ROUND(E9*Costos!$B$5,0)</f>
        <v>4817</v>
      </c>
    </row>
    <row r="10" spans="1:6">
      <c r="A10" t="s">
        <v>250</v>
      </c>
      <c r="B10" t="s">
        <v>235</v>
      </c>
      <c r="C10" s="12">
        <v>2.7720000000000002E-2</v>
      </c>
      <c r="D10" s="12">
        <v>1.0164</v>
      </c>
      <c r="E10" s="13">
        <v>442150</v>
      </c>
      <c r="F10" s="14">
        <f>ROUND(E10*Costos!$B$5,0)</f>
        <v>22108</v>
      </c>
    </row>
    <row r="11" spans="1:6">
      <c r="A11" t="s">
        <v>251</v>
      </c>
      <c r="B11" t="s">
        <v>236</v>
      </c>
      <c r="C11" s="12">
        <v>2.002E-2</v>
      </c>
      <c r="D11" s="12">
        <v>1.0164</v>
      </c>
      <c r="E11" s="13">
        <v>442150</v>
      </c>
      <c r="F11" s="14">
        <f>ROUND(E11*Costos!$B$5,0)</f>
        <v>22108</v>
      </c>
    </row>
    <row r="12" spans="1:6">
      <c r="A12" t="s">
        <v>252</v>
      </c>
      <c r="B12" t="s">
        <v>236</v>
      </c>
      <c r="C12" s="12">
        <v>2.86E-2</v>
      </c>
      <c r="D12" s="12">
        <v>1.4659</v>
      </c>
      <c r="E12" s="13">
        <v>527043</v>
      </c>
      <c r="F12" s="14">
        <f>ROUND(E12*Costos!$B$5,0)</f>
        <v>26352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6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/>
  <cols>
    <col min="1" max="1" width="25" customWidth="1"/>
    <col min="2" max="2" width="24" customWidth="1"/>
    <col min="3" max="3" width="22" customWidth="1"/>
    <col min="4" max="4" width="23" customWidth="1"/>
    <col min="5" max="5" width="26" customWidth="1"/>
    <col min="6" max="6" width="23" customWidth="1"/>
  </cols>
  <sheetData>
    <row r="1" spans="1:6" ht="28.5" customHeight="1">
      <c r="A1" s="15" t="s">
        <v>213</v>
      </c>
      <c r="B1" s="15" t="s">
        <v>253</v>
      </c>
      <c r="C1" s="15" t="s">
        <v>230</v>
      </c>
      <c r="D1" s="15" t="s">
        <v>254</v>
      </c>
      <c r="E1" s="15" t="s">
        <v>255</v>
      </c>
      <c r="F1" s="15" t="s">
        <v>239</v>
      </c>
    </row>
    <row r="2" spans="1:6">
      <c r="A2" t="s">
        <v>219</v>
      </c>
      <c r="B2" t="s">
        <v>256</v>
      </c>
      <c r="C2" t="s">
        <v>232</v>
      </c>
      <c r="D2" s="16">
        <v>1</v>
      </c>
      <c r="E2" s="12">
        <v>0.45760000000000001</v>
      </c>
      <c r="F2" s="12">
        <v>3.2</v>
      </c>
    </row>
    <row r="3" spans="1:6">
      <c r="A3" t="s">
        <v>219</v>
      </c>
      <c r="B3" t="s">
        <v>257</v>
      </c>
      <c r="C3" t="s">
        <v>233</v>
      </c>
      <c r="D3" s="16">
        <v>4</v>
      </c>
      <c r="E3" s="12">
        <v>3.0800000000000001E-2</v>
      </c>
      <c r="F3" s="12">
        <v>1.0608</v>
      </c>
    </row>
    <row r="4" spans="1:6">
      <c r="A4" t="s">
        <v>219</v>
      </c>
      <c r="B4" t="s">
        <v>258</v>
      </c>
      <c r="C4" t="s">
        <v>234</v>
      </c>
      <c r="D4" s="16">
        <v>1</v>
      </c>
      <c r="E4" s="12">
        <v>1.5</v>
      </c>
      <c r="F4" s="12">
        <v>2.64</v>
      </c>
    </row>
    <row r="5" spans="1:6">
      <c r="A5" t="s">
        <v>219</v>
      </c>
      <c r="B5" t="s">
        <v>259</v>
      </c>
      <c r="C5" t="s">
        <v>235</v>
      </c>
      <c r="D5" s="16">
        <v>1</v>
      </c>
      <c r="E5" s="12">
        <v>4.5845815999999998E-2</v>
      </c>
      <c r="F5" s="12">
        <v>1.0608</v>
      </c>
    </row>
    <row r="6" spans="1:6">
      <c r="A6" t="s">
        <v>219</v>
      </c>
      <c r="B6" t="s">
        <v>260</v>
      </c>
      <c r="C6" t="s">
        <v>236</v>
      </c>
      <c r="D6" s="16">
        <v>2</v>
      </c>
      <c r="E6" s="12">
        <v>2.002E-2</v>
      </c>
      <c r="F6" s="12">
        <v>1.0608</v>
      </c>
    </row>
    <row r="7" spans="1:6">
      <c r="A7" t="s">
        <v>217</v>
      </c>
      <c r="B7" t="s">
        <v>256</v>
      </c>
      <c r="C7" t="s">
        <v>232</v>
      </c>
      <c r="D7" s="16">
        <v>1</v>
      </c>
      <c r="E7" s="12">
        <v>0.45760000000000001</v>
      </c>
      <c r="F7" s="12">
        <v>3.2</v>
      </c>
    </row>
    <row r="8" spans="1:6">
      <c r="A8" t="s">
        <v>217</v>
      </c>
      <c r="B8" t="s">
        <v>257</v>
      </c>
      <c r="C8" t="s">
        <v>233</v>
      </c>
      <c r="D8" s="16">
        <v>5</v>
      </c>
      <c r="E8" s="12">
        <v>3.0800000000000001E-2</v>
      </c>
      <c r="F8" s="12">
        <v>1.0608</v>
      </c>
    </row>
    <row r="9" spans="1:6">
      <c r="A9" t="s">
        <v>217</v>
      </c>
      <c r="B9" t="s">
        <v>258</v>
      </c>
      <c r="C9" t="s">
        <v>234</v>
      </c>
      <c r="D9" s="16">
        <v>1</v>
      </c>
      <c r="E9" s="12">
        <v>1.5</v>
      </c>
      <c r="F9" s="12">
        <v>2.64</v>
      </c>
    </row>
    <row r="10" spans="1:6">
      <c r="A10" t="s">
        <v>217</v>
      </c>
      <c r="B10" t="s">
        <v>259</v>
      </c>
      <c r="C10" t="s">
        <v>235</v>
      </c>
      <c r="D10" s="16">
        <v>1</v>
      </c>
      <c r="E10" s="12">
        <v>4.4412934000000001E-2</v>
      </c>
      <c r="F10" s="12">
        <v>1.0608</v>
      </c>
    </row>
    <row r="11" spans="1:6">
      <c r="A11" t="s">
        <v>217</v>
      </c>
      <c r="B11" t="s">
        <v>260</v>
      </c>
      <c r="C11" t="s">
        <v>236</v>
      </c>
      <c r="D11" s="16">
        <v>2</v>
      </c>
      <c r="E11" s="12">
        <v>2.002E-2</v>
      </c>
      <c r="F11" s="12">
        <v>1.0608</v>
      </c>
    </row>
    <row r="12" spans="1:6">
      <c r="A12" t="s">
        <v>221</v>
      </c>
      <c r="B12" t="s">
        <v>256</v>
      </c>
      <c r="C12" t="s">
        <v>232</v>
      </c>
      <c r="D12" s="16">
        <v>1</v>
      </c>
      <c r="E12" s="12">
        <v>0.45760000000000001</v>
      </c>
      <c r="F12" s="12">
        <v>3.2</v>
      </c>
    </row>
    <row r="13" spans="1:6">
      <c r="A13" t="s">
        <v>221</v>
      </c>
      <c r="B13" t="s">
        <v>257</v>
      </c>
      <c r="C13" t="s">
        <v>233</v>
      </c>
      <c r="D13" s="16">
        <v>2</v>
      </c>
      <c r="E13" s="12">
        <v>3.0800000000000001E-2</v>
      </c>
      <c r="F13" s="12">
        <v>1.0608</v>
      </c>
    </row>
    <row r="14" spans="1:6">
      <c r="A14" t="s">
        <v>221</v>
      </c>
      <c r="B14" t="s">
        <v>258</v>
      </c>
      <c r="C14" t="s">
        <v>234</v>
      </c>
      <c r="D14" s="16">
        <v>1</v>
      </c>
      <c r="E14" s="12">
        <v>1.5</v>
      </c>
      <c r="F14" s="12">
        <v>2.64</v>
      </c>
    </row>
    <row r="15" spans="1:6">
      <c r="A15" t="s">
        <v>221</v>
      </c>
      <c r="B15" t="s">
        <v>259</v>
      </c>
      <c r="C15" t="s">
        <v>235</v>
      </c>
      <c r="D15" s="16">
        <v>1</v>
      </c>
      <c r="E15" s="12">
        <v>5.7726375000000003E-2</v>
      </c>
      <c r="F15" s="12">
        <v>1.0608</v>
      </c>
    </row>
    <row r="16" spans="1:6">
      <c r="A16" t="s">
        <v>221</v>
      </c>
      <c r="B16" t="s">
        <v>260</v>
      </c>
      <c r="C16" t="s">
        <v>236</v>
      </c>
      <c r="D16" s="16">
        <v>1</v>
      </c>
      <c r="E16" s="12">
        <v>2.002E-2</v>
      </c>
      <c r="F16" s="12">
        <v>1.0608</v>
      </c>
    </row>
    <row r="17" spans="1:6">
      <c r="A17" t="s">
        <v>229</v>
      </c>
      <c r="B17" t="s">
        <v>256</v>
      </c>
      <c r="C17" t="s">
        <v>232</v>
      </c>
      <c r="D17" s="16">
        <v>1</v>
      </c>
      <c r="E17" s="12">
        <v>0.45760000000000001</v>
      </c>
      <c r="F17" s="12">
        <v>3.2</v>
      </c>
    </row>
    <row r="18" spans="1:6">
      <c r="A18" t="s">
        <v>229</v>
      </c>
      <c r="B18" t="s">
        <v>257</v>
      </c>
      <c r="C18" t="s">
        <v>233</v>
      </c>
      <c r="D18" s="16">
        <v>1</v>
      </c>
      <c r="E18" s="12">
        <v>3.0800000000000001E-2</v>
      </c>
      <c r="F18" s="12">
        <v>1.0608</v>
      </c>
    </row>
    <row r="19" spans="1:6">
      <c r="A19" t="s">
        <v>229</v>
      </c>
      <c r="B19" t="s">
        <v>258</v>
      </c>
      <c r="C19" t="s">
        <v>234</v>
      </c>
      <c r="D19" s="16">
        <v>1</v>
      </c>
      <c r="E19" s="12">
        <v>1.5</v>
      </c>
      <c r="F19" s="12">
        <v>2.64</v>
      </c>
    </row>
    <row r="20" spans="1:6">
      <c r="A20" t="s">
        <v>229</v>
      </c>
      <c r="B20" t="s">
        <v>259</v>
      </c>
      <c r="C20" t="s">
        <v>235</v>
      </c>
      <c r="D20" s="16">
        <v>1</v>
      </c>
      <c r="E20" s="12">
        <v>4.5876991999999998E-2</v>
      </c>
      <c r="F20" s="12">
        <v>1.0608</v>
      </c>
    </row>
    <row r="21" spans="1:6">
      <c r="A21" t="s">
        <v>229</v>
      </c>
      <c r="B21" t="s">
        <v>260</v>
      </c>
      <c r="C21" t="s">
        <v>236</v>
      </c>
      <c r="D21" s="16">
        <v>1</v>
      </c>
      <c r="E21" s="12">
        <v>2.002E-2</v>
      </c>
      <c r="F21" s="12">
        <v>1.0608</v>
      </c>
    </row>
    <row r="22" spans="1:6">
      <c r="A22" t="s">
        <v>225</v>
      </c>
      <c r="B22" t="s">
        <v>256</v>
      </c>
      <c r="C22" t="s">
        <v>232</v>
      </c>
      <c r="D22" s="16">
        <v>1</v>
      </c>
      <c r="E22" s="12">
        <v>0.45760000000000001</v>
      </c>
      <c r="F22" s="12">
        <v>3.2</v>
      </c>
    </row>
    <row r="23" spans="1:6">
      <c r="A23" t="s">
        <v>225</v>
      </c>
      <c r="B23" t="s">
        <v>257</v>
      </c>
      <c r="C23" t="s">
        <v>233</v>
      </c>
      <c r="D23" s="16">
        <v>3</v>
      </c>
      <c r="E23" s="12">
        <v>3.0800000000000001E-2</v>
      </c>
      <c r="F23" s="12">
        <v>1.0608</v>
      </c>
    </row>
    <row r="24" spans="1:6">
      <c r="A24" t="s">
        <v>225</v>
      </c>
      <c r="B24" t="s">
        <v>258</v>
      </c>
      <c r="C24" t="s">
        <v>234</v>
      </c>
      <c r="D24" s="16">
        <v>1</v>
      </c>
      <c r="E24" s="12">
        <v>1.5</v>
      </c>
      <c r="F24" s="12">
        <v>2.64</v>
      </c>
    </row>
    <row r="25" spans="1:6">
      <c r="A25" t="s">
        <v>225</v>
      </c>
      <c r="B25" t="s">
        <v>259</v>
      </c>
      <c r="C25" t="s">
        <v>235</v>
      </c>
      <c r="D25" s="16">
        <v>1</v>
      </c>
      <c r="E25" s="12">
        <v>4.6687252999999998E-2</v>
      </c>
      <c r="F25" s="12">
        <v>1.0608</v>
      </c>
    </row>
    <row r="26" spans="1:6">
      <c r="A26" t="s">
        <v>225</v>
      </c>
      <c r="B26" t="s">
        <v>260</v>
      </c>
      <c r="C26" t="s">
        <v>236</v>
      </c>
      <c r="D26" s="16">
        <v>1</v>
      </c>
      <c r="E26" s="12">
        <v>2.002E-2</v>
      </c>
      <c r="F26" s="12">
        <v>1.0608</v>
      </c>
    </row>
    <row r="27" spans="1:6">
      <c r="A27" t="s">
        <v>227</v>
      </c>
      <c r="B27" t="s">
        <v>256</v>
      </c>
      <c r="C27" t="s">
        <v>232</v>
      </c>
      <c r="D27" s="16">
        <v>1</v>
      </c>
      <c r="E27" s="12">
        <v>0.45760000000000001</v>
      </c>
      <c r="F27" s="12">
        <v>3.2</v>
      </c>
    </row>
    <row r="28" spans="1:6">
      <c r="A28" t="s">
        <v>227</v>
      </c>
      <c r="B28" t="s">
        <v>257</v>
      </c>
      <c r="C28" t="s">
        <v>233</v>
      </c>
      <c r="D28" s="16">
        <v>3</v>
      </c>
      <c r="E28" s="12">
        <v>3.0800000000000001E-2</v>
      </c>
      <c r="F28" s="12">
        <v>1.0608</v>
      </c>
    </row>
    <row r="29" spans="1:6">
      <c r="A29" t="s">
        <v>227</v>
      </c>
      <c r="B29" t="s">
        <v>258</v>
      </c>
      <c r="C29" t="s">
        <v>234</v>
      </c>
      <c r="D29" s="16">
        <v>1</v>
      </c>
      <c r="E29" s="12">
        <v>1.5</v>
      </c>
      <c r="F29" s="12">
        <v>2.64</v>
      </c>
    </row>
    <row r="30" spans="1:6">
      <c r="A30" t="s">
        <v>227</v>
      </c>
      <c r="B30" t="s">
        <v>259</v>
      </c>
      <c r="C30" t="s">
        <v>235</v>
      </c>
      <c r="D30" s="16">
        <v>1</v>
      </c>
      <c r="E30" s="12">
        <v>4.3486988999999997E-2</v>
      </c>
      <c r="F30" s="12">
        <v>1.0608</v>
      </c>
    </row>
    <row r="31" spans="1:6">
      <c r="A31" t="s">
        <v>227</v>
      </c>
      <c r="B31" t="s">
        <v>260</v>
      </c>
      <c r="C31" t="s">
        <v>236</v>
      </c>
      <c r="D31" s="16">
        <v>1</v>
      </c>
      <c r="E31" s="12">
        <v>2.002E-2</v>
      </c>
      <c r="F31" s="12">
        <v>1.0608</v>
      </c>
    </row>
    <row r="32" spans="1:6">
      <c r="A32" t="s">
        <v>223</v>
      </c>
      <c r="B32" t="s">
        <v>256</v>
      </c>
      <c r="C32" t="s">
        <v>232</v>
      </c>
      <c r="D32" s="16">
        <v>1</v>
      </c>
      <c r="E32" s="12">
        <v>0.45760000000000001</v>
      </c>
      <c r="F32" s="12">
        <v>3.2</v>
      </c>
    </row>
    <row r="33" spans="1:6">
      <c r="A33" t="s">
        <v>223</v>
      </c>
      <c r="B33" t="s">
        <v>257</v>
      </c>
      <c r="C33" t="s">
        <v>233</v>
      </c>
      <c r="D33" s="16">
        <v>1</v>
      </c>
      <c r="E33" s="12">
        <v>3.0800000000000001E-2</v>
      </c>
      <c r="F33" s="12">
        <v>1.0608</v>
      </c>
    </row>
    <row r="34" spans="1:6">
      <c r="A34" t="s">
        <v>223</v>
      </c>
      <c r="B34" t="s">
        <v>258</v>
      </c>
      <c r="C34" t="s">
        <v>234</v>
      </c>
      <c r="D34" s="16">
        <v>1</v>
      </c>
      <c r="E34" s="12">
        <v>1.5</v>
      </c>
      <c r="F34" s="12">
        <v>2.64</v>
      </c>
    </row>
    <row r="35" spans="1:6">
      <c r="A35" t="s">
        <v>223</v>
      </c>
      <c r="B35" t="s">
        <v>259</v>
      </c>
      <c r="C35" t="s">
        <v>235</v>
      </c>
      <c r="D35" s="16">
        <v>1</v>
      </c>
      <c r="E35" s="12">
        <v>4.6103646999999998E-2</v>
      </c>
      <c r="F35" s="12">
        <v>1.0608</v>
      </c>
    </row>
    <row r="36" spans="1:6">
      <c r="A36" t="s">
        <v>223</v>
      </c>
      <c r="B36" t="s">
        <v>260</v>
      </c>
      <c r="C36" t="s">
        <v>236</v>
      </c>
      <c r="D36" s="16">
        <v>1</v>
      </c>
      <c r="E36" s="12">
        <v>2.002E-2</v>
      </c>
      <c r="F36" s="12">
        <v>1.0608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711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/>
  <cols>
    <col min="1" max="1" width="16" customWidth="1"/>
    <col min="2" max="2" width="22" customWidth="1"/>
    <col min="3" max="3" width="29" customWidth="1"/>
  </cols>
  <sheetData>
    <row r="1" spans="1:3" ht="25.5" customHeight="1">
      <c r="A1" s="17" t="s">
        <v>42</v>
      </c>
      <c r="B1" s="17" t="s">
        <v>230</v>
      </c>
      <c r="C1" s="17" t="s">
        <v>261</v>
      </c>
    </row>
    <row r="2" spans="1:3">
      <c r="A2" t="s">
        <v>45</v>
      </c>
      <c r="B2" t="s">
        <v>232</v>
      </c>
      <c r="C2" s="18">
        <v>4.3533876706587399E-2</v>
      </c>
    </row>
    <row r="3" spans="1:3">
      <c r="A3" t="s">
        <v>45</v>
      </c>
      <c r="B3" t="s">
        <v>233</v>
      </c>
      <c r="C3" s="18">
        <v>3.7870933395161399E-2</v>
      </c>
    </row>
    <row r="4" spans="1:3">
      <c r="A4" t="s">
        <v>45</v>
      </c>
      <c r="B4" t="s">
        <v>234</v>
      </c>
      <c r="C4" s="18">
        <v>1.34494903646368E-2</v>
      </c>
    </row>
    <row r="5" spans="1:3">
      <c r="A5" t="s">
        <v>45</v>
      </c>
      <c r="B5" t="s">
        <v>235</v>
      </c>
      <c r="C5" s="18">
        <v>3.5393395696412498E-3</v>
      </c>
    </row>
    <row r="6" spans="1:3">
      <c r="A6" t="s">
        <v>45</v>
      </c>
      <c r="B6" t="s">
        <v>236</v>
      </c>
      <c r="C6" s="18">
        <v>2.4775376987488701E-3</v>
      </c>
    </row>
    <row r="7" spans="1:3">
      <c r="A7" t="s">
        <v>47</v>
      </c>
      <c r="B7" t="s">
        <v>232</v>
      </c>
      <c r="C7" s="18">
        <v>4.3533876706587399E-2</v>
      </c>
    </row>
    <row r="8" spans="1:3">
      <c r="A8" t="s">
        <v>47</v>
      </c>
      <c r="B8" t="s">
        <v>233</v>
      </c>
      <c r="C8" s="18">
        <v>3.7870933395161399E-2</v>
      </c>
    </row>
    <row r="9" spans="1:3">
      <c r="A9" t="s">
        <v>47</v>
      </c>
      <c r="B9" t="s">
        <v>234</v>
      </c>
      <c r="C9" s="18">
        <v>1.34494903646368E-2</v>
      </c>
    </row>
    <row r="10" spans="1:3">
      <c r="A10" t="s">
        <v>47</v>
      </c>
      <c r="B10" t="s">
        <v>235</v>
      </c>
      <c r="C10" s="18">
        <v>3.5393395696412498E-3</v>
      </c>
    </row>
    <row r="11" spans="1:3">
      <c r="A11" t="s">
        <v>47</v>
      </c>
      <c r="B11" t="s">
        <v>236</v>
      </c>
      <c r="C11" s="18">
        <v>2.4775376987488701E-3</v>
      </c>
    </row>
    <row r="12" spans="1:3">
      <c r="A12" t="s">
        <v>48</v>
      </c>
      <c r="B12" t="s">
        <v>232</v>
      </c>
      <c r="C12" s="18">
        <v>4.3533876706587399E-2</v>
      </c>
    </row>
    <row r="13" spans="1:3">
      <c r="A13" t="s">
        <v>48</v>
      </c>
      <c r="B13" t="s">
        <v>233</v>
      </c>
      <c r="C13" s="18">
        <v>3.7870933395161399E-2</v>
      </c>
    </row>
    <row r="14" spans="1:3">
      <c r="A14" t="s">
        <v>48</v>
      </c>
      <c r="B14" t="s">
        <v>234</v>
      </c>
      <c r="C14" s="18">
        <v>1.34494903646368E-2</v>
      </c>
    </row>
    <row r="15" spans="1:3">
      <c r="A15" t="s">
        <v>48</v>
      </c>
      <c r="B15" t="s">
        <v>235</v>
      </c>
      <c r="C15" s="18">
        <v>3.5393395696412498E-3</v>
      </c>
    </row>
    <row r="16" spans="1:3">
      <c r="A16" t="s">
        <v>48</v>
      </c>
      <c r="B16" t="s">
        <v>236</v>
      </c>
      <c r="C16" s="18">
        <v>2.4775376987488701E-3</v>
      </c>
    </row>
    <row r="17" spans="1:3">
      <c r="A17" t="s">
        <v>49</v>
      </c>
      <c r="B17" t="s">
        <v>232</v>
      </c>
      <c r="C17" s="18">
        <v>4.3533876706587399E-2</v>
      </c>
    </row>
    <row r="18" spans="1:3">
      <c r="A18" t="s">
        <v>49</v>
      </c>
      <c r="B18" t="s">
        <v>233</v>
      </c>
      <c r="C18" s="18">
        <v>3.7870933395161399E-2</v>
      </c>
    </row>
    <row r="19" spans="1:3">
      <c r="A19" t="s">
        <v>49</v>
      </c>
      <c r="B19" t="s">
        <v>234</v>
      </c>
      <c r="C19" s="18">
        <v>1.34494903646368E-2</v>
      </c>
    </row>
    <row r="20" spans="1:3">
      <c r="A20" t="s">
        <v>49</v>
      </c>
      <c r="B20" t="s">
        <v>235</v>
      </c>
      <c r="C20" s="18">
        <v>3.5393395696412498E-3</v>
      </c>
    </row>
    <row r="21" spans="1:3">
      <c r="A21" t="s">
        <v>49</v>
      </c>
      <c r="B21" t="s">
        <v>236</v>
      </c>
      <c r="C21" s="18">
        <v>2.4775376987488701E-3</v>
      </c>
    </row>
    <row r="22" spans="1:3">
      <c r="A22" t="s">
        <v>50</v>
      </c>
      <c r="B22" t="s">
        <v>232</v>
      </c>
      <c r="C22" s="18">
        <v>4.3533876706587399E-2</v>
      </c>
    </row>
    <row r="23" spans="1:3">
      <c r="A23" t="s">
        <v>50</v>
      </c>
      <c r="B23" t="s">
        <v>233</v>
      </c>
      <c r="C23" s="18">
        <v>3.7870933395161399E-2</v>
      </c>
    </row>
    <row r="24" spans="1:3">
      <c r="A24" t="s">
        <v>50</v>
      </c>
      <c r="B24" t="s">
        <v>234</v>
      </c>
      <c r="C24" s="18">
        <v>1.34494903646368E-2</v>
      </c>
    </row>
    <row r="25" spans="1:3">
      <c r="A25" t="s">
        <v>50</v>
      </c>
      <c r="B25" t="s">
        <v>235</v>
      </c>
      <c r="C25" s="18">
        <v>3.5393395696412498E-3</v>
      </c>
    </row>
    <row r="26" spans="1:3">
      <c r="A26" t="s">
        <v>50</v>
      </c>
      <c r="B26" t="s">
        <v>236</v>
      </c>
      <c r="C26" s="18">
        <v>2.4775376987488701E-3</v>
      </c>
    </row>
    <row r="27" spans="1:3">
      <c r="A27" t="s">
        <v>51</v>
      </c>
      <c r="B27" t="s">
        <v>232</v>
      </c>
      <c r="C27" s="18">
        <v>4.3533876706587399E-2</v>
      </c>
    </row>
    <row r="28" spans="1:3">
      <c r="A28" t="s">
        <v>51</v>
      </c>
      <c r="B28" t="s">
        <v>233</v>
      </c>
      <c r="C28" s="18">
        <v>3.7870933395161399E-2</v>
      </c>
    </row>
    <row r="29" spans="1:3">
      <c r="A29" t="s">
        <v>51</v>
      </c>
      <c r="B29" t="s">
        <v>234</v>
      </c>
      <c r="C29" s="18">
        <v>1.34494903646368E-2</v>
      </c>
    </row>
    <row r="30" spans="1:3">
      <c r="A30" t="s">
        <v>51</v>
      </c>
      <c r="B30" t="s">
        <v>235</v>
      </c>
      <c r="C30" s="18">
        <v>3.5393395696412498E-3</v>
      </c>
    </row>
    <row r="31" spans="1:3">
      <c r="A31" t="s">
        <v>51</v>
      </c>
      <c r="B31" t="s">
        <v>236</v>
      </c>
      <c r="C31" s="18">
        <v>2.4775376987488701E-3</v>
      </c>
    </row>
    <row r="32" spans="1:3">
      <c r="A32" t="s">
        <v>52</v>
      </c>
      <c r="B32" t="s">
        <v>232</v>
      </c>
      <c r="C32" s="18">
        <v>4.3533876706587399E-2</v>
      </c>
    </row>
    <row r="33" spans="1:3">
      <c r="A33" t="s">
        <v>52</v>
      </c>
      <c r="B33" t="s">
        <v>233</v>
      </c>
      <c r="C33" s="18">
        <v>3.7870933395161399E-2</v>
      </c>
    </row>
    <row r="34" spans="1:3">
      <c r="A34" t="s">
        <v>52</v>
      </c>
      <c r="B34" t="s">
        <v>234</v>
      </c>
      <c r="C34" s="18">
        <v>1.34494903646368E-2</v>
      </c>
    </row>
    <row r="35" spans="1:3">
      <c r="A35" t="s">
        <v>52</v>
      </c>
      <c r="B35" t="s">
        <v>235</v>
      </c>
      <c r="C35" s="18">
        <v>3.5393395696412498E-3</v>
      </c>
    </row>
    <row r="36" spans="1:3">
      <c r="A36" t="s">
        <v>52</v>
      </c>
      <c r="B36" t="s">
        <v>236</v>
      </c>
      <c r="C36" s="18">
        <v>2.4775376987488701E-3</v>
      </c>
    </row>
    <row r="37" spans="1:3">
      <c r="A37" t="s">
        <v>54</v>
      </c>
      <c r="B37" t="s">
        <v>232</v>
      </c>
      <c r="C37" s="18">
        <v>4.3533876706587399E-2</v>
      </c>
    </row>
    <row r="38" spans="1:3">
      <c r="A38" t="s">
        <v>54</v>
      </c>
      <c r="B38" t="s">
        <v>233</v>
      </c>
      <c r="C38" s="18">
        <v>3.7870933395161399E-2</v>
      </c>
    </row>
    <row r="39" spans="1:3">
      <c r="A39" t="s">
        <v>54</v>
      </c>
      <c r="B39" t="s">
        <v>234</v>
      </c>
      <c r="C39" s="18">
        <v>1.34494903646368E-2</v>
      </c>
    </row>
    <row r="40" spans="1:3">
      <c r="A40" t="s">
        <v>54</v>
      </c>
      <c r="B40" t="s">
        <v>235</v>
      </c>
      <c r="C40" s="18">
        <v>3.5393395696412498E-3</v>
      </c>
    </row>
    <row r="41" spans="1:3">
      <c r="A41" t="s">
        <v>54</v>
      </c>
      <c r="B41" t="s">
        <v>236</v>
      </c>
      <c r="C41" s="18">
        <v>2.4775376987488701E-3</v>
      </c>
    </row>
    <row r="42" spans="1:3">
      <c r="A42" t="s">
        <v>55</v>
      </c>
      <c r="B42" t="s">
        <v>232</v>
      </c>
      <c r="C42" s="18">
        <v>4.3533876706587399E-2</v>
      </c>
    </row>
    <row r="43" spans="1:3">
      <c r="A43" t="s">
        <v>55</v>
      </c>
      <c r="B43" t="s">
        <v>233</v>
      </c>
      <c r="C43" s="18">
        <v>3.7870933395161399E-2</v>
      </c>
    </row>
    <row r="44" spans="1:3">
      <c r="A44" t="s">
        <v>55</v>
      </c>
      <c r="B44" t="s">
        <v>234</v>
      </c>
      <c r="C44" s="18">
        <v>1.34494903646368E-2</v>
      </c>
    </row>
    <row r="45" spans="1:3">
      <c r="A45" t="s">
        <v>55</v>
      </c>
      <c r="B45" t="s">
        <v>235</v>
      </c>
      <c r="C45" s="18">
        <v>3.5393395696412498E-3</v>
      </c>
    </row>
    <row r="46" spans="1:3">
      <c r="A46" t="s">
        <v>55</v>
      </c>
      <c r="B46" t="s">
        <v>236</v>
      </c>
      <c r="C46" s="18">
        <v>2.4775376987488701E-3</v>
      </c>
    </row>
    <row r="47" spans="1:3">
      <c r="A47" t="s">
        <v>56</v>
      </c>
      <c r="B47" t="s">
        <v>232</v>
      </c>
      <c r="C47" s="18">
        <v>4.3533876706587399E-2</v>
      </c>
    </row>
    <row r="48" spans="1:3">
      <c r="A48" t="s">
        <v>56</v>
      </c>
      <c r="B48" t="s">
        <v>233</v>
      </c>
      <c r="C48" s="18">
        <v>3.7870933395161399E-2</v>
      </c>
    </row>
    <row r="49" spans="1:3">
      <c r="A49" t="s">
        <v>56</v>
      </c>
      <c r="B49" t="s">
        <v>234</v>
      </c>
      <c r="C49" s="18">
        <v>1.34494903646368E-2</v>
      </c>
    </row>
    <row r="50" spans="1:3">
      <c r="A50" t="s">
        <v>56</v>
      </c>
      <c r="B50" t="s">
        <v>235</v>
      </c>
      <c r="C50" s="18">
        <v>3.5393395696412498E-3</v>
      </c>
    </row>
    <row r="51" spans="1:3">
      <c r="A51" t="s">
        <v>56</v>
      </c>
      <c r="B51" t="s">
        <v>236</v>
      </c>
      <c r="C51" s="18">
        <v>2.4775376987488701E-3</v>
      </c>
    </row>
    <row r="52" spans="1:3">
      <c r="A52" t="s">
        <v>57</v>
      </c>
      <c r="B52" t="s">
        <v>232</v>
      </c>
      <c r="C52" s="18">
        <v>4.3533876706587399E-2</v>
      </c>
    </row>
    <row r="53" spans="1:3">
      <c r="A53" t="s">
        <v>57</v>
      </c>
      <c r="B53" t="s">
        <v>233</v>
      </c>
      <c r="C53" s="18">
        <v>3.7870933395161399E-2</v>
      </c>
    </row>
    <row r="54" spans="1:3">
      <c r="A54" t="s">
        <v>57</v>
      </c>
      <c r="B54" t="s">
        <v>234</v>
      </c>
      <c r="C54" s="18">
        <v>1.34494903646368E-2</v>
      </c>
    </row>
    <row r="55" spans="1:3">
      <c r="A55" t="s">
        <v>57</v>
      </c>
      <c r="B55" t="s">
        <v>235</v>
      </c>
      <c r="C55" s="18">
        <v>3.5393395696412498E-3</v>
      </c>
    </row>
    <row r="56" spans="1:3">
      <c r="A56" t="s">
        <v>57</v>
      </c>
      <c r="B56" t="s">
        <v>236</v>
      </c>
      <c r="C56" s="18">
        <v>2.4775376987488701E-3</v>
      </c>
    </row>
    <row r="57" spans="1:3">
      <c r="A57" t="s">
        <v>58</v>
      </c>
      <c r="B57" t="s">
        <v>232</v>
      </c>
      <c r="C57" s="18">
        <v>4.3533876706587399E-2</v>
      </c>
    </row>
    <row r="58" spans="1:3">
      <c r="A58" t="s">
        <v>58</v>
      </c>
      <c r="B58" t="s">
        <v>233</v>
      </c>
      <c r="C58" s="18">
        <v>3.7870933395161399E-2</v>
      </c>
    </row>
    <row r="59" spans="1:3">
      <c r="A59" t="s">
        <v>58</v>
      </c>
      <c r="B59" t="s">
        <v>234</v>
      </c>
      <c r="C59" s="18">
        <v>1.34494903646368E-2</v>
      </c>
    </row>
    <row r="60" spans="1:3">
      <c r="A60" t="s">
        <v>58</v>
      </c>
      <c r="B60" t="s">
        <v>235</v>
      </c>
      <c r="C60" s="18">
        <v>3.5393395696412498E-3</v>
      </c>
    </row>
    <row r="61" spans="1:3">
      <c r="A61" t="s">
        <v>58</v>
      </c>
      <c r="B61" t="s">
        <v>236</v>
      </c>
      <c r="C61" s="18">
        <v>2.4775376987488701E-3</v>
      </c>
    </row>
    <row r="62" spans="1:3">
      <c r="A62" t="s">
        <v>59</v>
      </c>
      <c r="B62" t="s">
        <v>232</v>
      </c>
      <c r="C62" s="18">
        <v>4.3533876706587399E-2</v>
      </c>
    </row>
    <row r="63" spans="1:3">
      <c r="A63" t="s">
        <v>59</v>
      </c>
      <c r="B63" t="s">
        <v>233</v>
      </c>
      <c r="C63" s="18">
        <v>3.7870933395161399E-2</v>
      </c>
    </row>
    <row r="64" spans="1:3">
      <c r="A64" t="s">
        <v>59</v>
      </c>
      <c r="B64" t="s">
        <v>234</v>
      </c>
      <c r="C64" s="18">
        <v>1.34494903646368E-2</v>
      </c>
    </row>
    <row r="65" spans="1:3">
      <c r="A65" t="s">
        <v>59</v>
      </c>
      <c r="B65" t="s">
        <v>235</v>
      </c>
      <c r="C65" s="18">
        <v>3.5393395696412498E-3</v>
      </c>
    </row>
    <row r="66" spans="1:3">
      <c r="A66" t="s">
        <v>59</v>
      </c>
      <c r="B66" t="s">
        <v>236</v>
      </c>
      <c r="C66" s="18">
        <v>2.4775376987488701E-3</v>
      </c>
    </row>
    <row r="67" spans="1:3">
      <c r="A67" t="s">
        <v>60</v>
      </c>
      <c r="B67" t="s">
        <v>232</v>
      </c>
      <c r="C67" s="18">
        <v>4.3533876706587399E-2</v>
      </c>
    </row>
    <row r="68" spans="1:3">
      <c r="A68" t="s">
        <v>60</v>
      </c>
      <c r="B68" t="s">
        <v>233</v>
      </c>
      <c r="C68" s="18">
        <v>3.7870933395161399E-2</v>
      </c>
    </row>
    <row r="69" spans="1:3">
      <c r="A69" t="s">
        <v>60</v>
      </c>
      <c r="B69" t="s">
        <v>234</v>
      </c>
      <c r="C69" s="18">
        <v>1.34494903646368E-2</v>
      </c>
    </row>
    <row r="70" spans="1:3">
      <c r="A70" t="s">
        <v>60</v>
      </c>
      <c r="B70" t="s">
        <v>235</v>
      </c>
      <c r="C70" s="18">
        <v>3.5393395696412498E-3</v>
      </c>
    </row>
    <row r="71" spans="1:3">
      <c r="A71" t="s">
        <v>60</v>
      </c>
      <c r="B71" t="s">
        <v>236</v>
      </c>
      <c r="C71" s="18">
        <v>2.4775376987488701E-3</v>
      </c>
    </row>
    <row r="72" spans="1:3">
      <c r="A72" t="s">
        <v>61</v>
      </c>
      <c r="B72" t="s">
        <v>232</v>
      </c>
      <c r="C72" s="18">
        <v>4.3533876706587399E-2</v>
      </c>
    </row>
    <row r="73" spans="1:3">
      <c r="A73" t="s">
        <v>61</v>
      </c>
      <c r="B73" t="s">
        <v>233</v>
      </c>
      <c r="C73" s="18">
        <v>3.7870933395161399E-2</v>
      </c>
    </row>
    <row r="74" spans="1:3">
      <c r="A74" t="s">
        <v>61</v>
      </c>
      <c r="B74" t="s">
        <v>234</v>
      </c>
      <c r="C74" s="18">
        <v>1.34494903646368E-2</v>
      </c>
    </row>
    <row r="75" spans="1:3">
      <c r="A75" t="s">
        <v>61</v>
      </c>
      <c r="B75" t="s">
        <v>235</v>
      </c>
      <c r="C75" s="18">
        <v>3.5393395696412498E-3</v>
      </c>
    </row>
    <row r="76" spans="1:3">
      <c r="A76" t="s">
        <v>61</v>
      </c>
      <c r="B76" t="s">
        <v>236</v>
      </c>
      <c r="C76" s="18">
        <v>2.4775376987488701E-3</v>
      </c>
    </row>
    <row r="77" spans="1:3">
      <c r="A77" t="s">
        <v>62</v>
      </c>
      <c r="B77" t="s">
        <v>232</v>
      </c>
      <c r="C77" s="18">
        <v>4.3533876706587399E-2</v>
      </c>
    </row>
    <row r="78" spans="1:3">
      <c r="A78" t="s">
        <v>62</v>
      </c>
      <c r="B78" t="s">
        <v>233</v>
      </c>
      <c r="C78" s="18">
        <v>3.7870933395161399E-2</v>
      </c>
    </row>
    <row r="79" spans="1:3">
      <c r="A79" t="s">
        <v>62</v>
      </c>
      <c r="B79" t="s">
        <v>234</v>
      </c>
      <c r="C79" s="18">
        <v>1.34494903646368E-2</v>
      </c>
    </row>
    <row r="80" spans="1:3">
      <c r="A80" t="s">
        <v>62</v>
      </c>
      <c r="B80" t="s">
        <v>235</v>
      </c>
      <c r="C80" s="18">
        <v>3.5393395696412498E-3</v>
      </c>
    </row>
    <row r="81" spans="1:3">
      <c r="A81" t="s">
        <v>62</v>
      </c>
      <c r="B81" t="s">
        <v>236</v>
      </c>
      <c r="C81" s="18">
        <v>2.4775376987488701E-3</v>
      </c>
    </row>
    <row r="82" spans="1:3">
      <c r="A82" t="s">
        <v>63</v>
      </c>
      <c r="B82" t="s">
        <v>232</v>
      </c>
      <c r="C82" s="18">
        <v>4.3533876706587399E-2</v>
      </c>
    </row>
    <row r="83" spans="1:3">
      <c r="A83" t="s">
        <v>63</v>
      </c>
      <c r="B83" t="s">
        <v>233</v>
      </c>
      <c r="C83" s="18">
        <v>3.7870933395161399E-2</v>
      </c>
    </row>
    <row r="84" spans="1:3">
      <c r="A84" t="s">
        <v>63</v>
      </c>
      <c r="B84" t="s">
        <v>234</v>
      </c>
      <c r="C84" s="18">
        <v>1.34494903646368E-2</v>
      </c>
    </row>
    <row r="85" spans="1:3">
      <c r="A85" t="s">
        <v>63</v>
      </c>
      <c r="B85" t="s">
        <v>235</v>
      </c>
      <c r="C85" s="18">
        <v>3.5393395696412498E-3</v>
      </c>
    </row>
    <row r="86" spans="1:3">
      <c r="A86" t="s">
        <v>63</v>
      </c>
      <c r="B86" t="s">
        <v>236</v>
      </c>
      <c r="C86" s="18">
        <v>2.4775376987488701E-3</v>
      </c>
    </row>
    <row r="87" spans="1:3">
      <c r="A87" t="s">
        <v>64</v>
      </c>
      <c r="B87" t="s">
        <v>232</v>
      </c>
      <c r="C87" s="18">
        <v>4.3533876706587399E-2</v>
      </c>
    </row>
    <row r="88" spans="1:3">
      <c r="A88" t="s">
        <v>64</v>
      </c>
      <c r="B88" t="s">
        <v>233</v>
      </c>
      <c r="C88" s="18">
        <v>3.7870933395161399E-2</v>
      </c>
    </row>
    <row r="89" spans="1:3">
      <c r="A89" t="s">
        <v>64</v>
      </c>
      <c r="B89" t="s">
        <v>234</v>
      </c>
      <c r="C89" s="18">
        <v>1.34494903646368E-2</v>
      </c>
    </row>
    <row r="90" spans="1:3">
      <c r="A90" t="s">
        <v>64</v>
      </c>
      <c r="B90" t="s">
        <v>235</v>
      </c>
      <c r="C90" s="18">
        <v>3.5393395696412498E-3</v>
      </c>
    </row>
    <row r="91" spans="1:3">
      <c r="A91" t="s">
        <v>64</v>
      </c>
      <c r="B91" t="s">
        <v>236</v>
      </c>
      <c r="C91" s="18">
        <v>2.4775376987488701E-3</v>
      </c>
    </row>
    <row r="92" spans="1:3">
      <c r="A92" t="s">
        <v>65</v>
      </c>
      <c r="B92" t="s">
        <v>232</v>
      </c>
      <c r="C92" s="18">
        <v>4.3533876706587399E-2</v>
      </c>
    </row>
    <row r="93" spans="1:3">
      <c r="A93" t="s">
        <v>65</v>
      </c>
      <c r="B93" t="s">
        <v>233</v>
      </c>
      <c r="C93" s="18">
        <v>3.7870933395161399E-2</v>
      </c>
    </row>
    <row r="94" spans="1:3">
      <c r="A94" t="s">
        <v>65</v>
      </c>
      <c r="B94" t="s">
        <v>234</v>
      </c>
      <c r="C94" s="18">
        <v>1.34494903646368E-2</v>
      </c>
    </row>
    <row r="95" spans="1:3">
      <c r="A95" t="s">
        <v>65</v>
      </c>
      <c r="B95" t="s">
        <v>235</v>
      </c>
      <c r="C95" s="18">
        <v>3.5393395696412498E-3</v>
      </c>
    </row>
    <row r="96" spans="1:3">
      <c r="A96" t="s">
        <v>65</v>
      </c>
      <c r="B96" t="s">
        <v>236</v>
      </c>
      <c r="C96" s="18">
        <v>2.4775376987488701E-3</v>
      </c>
    </row>
    <row r="97" spans="1:3">
      <c r="A97" t="s">
        <v>66</v>
      </c>
      <c r="B97" t="s">
        <v>232</v>
      </c>
      <c r="C97" s="18">
        <v>4.3533876706587399E-2</v>
      </c>
    </row>
    <row r="98" spans="1:3">
      <c r="A98" t="s">
        <v>66</v>
      </c>
      <c r="B98" t="s">
        <v>233</v>
      </c>
      <c r="C98" s="18">
        <v>3.7870933395161399E-2</v>
      </c>
    </row>
    <row r="99" spans="1:3">
      <c r="A99" t="s">
        <v>66</v>
      </c>
      <c r="B99" t="s">
        <v>234</v>
      </c>
      <c r="C99" s="18">
        <v>1.34494903646368E-2</v>
      </c>
    </row>
    <row r="100" spans="1:3">
      <c r="A100" t="s">
        <v>66</v>
      </c>
      <c r="B100" t="s">
        <v>235</v>
      </c>
      <c r="C100" s="18">
        <v>3.5393395696412498E-3</v>
      </c>
    </row>
    <row r="101" spans="1:3">
      <c r="A101" t="s">
        <v>66</v>
      </c>
      <c r="B101" t="s">
        <v>236</v>
      </c>
      <c r="C101" s="18">
        <v>2.4775376987488701E-3</v>
      </c>
    </row>
    <row r="102" spans="1:3">
      <c r="A102" t="s">
        <v>67</v>
      </c>
      <c r="B102" t="s">
        <v>232</v>
      </c>
      <c r="C102" s="18">
        <v>4.3533876706587399E-2</v>
      </c>
    </row>
    <row r="103" spans="1:3">
      <c r="A103" t="s">
        <v>67</v>
      </c>
      <c r="B103" t="s">
        <v>233</v>
      </c>
      <c r="C103" s="18">
        <v>3.7870933395161399E-2</v>
      </c>
    </row>
    <row r="104" spans="1:3">
      <c r="A104" t="s">
        <v>67</v>
      </c>
      <c r="B104" t="s">
        <v>234</v>
      </c>
      <c r="C104" s="18">
        <v>1.34494903646368E-2</v>
      </c>
    </row>
    <row r="105" spans="1:3">
      <c r="A105" t="s">
        <v>67</v>
      </c>
      <c r="B105" t="s">
        <v>235</v>
      </c>
      <c r="C105" s="18">
        <v>3.5393395696412498E-3</v>
      </c>
    </row>
    <row r="106" spans="1:3">
      <c r="A106" t="s">
        <v>67</v>
      </c>
      <c r="B106" t="s">
        <v>236</v>
      </c>
      <c r="C106" s="18">
        <v>2.4775376987488701E-3</v>
      </c>
    </row>
    <row r="107" spans="1:3">
      <c r="A107" t="s">
        <v>68</v>
      </c>
      <c r="B107" t="s">
        <v>232</v>
      </c>
      <c r="C107" s="18">
        <v>4.3533876706587399E-2</v>
      </c>
    </row>
    <row r="108" spans="1:3">
      <c r="A108" t="s">
        <v>68</v>
      </c>
      <c r="B108" t="s">
        <v>233</v>
      </c>
      <c r="C108" s="18">
        <v>3.7870933395161399E-2</v>
      </c>
    </row>
    <row r="109" spans="1:3">
      <c r="A109" t="s">
        <v>68</v>
      </c>
      <c r="B109" t="s">
        <v>234</v>
      </c>
      <c r="C109" s="18">
        <v>1.34494903646368E-2</v>
      </c>
    </row>
    <row r="110" spans="1:3">
      <c r="A110" t="s">
        <v>68</v>
      </c>
      <c r="B110" t="s">
        <v>235</v>
      </c>
      <c r="C110" s="18">
        <v>3.5393395696412498E-3</v>
      </c>
    </row>
    <row r="111" spans="1:3">
      <c r="A111" t="s">
        <v>68</v>
      </c>
      <c r="B111" t="s">
        <v>236</v>
      </c>
      <c r="C111" s="18">
        <v>2.4775376987488701E-3</v>
      </c>
    </row>
    <row r="112" spans="1:3">
      <c r="A112" t="s">
        <v>69</v>
      </c>
      <c r="B112" t="s">
        <v>232</v>
      </c>
      <c r="C112" s="18">
        <v>4.3533876706587399E-2</v>
      </c>
    </row>
    <row r="113" spans="1:3">
      <c r="A113" t="s">
        <v>69</v>
      </c>
      <c r="B113" t="s">
        <v>233</v>
      </c>
      <c r="C113" s="18">
        <v>3.7870933395161399E-2</v>
      </c>
    </row>
    <row r="114" spans="1:3">
      <c r="A114" t="s">
        <v>69</v>
      </c>
      <c r="B114" t="s">
        <v>234</v>
      </c>
      <c r="C114" s="18">
        <v>1.34494903646368E-2</v>
      </c>
    </row>
    <row r="115" spans="1:3">
      <c r="A115" t="s">
        <v>69</v>
      </c>
      <c r="B115" t="s">
        <v>235</v>
      </c>
      <c r="C115" s="18">
        <v>3.5393395696412498E-3</v>
      </c>
    </row>
    <row r="116" spans="1:3">
      <c r="A116" t="s">
        <v>69</v>
      </c>
      <c r="B116" t="s">
        <v>236</v>
      </c>
      <c r="C116" s="18">
        <v>2.4775376987488701E-3</v>
      </c>
    </row>
    <row r="117" spans="1:3">
      <c r="A117" t="s">
        <v>70</v>
      </c>
      <c r="B117" t="s">
        <v>232</v>
      </c>
      <c r="C117" s="18">
        <v>4.3533876706587399E-2</v>
      </c>
    </row>
    <row r="118" spans="1:3">
      <c r="A118" t="s">
        <v>70</v>
      </c>
      <c r="B118" t="s">
        <v>233</v>
      </c>
      <c r="C118" s="18">
        <v>3.7870933395161399E-2</v>
      </c>
    </row>
    <row r="119" spans="1:3">
      <c r="A119" t="s">
        <v>70</v>
      </c>
      <c r="B119" t="s">
        <v>234</v>
      </c>
      <c r="C119" s="18">
        <v>1.34494903646368E-2</v>
      </c>
    </row>
    <row r="120" spans="1:3">
      <c r="A120" t="s">
        <v>70</v>
      </c>
      <c r="B120" t="s">
        <v>235</v>
      </c>
      <c r="C120" s="18">
        <v>3.5393395696412498E-3</v>
      </c>
    </row>
    <row r="121" spans="1:3">
      <c r="A121" t="s">
        <v>70</v>
      </c>
      <c r="B121" t="s">
        <v>236</v>
      </c>
      <c r="C121" s="18">
        <v>2.4775376987488701E-3</v>
      </c>
    </row>
    <row r="122" spans="1:3">
      <c r="A122" t="s">
        <v>71</v>
      </c>
      <c r="B122" t="s">
        <v>232</v>
      </c>
      <c r="C122" s="18">
        <v>4.3533876706587399E-2</v>
      </c>
    </row>
    <row r="123" spans="1:3">
      <c r="A123" t="s">
        <v>71</v>
      </c>
      <c r="B123" t="s">
        <v>233</v>
      </c>
      <c r="C123" s="18">
        <v>3.7870933395161399E-2</v>
      </c>
    </row>
    <row r="124" spans="1:3">
      <c r="A124" t="s">
        <v>71</v>
      </c>
      <c r="B124" t="s">
        <v>234</v>
      </c>
      <c r="C124" s="18">
        <v>1.34494903646368E-2</v>
      </c>
    </row>
    <row r="125" spans="1:3">
      <c r="A125" t="s">
        <v>71</v>
      </c>
      <c r="B125" t="s">
        <v>235</v>
      </c>
      <c r="C125" s="18">
        <v>3.5393395696412498E-3</v>
      </c>
    </row>
    <row r="126" spans="1:3">
      <c r="A126" t="s">
        <v>71</v>
      </c>
      <c r="B126" t="s">
        <v>236</v>
      </c>
      <c r="C126" s="18">
        <v>2.4775376987488701E-3</v>
      </c>
    </row>
    <row r="127" spans="1:3">
      <c r="A127" t="s">
        <v>72</v>
      </c>
      <c r="B127" t="s">
        <v>232</v>
      </c>
      <c r="C127" s="18">
        <v>4.3533876706587399E-2</v>
      </c>
    </row>
    <row r="128" spans="1:3">
      <c r="A128" t="s">
        <v>72</v>
      </c>
      <c r="B128" t="s">
        <v>233</v>
      </c>
      <c r="C128" s="18">
        <v>3.7870933395161399E-2</v>
      </c>
    </row>
    <row r="129" spans="1:3">
      <c r="A129" t="s">
        <v>72</v>
      </c>
      <c r="B129" t="s">
        <v>234</v>
      </c>
      <c r="C129" s="18">
        <v>1.34494903646368E-2</v>
      </c>
    </row>
    <row r="130" spans="1:3">
      <c r="A130" t="s">
        <v>72</v>
      </c>
      <c r="B130" t="s">
        <v>235</v>
      </c>
      <c r="C130" s="18">
        <v>3.5393395696412498E-3</v>
      </c>
    </row>
    <row r="131" spans="1:3">
      <c r="A131" t="s">
        <v>72</v>
      </c>
      <c r="B131" t="s">
        <v>236</v>
      </c>
      <c r="C131" s="18">
        <v>2.4775376987488701E-3</v>
      </c>
    </row>
    <row r="132" spans="1:3">
      <c r="A132" t="s">
        <v>73</v>
      </c>
      <c r="B132" t="s">
        <v>232</v>
      </c>
      <c r="C132" s="18">
        <v>4.3533876706587399E-2</v>
      </c>
    </row>
    <row r="133" spans="1:3">
      <c r="A133" t="s">
        <v>73</v>
      </c>
      <c r="B133" t="s">
        <v>233</v>
      </c>
      <c r="C133" s="18">
        <v>3.7870933395161399E-2</v>
      </c>
    </row>
    <row r="134" spans="1:3">
      <c r="A134" t="s">
        <v>73</v>
      </c>
      <c r="B134" t="s">
        <v>234</v>
      </c>
      <c r="C134" s="18">
        <v>1.34494903646368E-2</v>
      </c>
    </row>
    <row r="135" spans="1:3">
      <c r="A135" t="s">
        <v>73</v>
      </c>
      <c r="B135" t="s">
        <v>235</v>
      </c>
      <c r="C135" s="18">
        <v>3.5393395696412498E-3</v>
      </c>
    </row>
    <row r="136" spans="1:3">
      <c r="A136" t="s">
        <v>73</v>
      </c>
      <c r="B136" t="s">
        <v>236</v>
      </c>
      <c r="C136" s="18">
        <v>2.4775376987488701E-3</v>
      </c>
    </row>
    <row r="137" spans="1:3">
      <c r="A137" t="s">
        <v>74</v>
      </c>
      <c r="B137" t="s">
        <v>232</v>
      </c>
      <c r="C137" s="18">
        <v>4.3533876706587399E-2</v>
      </c>
    </row>
    <row r="138" spans="1:3">
      <c r="A138" t="s">
        <v>74</v>
      </c>
      <c r="B138" t="s">
        <v>233</v>
      </c>
      <c r="C138" s="18">
        <v>3.7870933395161399E-2</v>
      </c>
    </row>
    <row r="139" spans="1:3">
      <c r="A139" t="s">
        <v>74</v>
      </c>
      <c r="B139" t="s">
        <v>234</v>
      </c>
      <c r="C139" s="18">
        <v>1.34494903646368E-2</v>
      </c>
    </row>
    <row r="140" spans="1:3">
      <c r="A140" t="s">
        <v>74</v>
      </c>
      <c r="B140" t="s">
        <v>235</v>
      </c>
      <c r="C140" s="18">
        <v>3.5393395696412498E-3</v>
      </c>
    </row>
    <row r="141" spans="1:3">
      <c r="A141" t="s">
        <v>74</v>
      </c>
      <c r="B141" t="s">
        <v>236</v>
      </c>
      <c r="C141" s="18">
        <v>2.4775376987488701E-3</v>
      </c>
    </row>
    <row r="142" spans="1:3">
      <c r="A142" t="s">
        <v>75</v>
      </c>
      <c r="B142" t="s">
        <v>232</v>
      </c>
      <c r="C142" s="18">
        <v>4.3533876706587399E-2</v>
      </c>
    </row>
    <row r="143" spans="1:3">
      <c r="A143" t="s">
        <v>75</v>
      </c>
      <c r="B143" t="s">
        <v>233</v>
      </c>
      <c r="C143" s="18">
        <v>3.7870933395161399E-2</v>
      </c>
    </row>
    <row r="144" spans="1:3">
      <c r="A144" t="s">
        <v>75</v>
      </c>
      <c r="B144" t="s">
        <v>234</v>
      </c>
      <c r="C144" s="18">
        <v>1.34494903646368E-2</v>
      </c>
    </row>
    <row r="145" spans="1:3">
      <c r="A145" t="s">
        <v>75</v>
      </c>
      <c r="B145" t="s">
        <v>235</v>
      </c>
      <c r="C145" s="18">
        <v>3.5393395696412498E-3</v>
      </c>
    </row>
    <row r="146" spans="1:3">
      <c r="A146" t="s">
        <v>75</v>
      </c>
      <c r="B146" t="s">
        <v>236</v>
      </c>
      <c r="C146" s="18">
        <v>2.4775376987488701E-3</v>
      </c>
    </row>
    <row r="147" spans="1:3">
      <c r="A147" t="s">
        <v>76</v>
      </c>
      <c r="B147" t="s">
        <v>232</v>
      </c>
      <c r="C147" s="18">
        <v>4.3533876706587399E-2</v>
      </c>
    </row>
    <row r="148" spans="1:3">
      <c r="A148" t="s">
        <v>76</v>
      </c>
      <c r="B148" t="s">
        <v>233</v>
      </c>
      <c r="C148" s="18">
        <v>3.7870933395161399E-2</v>
      </c>
    </row>
    <row r="149" spans="1:3">
      <c r="A149" t="s">
        <v>76</v>
      </c>
      <c r="B149" t="s">
        <v>234</v>
      </c>
      <c r="C149" s="18">
        <v>1.34494903646368E-2</v>
      </c>
    </row>
    <row r="150" spans="1:3">
      <c r="A150" t="s">
        <v>76</v>
      </c>
      <c r="B150" t="s">
        <v>235</v>
      </c>
      <c r="C150" s="18">
        <v>3.5393395696412498E-3</v>
      </c>
    </row>
    <row r="151" spans="1:3">
      <c r="A151" t="s">
        <v>76</v>
      </c>
      <c r="B151" t="s">
        <v>236</v>
      </c>
      <c r="C151" s="18">
        <v>2.4775376987488701E-3</v>
      </c>
    </row>
    <row r="152" spans="1:3">
      <c r="A152" t="s">
        <v>77</v>
      </c>
      <c r="B152" t="s">
        <v>232</v>
      </c>
      <c r="C152" s="18">
        <v>4.3533876706587399E-2</v>
      </c>
    </row>
    <row r="153" spans="1:3">
      <c r="A153" t="s">
        <v>77</v>
      </c>
      <c r="B153" t="s">
        <v>233</v>
      </c>
      <c r="C153" s="18">
        <v>3.7870933395161399E-2</v>
      </c>
    </row>
    <row r="154" spans="1:3">
      <c r="A154" t="s">
        <v>77</v>
      </c>
      <c r="B154" t="s">
        <v>234</v>
      </c>
      <c r="C154" s="18">
        <v>1.34494903646368E-2</v>
      </c>
    </row>
    <row r="155" spans="1:3">
      <c r="A155" t="s">
        <v>77</v>
      </c>
      <c r="B155" t="s">
        <v>235</v>
      </c>
      <c r="C155" s="18">
        <v>3.5393395696412498E-3</v>
      </c>
    </row>
    <row r="156" spans="1:3">
      <c r="A156" t="s">
        <v>77</v>
      </c>
      <c r="B156" t="s">
        <v>236</v>
      </c>
      <c r="C156" s="18">
        <v>2.4775376987488701E-3</v>
      </c>
    </row>
    <row r="157" spans="1:3">
      <c r="A157" t="s">
        <v>78</v>
      </c>
      <c r="B157" t="s">
        <v>232</v>
      </c>
      <c r="C157" s="18">
        <v>4.3533876706587399E-2</v>
      </c>
    </row>
    <row r="158" spans="1:3">
      <c r="A158" t="s">
        <v>78</v>
      </c>
      <c r="B158" t="s">
        <v>233</v>
      </c>
      <c r="C158" s="18">
        <v>3.7870933395161399E-2</v>
      </c>
    </row>
    <row r="159" spans="1:3">
      <c r="A159" t="s">
        <v>78</v>
      </c>
      <c r="B159" t="s">
        <v>234</v>
      </c>
      <c r="C159" s="18">
        <v>1.34494903646368E-2</v>
      </c>
    </row>
    <row r="160" spans="1:3">
      <c r="A160" t="s">
        <v>78</v>
      </c>
      <c r="B160" t="s">
        <v>235</v>
      </c>
      <c r="C160" s="18">
        <v>3.5393395696412498E-3</v>
      </c>
    </row>
    <row r="161" spans="1:3">
      <c r="A161" t="s">
        <v>78</v>
      </c>
      <c r="B161" t="s">
        <v>236</v>
      </c>
      <c r="C161" s="18">
        <v>2.4775376987488701E-3</v>
      </c>
    </row>
    <row r="162" spans="1:3">
      <c r="A162" t="s">
        <v>79</v>
      </c>
      <c r="B162" t="s">
        <v>232</v>
      </c>
      <c r="C162" s="18">
        <v>4.3533876706587399E-2</v>
      </c>
    </row>
    <row r="163" spans="1:3">
      <c r="A163" t="s">
        <v>79</v>
      </c>
      <c r="B163" t="s">
        <v>233</v>
      </c>
      <c r="C163" s="18">
        <v>3.7870933395161399E-2</v>
      </c>
    </row>
    <row r="164" spans="1:3">
      <c r="A164" t="s">
        <v>79</v>
      </c>
      <c r="B164" t="s">
        <v>234</v>
      </c>
      <c r="C164" s="18">
        <v>1.34494903646368E-2</v>
      </c>
    </row>
    <row r="165" spans="1:3">
      <c r="A165" t="s">
        <v>79</v>
      </c>
      <c r="B165" t="s">
        <v>235</v>
      </c>
      <c r="C165" s="18">
        <v>3.5393395696412498E-3</v>
      </c>
    </row>
    <row r="166" spans="1:3">
      <c r="A166" t="s">
        <v>79</v>
      </c>
      <c r="B166" t="s">
        <v>236</v>
      </c>
      <c r="C166" s="18">
        <v>2.4775376987488701E-3</v>
      </c>
    </row>
    <row r="167" spans="1:3">
      <c r="A167" t="s">
        <v>81</v>
      </c>
      <c r="B167" t="s">
        <v>232</v>
      </c>
      <c r="C167" s="18">
        <v>4.3533876706587399E-2</v>
      </c>
    </row>
    <row r="168" spans="1:3">
      <c r="A168" t="s">
        <v>81</v>
      </c>
      <c r="B168" t="s">
        <v>233</v>
      </c>
      <c r="C168" s="18">
        <v>3.7870933395161399E-2</v>
      </c>
    </row>
    <row r="169" spans="1:3">
      <c r="A169" t="s">
        <v>81</v>
      </c>
      <c r="B169" t="s">
        <v>234</v>
      </c>
      <c r="C169" s="18">
        <v>1.34494903646368E-2</v>
      </c>
    </row>
    <row r="170" spans="1:3">
      <c r="A170" t="s">
        <v>81</v>
      </c>
      <c r="B170" t="s">
        <v>235</v>
      </c>
      <c r="C170" s="18">
        <v>3.5393395696412498E-3</v>
      </c>
    </row>
    <row r="171" spans="1:3">
      <c r="A171" t="s">
        <v>81</v>
      </c>
      <c r="B171" t="s">
        <v>236</v>
      </c>
      <c r="C171" s="18">
        <v>2.4775376987488701E-3</v>
      </c>
    </row>
    <row r="172" spans="1:3">
      <c r="A172" t="s">
        <v>82</v>
      </c>
      <c r="B172" t="s">
        <v>232</v>
      </c>
      <c r="C172" s="18">
        <v>4.3533876706587399E-2</v>
      </c>
    </row>
    <row r="173" spans="1:3">
      <c r="A173" t="s">
        <v>82</v>
      </c>
      <c r="B173" t="s">
        <v>233</v>
      </c>
      <c r="C173" s="18">
        <v>3.7870933395161399E-2</v>
      </c>
    </row>
    <row r="174" spans="1:3">
      <c r="A174" t="s">
        <v>82</v>
      </c>
      <c r="B174" t="s">
        <v>234</v>
      </c>
      <c r="C174" s="18">
        <v>1.34494903646368E-2</v>
      </c>
    </row>
    <row r="175" spans="1:3">
      <c r="A175" t="s">
        <v>82</v>
      </c>
      <c r="B175" t="s">
        <v>235</v>
      </c>
      <c r="C175" s="18">
        <v>3.5393395696412498E-3</v>
      </c>
    </row>
    <row r="176" spans="1:3">
      <c r="A176" t="s">
        <v>82</v>
      </c>
      <c r="B176" t="s">
        <v>236</v>
      </c>
      <c r="C176" s="18">
        <v>2.4775376987488701E-3</v>
      </c>
    </row>
    <row r="177" spans="1:3">
      <c r="A177" t="s">
        <v>83</v>
      </c>
      <c r="B177" t="s">
        <v>232</v>
      </c>
      <c r="C177" s="18">
        <v>4.3533876706587399E-2</v>
      </c>
    </row>
    <row r="178" spans="1:3">
      <c r="A178" t="s">
        <v>83</v>
      </c>
      <c r="B178" t="s">
        <v>233</v>
      </c>
      <c r="C178" s="18">
        <v>3.7870933395161399E-2</v>
      </c>
    </row>
    <row r="179" spans="1:3">
      <c r="A179" t="s">
        <v>83</v>
      </c>
      <c r="B179" t="s">
        <v>234</v>
      </c>
      <c r="C179" s="18">
        <v>1.34494903646368E-2</v>
      </c>
    </row>
    <row r="180" spans="1:3">
      <c r="A180" t="s">
        <v>83</v>
      </c>
      <c r="B180" t="s">
        <v>235</v>
      </c>
      <c r="C180" s="18">
        <v>3.5393395696412498E-3</v>
      </c>
    </row>
    <row r="181" spans="1:3">
      <c r="A181" t="s">
        <v>83</v>
      </c>
      <c r="B181" t="s">
        <v>236</v>
      </c>
      <c r="C181" s="18">
        <v>2.4775376987488701E-3</v>
      </c>
    </row>
    <row r="182" spans="1:3">
      <c r="A182" t="s">
        <v>84</v>
      </c>
      <c r="B182" t="s">
        <v>232</v>
      </c>
      <c r="C182" s="18">
        <v>4.3533876706587399E-2</v>
      </c>
    </row>
    <row r="183" spans="1:3">
      <c r="A183" t="s">
        <v>84</v>
      </c>
      <c r="B183" t="s">
        <v>233</v>
      </c>
      <c r="C183" s="18">
        <v>3.7870933395161399E-2</v>
      </c>
    </row>
    <row r="184" spans="1:3">
      <c r="A184" t="s">
        <v>84</v>
      </c>
      <c r="B184" t="s">
        <v>234</v>
      </c>
      <c r="C184" s="18">
        <v>1.34494903646368E-2</v>
      </c>
    </row>
    <row r="185" spans="1:3">
      <c r="A185" t="s">
        <v>84</v>
      </c>
      <c r="B185" t="s">
        <v>235</v>
      </c>
      <c r="C185" s="18">
        <v>3.5393395696412498E-3</v>
      </c>
    </row>
    <row r="186" spans="1:3">
      <c r="A186" t="s">
        <v>84</v>
      </c>
      <c r="B186" t="s">
        <v>236</v>
      </c>
      <c r="C186" s="18">
        <v>2.4775376987488701E-3</v>
      </c>
    </row>
    <row r="187" spans="1:3">
      <c r="A187" t="s">
        <v>85</v>
      </c>
      <c r="B187" t="s">
        <v>232</v>
      </c>
      <c r="C187" s="18">
        <v>4.3533876706587399E-2</v>
      </c>
    </row>
    <row r="188" spans="1:3">
      <c r="A188" t="s">
        <v>85</v>
      </c>
      <c r="B188" t="s">
        <v>233</v>
      </c>
      <c r="C188" s="18">
        <v>3.7870933395161399E-2</v>
      </c>
    </row>
    <row r="189" spans="1:3">
      <c r="A189" t="s">
        <v>85</v>
      </c>
      <c r="B189" t="s">
        <v>234</v>
      </c>
      <c r="C189" s="18">
        <v>1.34494903646368E-2</v>
      </c>
    </row>
    <row r="190" spans="1:3">
      <c r="A190" t="s">
        <v>85</v>
      </c>
      <c r="B190" t="s">
        <v>235</v>
      </c>
      <c r="C190" s="18">
        <v>3.5393395696412498E-3</v>
      </c>
    </row>
    <row r="191" spans="1:3">
      <c r="A191" t="s">
        <v>85</v>
      </c>
      <c r="B191" t="s">
        <v>236</v>
      </c>
      <c r="C191" s="18">
        <v>2.4775376987488701E-3</v>
      </c>
    </row>
    <row r="192" spans="1:3">
      <c r="A192" t="s">
        <v>86</v>
      </c>
      <c r="B192" t="s">
        <v>232</v>
      </c>
      <c r="C192" s="18">
        <v>4.3533876706587399E-2</v>
      </c>
    </row>
    <row r="193" spans="1:3">
      <c r="A193" t="s">
        <v>86</v>
      </c>
      <c r="B193" t="s">
        <v>233</v>
      </c>
      <c r="C193" s="18">
        <v>3.7870933395161399E-2</v>
      </c>
    </row>
    <row r="194" spans="1:3">
      <c r="A194" t="s">
        <v>86</v>
      </c>
      <c r="B194" t="s">
        <v>234</v>
      </c>
      <c r="C194" s="18">
        <v>1.34494903646368E-2</v>
      </c>
    </row>
    <row r="195" spans="1:3">
      <c r="A195" t="s">
        <v>86</v>
      </c>
      <c r="B195" t="s">
        <v>235</v>
      </c>
      <c r="C195" s="18">
        <v>3.5393395696412498E-3</v>
      </c>
    </row>
    <row r="196" spans="1:3">
      <c r="A196" t="s">
        <v>86</v>
      </c>
      <c r="B196" t="s">
        <v>236</v>
      </c>
      <c r="C196" s="18">
        <v>2.4775376987488701E-3</v>
      </c>
    </row>
    <row r="197" spans="1:3">
      <c r="A197" t="s">
        <v>87</v>
      </c>
      <c r="B197" t="s">
        <v>232</v>
      </c>
      <c r="C197" s="18">
        <v>4.3533876706587399E-2</v>
      </c>
    </row>
    <row r="198" spans="1:3">
      <c r="A198" t="s">
        <v>87</v>
      </c>
      <c r="B198" t="s">
        <v>233</v>
      </c>
      <c r="C198" s="18">
        <v>3.7870933395161399E-2</v>
      </c>
    </row>
    <row r="199" spans="1:3">
      <c r="A199" t="s">
        <v>87</v>
      </c>
      <c r="B199" t="s">
        <v>234</v>
      </c>
      <c r="C199" s="18">
        <v>1.34494903646368E-2</v>
      </c>
    </row>
    <row r="200" spans="1:3">
      <c r="A200" t="s">
        <v>87</v>
      </c>
      <c r="B200" t="s">
        <v>235</v>
      </c>
      <c r="C200" s="18">
        <v>3.5393395696412498E-3</v>
      </c>
    </row>
    <row r="201" spans="1:3">
      <c r="A201" t="s">
        <v>87</v>
      </c>
      <c r="B201" t="s">
        <v>236</v>
      </c>
      <c r="C201" s="18">
        <v>2.4775376987488701E-3</v>
      </c>
    </row>
    <row r="202" spans="1:3">
      <c r="A202" t="s">
        <v>88</v>
      </c>
      <c r="B202" t="s">
        <v>232</v>
      </c>
      <c r="C202" s="18">
        <v>4.3533876706587399E-2</v>
      </c>
    </row>
    <row r="203" spans="1:3">
      <c r="A203" t="s">
        <v>88</v>
      </c>
      <c r="B203" t="s">
        <v>233</v>
      </c>
      <c r="C203" s="18">
        <v>3.7870933395161399E-2</v>
      </c>
    </row>
    <row r="204" spans="1:3">
      <c r="A204" t="s">
        <v>88</v>
      </c>
      <c r="B204" t="s">
        <v>234</v>
      </c>
      <c r="C204" s="18">
        <v>1.34494903646368E-2</v>
      </c>
    </row>
    <row r="205" spans="1:3">
      <c r="A205" t="s">
        <v>88</v>
      </c>
      <c r="B205" t="s">
        <v>235</v>
      </c>
      <c r="C205" s="18">
        <v>3.5393395696412498E-3</v>
      </c>
    </row>
    <row r="206" spans="1:3">
      <c r="A206" t="s">
        <v>88</v>
      </c>
      <c r="B206" t="s">
        <v>236</v>
      </c>
      <c r="C206" s="18">
        <v>2.4775376987488701E-3</v>
      </c>
    </row>
    <row r="207" spans="1:3">
      <c r="A207" t="s">
        <v>89</v>
      </c>
      <c r="B207" t="s">
        <v>232</v>
      </c>
      <c r="C207" s="18">
        <v>4.3533876706587399E-2</v>
      </c>
    </row>
    <row r="208" spans="1:3">
      <c r="A208" t="s">
        <v>89</v>
      </c>
      <c r="B208" t="s">
        <v>233</v>
      </c>
      <c r="C208" s="18">
        <v>3.7870933395161399E-2</v>
      </c>
    </row>
    <row r="209" spans="1:3">
      <c r="A209" t="s">
        <v>89</v>
      </c>
      <c r="B209" t="s">
        <v>234</v>
      </c>
      <c r="C209" s="18">
        <v>1.34494903646368E-2</v>
      </c>
    </row>
    <row r="210" spans="1:3">
      <c r="A210" t="s">
        <v>89</v>
      </c>
      <c r="B210" t="s">
        <v>235</v>
      </c>
      <c r="C210" s="18">
        <v>3.5393395696412498E-3</v>
      </c>
    </row>
    <row r="211" spans="1:3">
      <c r="A211" t="s">
        <v>89</v>
      </c>
      <c r="B211" t="s">
        <v>236</v>
      </c>
      <c r="C211" s="18">
        <v>2.4775376987488701E-3</v>
      </c>
    </row>
    <row r="212" spans="1:3">
      <c r="A212" t="s">
        <v>90</v>
      </c>
      <c r="B212" t="s">
        <v>232</v>
      </c>
      <c r="C212" s="18">
        <v>4.3533876706587399E-2</v>
      </c>
    </row>
    <row r="213" spans="1:3">
      <c r="A213" t="s">
        <v>90</v>
      </c>
      <c r="B213" t="s">
        <v>233</v>
      </c>
      <c r="C213" s="18">
        <v>3.7870933395161399E-2</v>
      </c>
    </row>
    <row r="214" spans="1:3">
      <c r="A214" t="s">
        <v>90</v>
      </c>
      <c r="B214" t="s">
        <v>234</v>
      </c>
      <c r="C214" s="18">
        <v>1.34494903646368E-2</v>
      </c>
    </row>
    <row r="215" spans="1:3">
      <c r="A215" t="s">
        <v>90</v>
      </c>
      <c r="B215" t="s">
        <v>235</v>
      </c>
      <c r="C215" s="18">
        <v>3.5393395696412498E-3</v>
      </c>
    </row>
    <row r="216" spans="1:3">
      <c r="A216" t="s">
        <v>90</v>
      </c>
      <c r="B216" t="s">
        <v>236</v>
      </c>
      <c r="C216" s="18">
        <v>2.4775376987488701E-3</v>
      </c>
    </row>
    <row r="217" spans="1:3">
      <c r="A217" t="s">
        <v>91</v>
      </c>
      <c r="B217" t="s">
        <v>232</v>
      </c>
      <c r="C217" s="18">
        <v>4.3533876706587399E-2</v>
      </c>
    </row>
    <row r="218" spans="1:3">
      <c r="A218" t="s">
        <v>91</v>
      </c>
      <c r="B218" t="s">
        <v>233</v>
      </c>
      <c r="C218" s="18">
        <v>3.7870933395161399E-2</v>
      </c>
    </row>
    <row r="219" spans="1:3">
      <c r="A219" t="s">
        <v>91</v>
      </c>
      <c r="B219" t="s">
        <v>234</v>
      </c>
      <c r="C219" s="18">
        <v>1.34494903646368E-2</v>
      </c>
    </row>
    <row r="220" spans="1:3">
      <c r="A220" t="s">
        <v>91</v>
      </c>
      <c r="B220" t="s">
        <v>235</v>
      </c>
      <c r="C220" s="18">
        <v>3.5393395696412498E-3</v>
      </c>
    </row>
    <row r="221" spans="1:3">
      <c r="A221" t="s">
        <v>91</v>
      </c>
      <c r="B221" t="s">
        <v>236</v>
      </c>
      <c r="C221" s="18">
        <v>2.4775376987488701E-3</v>
      </c>
    </row>
    <row r="222" spans="1:3">
      <c r="A222" t="s">
        <v>92</v>
      </c>
      <c r="B222" t="s">
        <v>232</v>
      </c>
      <c r="C222" s="18">
        <v>4.3533876706587399E-2</v>
      </c>
    </row>
    <row r="223" spans="1:3">
      <c r="A223" t="s">
        <v>92</v>
      </c>
      <c r="B223" t="s">
        <v>233</v>
      </c>
      <c r="C223" s="18">
        <v>3.7870933395161399E-2</v>
      </c>
    </row>
    <row r="224" spans="1:3">
      <c r="A224" t="s">
        <v>92</v>
      </c>
      <c r="B224" t="s">
        <v>234</v>
      </c>
      <c r="C224" s="18">
        <v>1.34494903646368E-2</v>
      </c>
    </row>
    <row r="225" spans="1:3">
      <c r="A225" t="s">
        <v>92</v>
      </c>
      <c r="B225" t="s">
        <v>235</v>
      </c>
      <c r="C225" s="18">
        <v>3.5393395696412498E-3</v>
      </c>
    </row>
    <row r="226" spans="1:3">
      <c r="A226" t="s">
        <v>92</v>
      </c>
      <c r="B226" t="s">
        <v>236</v>
      </c>
      <c r="C226" s="18">
        <v>2.4775376987488701E-3</v>
      </c>
    </row>
    <row r="227" spans="1:3">
      <c r="A227" t="s">
        <v>93</v>
      </c>
      <c r="B227" t="s">
        <v>232</v>
      </c>
      <c r="C227" s="18">
        <v>4.3533876706587399E-2</v>
      </c>
    </row>
    <row r="228" spans="1:3">
      <c r="A228" t="s">
        <v>93</v>
      </c>
      <c r="B228" t="s">
        <v>233</v>
      </c>
      <c r="C228" s="18">
        <v>3.7870933395161399E-2</v>
      </c>
    </row>
    <row r="229" spans="1:3">
      <c r="A229" t="s">
        <v>93</v>
      </c>
      <c r="B229" t="s">
        <v>234</v>
      </c>
      <c r="C229" s="18">
        <v>1.34494903646368E-2</v>
      </c>
    </row>
    <row r="230" spans="1:3">
      <c r="A230" t="s">
        <v>93</v>
      </c>
      <c r="B230" t="s">
        <v>235</v>
      </c>
      <c r="C230" s="18">
        <v>3.5393395696412498E-3</v>
      </c>
    </row>
    <row r="231" spans="1:3">
      <c r="A231" t="s">
        <v>93</v>
      </c>
      <c r="B231" t="s">
        <v>236</v>
      </c>
      <c r="C231" s="18">
        <v>2.4775376987488701E-3</v>
      </c>
    </row>
    <row r="232" spans="1:3">
      <c r="A232" t="s">
        <v>94</v>
      </c>
      <c r="B232" t="s">
        <v>232</v>
      </c>
      <c r="C232" s="18">
        <v>4.3533876706587399E-2</v>
      </c>
    </row>
    <row r="233" spans="1:3">
      <c r="A233" t="s">
        <v>94</v>
      </c>
      <c r="B233" t="s">
        <v>233</v>
      </c>
      <c r="C233" s="18">
        <v>3.7870933395161399E-2</v>
      </c>
    </row>
    <row r="234" spans="1:3">
      <c r="A234" t="s">
        <v>94</v>
      </c>
      <c r="B234" t="s">
        <v>234</v>
      </c>
      <c r="C234" s="18">
        <v>1.34494903646368E-2</v>
      </c>
    </row>
    <row r="235" spans="1:3">
      <c r="A235" t="s">
        <v>94</v>
      </c>
      <c r="B235" t="s">
        <v>235</v>
      </c>
      <c r="C235" s="18">
        <v>3.5393395696412498E-3</v>
      </c>
    </row>
    <row r="236" spans="1:3">
      <c r="A236" t="s">
        <v>94</v>
      </c>
      <c r="B236" t="s">
        <v>236</v>
      </c>
      <c r="C236" s="18">
        <v>2.4775376987488701E-3</v>
      </c>
    </row>
    <row r="237" spans="1:3">
      <c r="A237" t="s">
        <v>95</v>
      </c>
      <c r="B237" t="s">
        <v>232</v>
      </c>
      <c r="C237" s="18">
        <v>4.3533876706587399E-2</v>
      </c>
    </row>
    <row r="238" spans="1:3">
      <c r="A238" t="s">
        <v>95</v>
      </c>
      <c r="B238" t="s">
        <v>233</v>
      </c>
      <c r="C238" s="18">
        <v>3.7870933395161399E-2</v>
      </c>
    </row>
    <row r="239" spans="1:3">
      <c r="A239" t="s">
        <v>95</v>
      </c>
      <c r="B239" t="s">
        <v>234</v>
      </c>
      <c r="C239" s="18">
        <v>1.34494903646368E-2</v>
      </c>
    </row>
    <row r="240" spans="1:3">
      <c r="A240" t="s">
        <v>95</v>
      </c>
      <c r="B240" t="s">
        <v>235</v>
      </c>
      <c r="C240" s="18">
        <v>3.5393395696412498E-3</v>
      </c>
    </row>
    <row r="241" spans="1:3">
      <c r="A241" t="s">
        <v>95</v>
      </c>
      <c r="B241" t="s">
        <v>236</v>
      </c>
      <c r="C241" s="18">
        <v>2.4775376987488701E-3</v>
      </c>
    </row>
    <row r="242" spans="1:3">
      <c r="A242" t="s">
        <v>96</v>
      </c>
      <c r="B242" t="s">
        <v>232</v>
      </c>
      <c r="C242" s="18">
        <v>4.3533876706587399E-2</v>
      </c>
    </row>
    <row r="243" spans="1:3">
      <c r="A243" t="s">
        <v>96</v>
      </c>
      <c r="B243" t="s">
        <v>233</v>
      </c>
      <c r="C243" s="18">
        <v>3.7870933395161399E-2</v>
      </c>
    </row>
    <row r="244" spans="1:3">
      <c r="A244" t="s">
        <v>96</v>
      </c>
      <c r="B244" t="s">
        <v>234</v>
      </c>
      <c r="C244" s="18">
        <v>1.34494903646368E-2</v>
      </c>
    </row>
    <row r="245" spans="1:3">
      <c r="A245" t="s">
        <v>96</v>
      </c>
      <c r="B245" t="s">
        <v>235</v>
      </c>
      <c r="C245" s="18">
        <v>3.5393395696412498E-3</v>
      </c>
    </row>
    <row r="246" spans="1:3">
      <c r="A246" t="s">
        <v>96</v>
      </c>
      <c r="B246" t="s">
        <v>236</v>
      </c>
      <c r="C246" s="18">
        <v>2.4775376987488701E-3</v>
      </c>
    </row>
    <row r="247" spans="1:3">
      <c r="A247" t="s">
        <v>97</v>
      </c>
      <c r="B247" t="s">
        <v>232</v>
      </c>
      <c r="C247" s="18">
        <v>4.3533876706587399E-2</v>
      </c>
    </row>
    <row r="248" spans="1:3">
      <c r="A248" t="s">
        <v>97</v>
      </c>
      <c r="B248" t="s">
        <v>233</v>
      </c>
      <c r="C248" s="18">
        <v>3.7870933395161399E-2</v>
      </c>
    </row>
    <row r="249" spans="1:3">
      <c r="A249" t="s">
        <v>97</v>
      </c>
      <c r="B249" t="s">
        <v>234</v>
      </c>
      <c r="C249" s="18">
        <v>1.34494903646368E-2</v>
      </c>
    </row>
    <row r="250" spans="1:3">
      <c r="A250" t="s">
        <v>97</v>
      </c>
      <c r="B250" t="s">
        <v>235</v>
      </c>
      <c r="C250" s="18">
        <v>3.5393395696412498E-3</v>
      </c>
    </row>
    <row r="251" spans="1:3">
      <c r="A251" t="s">
        <v>97</v>
      </c>
      <c r="B251" t="s">
        <v>236</v>
      </c>
      <c r="C251" s="18">
        <v>2.4775376987488701E-3</v>
      </c>
    </row>
    <row r="252" spans="1:3">
      <c r="A252" t="s">
        <v>98</v>
      </c>
      <c r="B252" t="s">
        <v>232</v>
      </c>
      <c r="C252" s="18">
        <v>4.3533876706587399E-2</v>
      </c>
    </row>
    <row r="253" spans="1:3">
      <c r="A253" t="s">
        <v>98</v>
      </c>
      <c r="B253" t="s">
        <v>233</v>
      </c>
      <c r="C253" s="18">
        <v>3.7870933395161399E-2</v>
      </c>
    </row>
    <row r="254" spans="1:3">
      <c r="A254" t="s">
        <v>98</v>
      </c>
      <c r="B254" t="s">
        <v>234</v>
      </c>
      <c r="C254" s="18">
        <v>1.34494903646368E-2</v>
      </c>
    </row>
    <row r="255" spans="1:3">
      <c r="A255" t="s">
        <v>98</v>
      </c>
      <c r="B255" t="s">
        <v>235</v>
      </c>
      <c r="C255" s="18">
        <v>3.5393395696412498E-3</v>
      </c>
    </row>
    <row r="256" spans="1:3">
      <c r="A256" t="s">
        <v>98</v>
      </c>
      <c r="B256" t="s">
        <v>236</v>
      </c>
      <c r="C256" s="18">
        <v>2.4775376987488701E-3</v>
      </c>
    </row>
    <row r="257" spans="1:3">
      <c r="A257" t="s">
        <v>100</v>
      </c>
      <c r="B257" t="s">
        <v>232</v>
      </c>
      <c r="C257" s="18">
        <v>4.3533876706587399E-2</v>
      </c>
    </row>
    <row r="258" spans="1:3">
      <c r="A258" t="s">
        <v>100</v>
      </c>
      <c r="B258" t="s">
        <v>233</v>
      </c>
      <c r="C258" s="18">
        <v>3.7870933395161399E-2</v>
      </c>
    </row>
    <row r="259" spans="1:3">
      <c r="A259" t="s">
        <v>100</v>
      </c>
      <c r="B259" t="s">
        <v>234</v>
      </c>
      <c r="C259" s="18">
        <v>1.34494903646368E-2</v>
      </c>
    </row>
    <row r="260" spans="1:3">
      <c r="A260" t="s">
        <v>100</v>
      </c>
      <c r="B260" t="s">
        <v>235</v>
      </c>
      <c r="C260" s="18">
        <v>3.5393395696412498E-3</v>
      </c>
    </row>
    <row r="261" spans="1:3">
      <c r="A261" t="s">
        <v>100</v>
      </c>
      <c r="B261" t="s">
        <v>236</v>
      </c>
      <c r="C261" s="18">
        <v>2.4775376987488701E-3</v>
      </c>
    </row>
    <row r="262" spans="1:3">
      <c r="A262" t="s">
        <v>101</v>
      </c>
      <c r="B262" t="s">
        <v>232</v>
      </c>
      <c r="C262" s="18">
        <v>4.3533876706587399E-2</v>
      </c>
    </row>
    <row r="263" spans="1:3">
      <c r="A263" t="s">
        <v>101</v>
      </c>
      <c r="B263" t="s">
        <v>233</v>
      </c>
      <c r="C263" s="18">
        <v>3.7870933395161399E-2</v>
      </c>
    </row>
    <row r="264" spans="1:3">
      <c r="A264" t="s">
        <v>101</v>
      </c>
      <c r="B264" t="s">
        <v>234</v>
      </c>
      <c r="C264" s="18">
        <v>1.34494903646368E-2</v>
      </c>
    </row>
    <row r="265" spans="1:3">
      <c r="A265" t="s">
        <v>101</v>
      </c>
      <c r="B265" t="s">
        <v>235</v>
      </c>
      <c r="C265" s="18">
        <v>3.5393395696412498E-3</v>
      </c>
    </row>
    <row r="266" spans="1:3">
      <c r="A266" t="s">
        <v>101</v>
      </c>
      <c r="B266" t="s">
        <v>236</v>
      </c>
      <c r="C266" s="18">
        <v>2.4775376987488701E-3</v>
      </c>
    </row>
    <row r="267" spans="1:3">
      <c r="A267" t="s">
        <v>102</v>
      </c>
      <c r="B267" t="s">
        <v>232</v>
      </c>
      <c r="C267" s="18">
        <v>4.3533876706587399E-2</v>
      </c>
    </row>
    <row r="268" spans="1:3">
      <c r="A268" t="s">
        <v>102</v>
      </c>
      <c r="B268" t="s">
        <v>233</v>
      </c>
      <c r="C268" s="18">
        <v>3.7870933395161399E-2</v>
      </c>
    </row>
    <row r="269" spans="1:3">
      <c r="A269" t="s">
        <v>102</v>
      </c>
      <c r="B269" t="s">
        <v>234</v>
      </c>
      <c r="C269" s="18">
        <v>1.34494903646368E-2</v>
      </c>
    </row>
    <row r="270" spans="1:3">
      <c r="A270" t="s">
        <v>102</v>
      </c>
      <c r="B270" t="s">
        <v>235</v>
      </c>
      <c r="C270" s="18">
        <v>3.5393395696412498E-3</v>
      </c>
    </row>
    <row r="271" spans="1:3">
      <c r="A271" t="s">
        <v>102</v>
      </c>
      <c r="B271" t="s">
        <v>236</v>
      </c>
      <c r="C271" s="18">
        <v>2.4775376987488701E-3</v>
      </c>
    </row>
    <row r="272" spans="1:3">
      <c r="A272" t="s">
        <v>103</v>
      </c>
      <c r="B272" t="s">
        <v>232</v>
      </c>
      <c r="C272" s="18">
        <v>4.3533876706587399E-2</v>
      </c>
    </row>
    <row r="273" spans="1:3">
      <c r="A273" t="s">
        <v>103</v>
      </c>
      <c r="B273" t="s">
        <v>233</v>
      </c>
      <c r="C273" s="18">
        <v>3.7870933395161399E-2</v>
      </c>
    </row>
    <row r="274" spans="1:3">
      <c r="A274" t="s">
        <v>103</v>
      </c>
      <c r="B274" t="s">
        <v>234</v>
      </c>
      <c r="C274" s="18">
        <v>1.34494903646368E-2</v>
      </c>
    </row>
    <row r="275" spans="1:3">
      <c r="A275" t="s">
        <v>103</v>
      </c>
      <c r="B275" t="s">
        <v>235</v>
      </c>
      <c r="C275" s="18">
        <v>3.5393395696412498E-3</v>
      </c>
    </row>
    <row r="276" spans="1:3">
      <c r="A276" t="s">
        <v>103</v>
      </c>
      <c r="B276" t="s">
        <v>236</v>
      </c>
      <c r="C276" s="18">
        <v>2.4775376987488701E-3</v>
      </c>
    </row>
    <row r="277" spans="1:3">
      <c r="A277" t="s">
        <v>104</v>
      </c>
      <c r="B277" t="s">
        <v>232</v>
      </c>
      <c r="C277" s="18">
        <v>4.3533876706587399E-2</v>
      </c>
    </row>
    <row r="278" spans="1:3">
      <c r="A278" t="s">
        <v>104</v>
      </c>
      <c r="B278" t="s">
        <v>233</v>
      </c>
      <c r="C278" s="18">
        <v>3.7870933395161399E-2</v>
      </c>
    </row>
    <row r="279" spans="1:3">
      <c r="A279" t="s">
        <v>104</v>
      </c>
      <c r="B279" t="s">
        <v>234</v>
      </c>
      <c r="C279" s="18">
        <v>1.34494903646368E-2</v>
      </c>
    </row>
    <row r="280" spans="1:3">
      <c r="A280" t="s">
        <v>104</v>
      </c>
      <c r="B280" t="s">
        <v>235</v>
      </c>
      <c r="C280" s="18">
        <v>3.5393395696412498E-3</v>
      </c>
    </row>
    <row r="281" spans="1:3">
      <c r="A281" t="s">
        <v>104</v>
      </c>
      <c r="B281" t="s">
        <v>236</v>
      </c>
      <c r="C281" s="18">
        <v>2.4775376987488701E-3</v>
      </c>
    </row>
    <row r="282" spans="1:3">
      <c r="A282" t="s">
        <v>105</v>
      </c>
      <c r="B282" t="s">
        <v>232</v>
      </c>
      <c r="C282" s="18">
        <v>4.3533876706587399E-2</v>
      </c>
    </row>
    <row r="283" spans="1:3">
      <c r="A283" t="s">
        <v>105</v>
      </c>
      <c r="B283" t="s">
        <v>233</v>
      </c>
      <c r="C283" s="18">
        <v>3.7870933395161399E-2</v>
      </c>
    </row>
    <row r="284" spans="1:3">
      <c r="A284" t="s">
        <v>105</v>
      </c>
      <c r="B284" t="s">
        <v>234</v>
      </c>
      <c r="C284" s="18">
        <v>1.34494903646368E-2</v>
      </c>
    </row>
    <row r="285" spans="1:3">
      <c r="A285" t="s">
        <v>105</v>
      </c>
      <c r="B285" t="s">
        <v>235</v>
      </c>
      <c r="C285" s="18">
        <v>3.5393395696412498E-3</v>
      </c>
    </row>
    <row r="286" spans="1:3">
      <c r="A286" t="s">
        <v>105</v>
      </c>
      <c r="B286" t="s">
        <v>236</v>
      </c>
      <c r="C286" s="18">
        <v>2.4775376987488701E-3</v>
      </c>
    </row>
    <row r="287" spans="1:3">
      <c r="A287" t="s">
        <v>106</v>
      </c>
      <c r="B287" t="s">
        <v>232</v>
      </c>
      <c r="C287" s="18">
        <v>4.3533876706587399E-2</v>
      </c>
    </row>
    <row r="288" spans="1:3">
      <c r="A288" t="s">
        <v>106</v>
      </c>
      <c r="B288" t="s">
        <v>233</v>
      </c>
      <c r="C288" s="18">
        <v>3.7870933395161399E-2</v>
      </c>
    </row>
    <row r="289" spans="1:3">
      <c r="A289" t="s">
        <v>106</v>
      </c>
      <c r="B289" t="s">
        <v>234</v>
      </c>
      <c r="C289" s="18">
        <v>1.34494903646368E-2</v>
      </c>
    </row>
    <row r="290" spans="1:3">
      <c r="A290" t="s">
        <v>106</v>
      </c>
      <c r="B290" t="s">
        <v>235</v>
      </c>
      <c r="C290" s="18">
        <v>3.5393395696412498E-3</v>
      </c>
    </row>
    <row r="291" spans="1:3">
      <c r="A291" t="s">
        <v>106</v>
      </c>
      <c r="B291" t="s">
        <v>236</v>
      </c>
      <c r="C291" s="18">
        <v>2.4775376987488701E-3</v>
      </c>
    </row>
    <row r="292" spans="1:3">
      <c r="A292" t="s">
        <v>107</v>
      </c>
      <c r="B292" t="s">
        <v>232</v>
      </c>
      <c r="C292" s="18">
        <v>4.3533876706587399E-2</v>
      </c>
    </row>
    <row r="293" spans="1:3">
      <c r="A293" t="s">
        <v>107</v>
      </c>
      <c r="B293" t="s">
        <v>233</v>
      </c>
      <c r="C293" s="18">
        <v>3.7870933395161399E-2</v>
      </c>
    </row>
    <row r="294" spans="1:3">
      <c r="A294" t="s">
        <v>107</v>
      </c>
      <c r="B294" t="s">
        <v>234</v>
      </c>
      <c r="C294" s="18">
        <v>1.34494903646368E-2</v>
      </c>
    </row>
    <row r="295" spans="1:3">
      <c r="A295" t="s">
        <v>107</v>
      </c>
      <c r="B295" t="s">
        <v>235</v>
      </c>
      <c r="C295" s="18">
        <v>3.5393395696412498E-3</v>
      </c>
    </row>
    <row r="296" spans="1:3">
      <c r="A296" t="s">
        <v>107</v>
      </c>
      <c r="B296" t="s">
        <v>236</v>
      </c>
      <c r="C296" s="18">
        <v>2.4775376987488701E-3</v>
      </c>
    </row>
    <row r="297" spans="1:3">
      <c r="A297" t="s">
        <v>108</v>
      </c>
      <c r="B297" t="s">
        <v>232</v>
      </c>
      <c r="C297" s="18">
        <v>4.3533876706587399E-2</v>
      </c>
    </row>
    <row r="298" spans="1:3">
      <c r="A298" t="s">
        <v>108</v>
      </c>
      <c r="B298" t="s">
        <v>233</v>
      </c>
      <c r="C298" s="18">
        <v>3.7870933395161399E-2</v>
      </c>
    </row>
    <row r="299" spans="1:3">
      <c r="A299" t="s">
        <v>108</v>
      </c>
      <c r="B299" t="s">
        <v>234</v>
      </c>
      <c r="C299" s="18">
        <v>1.34494903646368E-2</v>
      </c>
    </row>
    <row r="300" spans="1:3">
      <c r="A300" t="s">
        <v>108</v>
      </c>
      <c r="B300" t="s">
        <v>235</v>
      </c>
      <c r="C300" s="18">
        <v>3.5393395696412498E-3</v>
      </c>
    </row>
    <row r="301" spans="1:3">
      <c r="A301" t="s">
        <v>108</v>
      </c>
      <c r="B301" t="s">
        <v>236</v>
      </c>
      <c r="C301" s="18">
        <v>2.4775376987488701E-3</v>
      </c>
    </row>
    <row r="302" spans="1:3">
      <c r="A302" t="s">
        <v>109</v>
      </c>
      <c r="B302" t="s">
        <v>232</v>
      </c>
      <c r="C302" s="18">
        <v>4.3533876706587399E-2</v>
      </c>
    </row>
    <row r="303" spans="1:3">
      <c r="A303" t="s">
        <v>109</v>
      </c>
      <c r="B303" t="s">
        <v>233</v>
      </c>
      <c r="C303" s="18">
        <v>3.7870933395161399E-2</v>
      </c>
    </row>
    <row r="304" spans="1:3">
      <c r="A304" t="s">
        <v>109</v>
      </c>
      <c r="B304" t="s">
        <v>234</v>
      </c>
      <c r="C304" s="18">
        <v>1.34494903646368E-2</v>
      </c>
    </row>
    <row r="305" spans="1:3">
      <c r="A305" t="s">
        <v>109</v>
      </c>
      <c r="B305" t="s">
        <v>235</v>
      </c>
      <c r="C305" s="18">
        <v>3.5393395696412498E-3</v>
      </c>
    </row>
    <row r="306" spans="1:3">
      <c r="A306" t="s">
        <v>109</v>
      </c>
      <c r="B306" t="s">
        <v>236</v>
      </c>
      <c r="C306" s="18">
        <v>2.4775376987488701E-3</v>
      </c>
    </row>
    <row r="307" spans="1:3">
      <c r="A307" t="s">
        <v>110</v>
      </c>
      <c r="B307" t="s">
        <v>232</v>
      </c>
      <c r="C307" s="18">
        <v>4.3533876706587399E-2</v>
      </c>
    </row>
    <row r="308" spans="1:3">
      <c r="A308" t="s">
        <v>110</v>
      </c>
      <c r="B308" t="s">
        <v>233</v>
      </c>
      <c r="C308" s="18">
        <v>3.7870933395161399E-2</v>
      </c>
    </row>
    <row r="309" spans="1:3">
      <c r="A309" t="s">
        <v>110</v>
      </c>
      <c r="B309" t="s">
        <v>234</v>
      </c>
      <c r="C309" s="18">
        <v>1.34494903646368E-2</v>
      </c>
    </row>
    <row r="310" spans="1:3">
      <c r="A310" t="s">
        <v>110</v>
      </c>
      <c r="B310" t="s">
        <v>235</v>
      </c>
      <c r="C310" s="18">
        <v>3.5393395696412498E-3</v>
      </c>
    </row>
    <row r="311" spans="1:3">
      <c r="A311" t="s">
        <v>110</v>
      </c>
      <c r="B311" t="s">
        <v>236</v>
      </c>
      <c r="C311" s="18">
        <v>2.4775376987488701E-3</v>
      </c>
    </row>
    <row r="312" spans="1:3">
      <c r="A312" t="s">
        <v>111</v>
      </c>
      <c r="B312" t="s">
        <v>232</v>
      </c>
      <c r="C312" s="18">
        <v>4.3533876706587399E-2</v>
      </c>
    </row>
    <row r="313" spans="1:3">
      <c r="A313" t="s">
        <v>111</v>
      </c>
      <c r="B313" t="s">
        <v>233</v>
      </c>
      <c r="C313" s="18">
        <v>3.7870933395161399E-2</v>
      </c>
    </row>
    <row r="314" spans="1:3">
      <c r="A314" t="s">
        <v>111</v>
      </c>
      <c r="B314" t="s">
        <v>234</v>
      </c>
      <c r="C314" s="18">
        <v>1.34494903646368E-2</v>
      </c>
    </row>
    <row r="315" spans="1:3">
      <c r="A315" t="s">
        <v>111</v>
      </c>
      <c r="B315" t="s">
        <v>235</v>
      </c>
      <c r="C315" s="18">
        <v>3.5393395696412498E-3</v>
      </c>
    </row>
    <row r="316" spans="1:3">
      <c r="A316" t="s">
        <v>111</v>
      </c>
      <c r="B316" t="s">
        <v>236</v>
      </c>
      <c r="C316" s="18">
        <v>2.4775376987488701E-3</v>
      </c>
    </row>
    <row r="317" spans="1:3">
      <c r="A317" t="s">
        <v>112</v>
      </c>
      <c r="B317" t="s">
        <v>232</v>
      </c>
      <c r="C317" s="18">
        <v>4.3533876706587399E-2</v>
      </c>
    </row>
    <row r="318" spans="1:3">
      <c r="A318" t="s">
        <v>112</v>
      </c>
      <c r="B318" t="s">
        <v>233</v>
      </c>
      <c r="C318" s="18">
        <v>3.7870933395161399E-2</v>
      </c>
    </row>
    <row r="319" spans="1:3">
      <c r="A319" t="s">
        <v>112</v>
      </c>
      <c r="B319" t="s">
        <v>234</v>
      </c>
      <c r="C319" s="18">
        <v>1.34494903646368E-2</v>
      </c>
    </row>
    <row r="320" spans="1:3">
      <c r="A320" t="s">
        <v>112</v>
      </c>
      <c r="B320" t="s">
        <v>235</v>
      </c>
      <c r="C320" s="18">
        <v>3.5393395696412498E-3</v>
      </c>
    </row>
    <row r="321" spans="1:3">
      <c r="A321" t="s">
        <v>112</v>
      </c>
      <c r="B321" t="s">
        <v>236</v>
      </c>
      <c r="C321" s="18">
        <v>2.4775376987488701E-3</v>
      </c>
    </row>
    <row r="322" spans="1:3">
      <c r="A322" t="s">
        <v>113</v>
      </c>
      <c r="B322" t="s">
        <v>232</v>
      </c>
      <c r="C322" s="18">
        <v>4.3533876706587399E-2</v>
      </c>
    </row>
    <row r="323" spans="1:3">
      <c r="A323" t="s">
        <v>113</v>
      </c>
      <c r="B323" t="s">
        <v>233</v>
      </c>
      <c r="C323" s="18">
        <v>3.7870933395161399E-2</v>
      </c>
    </row>
    <row r="324" spans="1:3">
      <c r="A324" t="s">
        <v>113</v>
      </c>
      <c r="B324" t="s">
        <v>234</v>
      </c>
      <c r="C324" s="18">
        <v>1.34494903646368E-2</v>
      </c>
    </row>
    <row r="325" spans="1:3">
      <c r="A325" t="s">
        <v>113</v>
      </c>
      <c r="B325" t="s">
        <v>235</v>
      </c>
      <c r="C325" s="18">
        <v>3.5393395696412498E-3</v>
      </c>
    </row>
    <row r="326" spans="1:3">
      <c r="A326" t="s">
        <v>113</v>
      </c>
      <c r="B326" t="s">
        <v>236</v>
      </c>
      <c r="C326" s="18">
        <v>2.4775376987488701E-3</v>
      </c>
    </row>
    <row r="327" spans="1:3">
      <c r="A327" t="s">
        <v>114</v>
      </c>
      <c r="B327" t="s">
        <v>232</v>
      </c>
      <c r="C327" s="18">
        <v>4.3533876706587399E-2</v>
      </c>
    </row>
    <row r="328" spans="1:3">
      <c r="A328" t="s">
        <v>114</v>
      </c>
      <c r="B328" t="s">
        <v>233</v>
      </c>
      <c r="C328" s="18">
        <v>3.7870933395161399E-2</v>
      </c>
    </row>
    <row r="329" spans="1:3">
      <c r="A329" t="s">
        <v>114</v>
      </c>
      <c r="B329" t="s">
        <v>234</v>
      </c>
      <c r="C329" s="18">
        <v>1.34494903646368E-2</v>
      </c>
    </row>
    <row r="330" spans="1:3">
      <c r="A330" t="s">
        <v>114</v>
      </c>
      <c r="B330" t="s">
        <v>235</v>
      </c>
      <c r="C330" s="18">
        <v>3.5393395696412498E-3</v>
      </c>
    </row>
    <row r="331" spans="1:3">
      <c r="A331" t="s">
        <v>114</v>
      </c>
      <c r="B331" t="s">
        <v>236</v>
      </c>
      <c r="C331" s="18">
        <v>2.4775376987488701E-3</v>
      </c>
    </row>
    <row r="332" spans="1:3">
      <c r="A332" t="s">
        <v>115</v>
      </c>
      <c r="B332" t="s">
        <v>232</v>
      </c>
      <c r="C332" s="18">
        <v>4.3533876706587399E-2</v>
      </c>
    </row>
    <row r="333" spans="1:3">
      <c r="A333" t="s">
        <v>115</v>
      </c>
      <c r="B333" t="s">
        <v>233</v>
      </c>
      <c r="C333" s="18">
        <v>3.7870933395161399E-2</v>
      </c>
    </row>
    <row r="334" spans="1:3">
      <c r="A334" t="s">
        <v>115</v>
      </c>
      <c r="B334" t="s">
        <v>234</v>
      </c>
      <c r="C334" s="18">
        <v>1.34494903646368E-2</v>
      </c>
    </row>
    <row r="335" spans="1:3">
      <c r="A335" t="s">
        <v>115</v>
      </c>
      <c r="B335" t="s">
        <v>235</v>
      </c>
      <c r="C335" s="18">
        <v>3.5393395696412498E-3</v>
      </c>
    </row>
    <row r="336" spans="1:3">
      <c r="A336" t="s">
        <v>115</v>
      </c>
      <c r="B336" t="s">
        <v>236</v>
      </c>
      <c r="C336" s="18">
        <v>2.4775376987488701E-3</v>
      </c>
    </row>
    <row r="337" spans="1:3">
      <c r="A337" t="s">
        <v>116</v>
      </c>
      <c r="B337" t="s">
        <v>232</v>
      </c>
      <c r="C337" s="18">
        <v>4.3533876706587399E-2</v>
      </c>
    </row>
    <row r="338" spans="1:3">
      <c r="A338" t="s">
        <v>116</v>
      </c>
      <c r="B338" t="s">
        <v>233</v>
      </c>
      <c r="C338" s="18">
        <v>3.7870933395161399E-2</v>
      </c>
    </row>
    <row r="339" spans="1:3">
      <c r="A339" t="s">
        <v>116</v>
      </c>
      <c r="B339" t="s">
        <v>234</v>
      </c>
      <c r="C339" s="18">
        <v>1.34494903646368E-2</v>
      </c>
    </row>
    <row r="340" spans="1:3">
      <c r="A340" t="s">
        <v>116</v>
      </c>
      <c r="B340" t="s">
        <v>235</v>
      </c>
      <c r="C340" s="18">
        <v>3.5393395696412498E-3</v>
      </c>
    </row>
    <row r="341" spans="1:3">
      <c r="A341" t="s">
        <v>116</v>
      </c>
      <c r="B341" t="s">
        <v>236</v>
      </c>
      <c r="C341" s="18">
        <v>2.4775376987488701E-3</v>
      </c>
    </row>
    <row r="342" spans="1:3">
      <c r="A342" t="s">
        <v>117</v>
      </c>
      <c r="B342" t="s">
        <v>232</v>
      </c>
      <c r="C342" s="18">
        <v>4.3533876706587399E-2</v>
      </c>
    </row>
    <row r="343" spans="1:3">
      <c r="A343" t="s">
        <v>117</v>
      </c>
      <c r="B343" t="s">
        <v>233</v>
      </c>
      <c r="C343" s="18">
        <v>3.7870933395161399E-2</v>
      </c>
    </row>
    <row r="344" spans="1:3">
      <c r="A344" t="s">
        <v>117</v>
      </c>
      <c r="B344" t="s">
        <v>234</v>
      </c>
      <c r="C344" s="18">
        <v>1.34494903646368E-2</v>
      </c>
    </row>
    <row r="345" spans="1:3">
      <c r="A345" t="s">
        <v>117</v>
      </c>
      <c r="B345" t="s">
        <v>235</v>
      </c>
      <c r="C345" s="18">
        <v>3.5393395696412498E-3</v>
      </c>
    </row>
    <row r="346" spans="1:3">
      <c r="A346" t="s">
        <v>117</v>
      </c>
      <c r="B346" t="s">
        <v>236</v>
      </c>
      <c r="C346" s="18">
        <v>2.4775376987488701E-3</v>
      </c>
    </row>
    <row r="347" spans="1:3">
      <c r="A347" t="s">
        <v>118</v>
      </c>
      <c r="B347" t="s">
        <v>232</v>
      </c>
      <c r="C347" s="18">
        <v>4.3533876706587399E-2</v>
      </c>
    </row>
    <row r="348" spans="1:3">
      <c r="A348" t="s">
        <v>118</v>
      </c>
      <c r="B348" t="s">
        <v>233</v>
      </c>
      <c r="C348" s="18">
        <v>3.7870933395161399E-2</v>
      </c>
    </row>
    <row r="349" spans="1:3">
      <c r="A349" t="s">
        <v>118</v>
      </c>
      <c r="B349" t="s">
        <v>234</v>
      </c>
      <c r="C349" s="18">
        <v>1.34494903646368E-2</v>
      </c>
    </row>
    <row r="350" spans="1:3">
      <c r="A350" t="s">
        <v>118</v>
      </c>
      <c r="B350" t="s">
        <v>235</v>
      </c>
      <c r="C350" s="18">
        <v>3.5393395696412498E-3</v>
      </c>
    </row>
    <row r="351" spans="1:3">
      <c r="A351" t="s">
        <v>118</v>
      </c>
      <c r="B351" t="s">
        <v>236</v>
      </c>
      <c r="C351" s="18">
        <v>2.4775376987488701E-3</v>
      </c>
    </row>
    <row r="352" spans="1:3">
      <c r="A352" t="s">
        <v>119</v>
      </c>
      <c r="B352" t="s">
        <v>232</v>
      </c>
      <c r="C352" s="18">
        <v>4.3533876706587399E-2</v>
      </c>
    </row>
    <row r="353" spans="1:3">
      <c r="A353" t="s">
        <v>119</v>
      </c>
      <c r="B353" t="s">
        <v>233</v>
      </c>
      <c r="C353" s="18">
        <v>3.7870933395161399E-2</v>
      </c>
    </row>
    <row r="354" spans="1:3">
      <c r="A354" t="s">
        <v>119</v>
      </c>
      <c r="B354" t="s">
        <v>234</v>
      </c>
      <c r="C354" s="18">
        <v>1.34494903646368E-2</v>
      </c>
    </row>
    <row r="355" spans="1:3">
      <c r="A355" t="s">
        <v>119</v>
      </c>
      <c r="B355" t="s">
        <v>235</v>
      </c>
      <c r="C355" s="18">
        <v>3.5393395696412498E-3</v>
      </c>
    </row>
    <row r="356" spans="1:3">
      <c r="A356" t="s">
        <v>119</v>
      </c>
      <c r="B356" t="s">
        <v>236</v>
      </c>
      <c r="C356" s="18">
        <v>2.4775376987488701E-3</v>
      </c>
    </row>
    <row r="357" spans="1:3">
      <c r="A357" t="s">
        <v>120</v>
      </c>
      <c r="B357" t="s">
        <v>232</v>
      </c>
      <c r="C357" s="18">
        <v>4.3533876706587399E-2</v>
      </c>
    </row>
    <row r="358" spans="1:3">
      <c r="A358" t="s">
        <v>120</v>
      </c>
      <c r="B358" t="s">
        <v>233</v>
      </c>
      <c r="C358" s="18">
        <v>3.7870933395161399E-2</v>
      </c>
    </row>
    <row r="359" spans="1:3">
      <c r="A359" t="s">
        <v>120</v>
      </c>
      <c r="B359" t="s">
        <v>234</v>
      </c>
      <c r="C359" s="18">
        <v>1.34494903646368E-2</v>
      </c>
    </row>
    <row r="360" spans="1:3">
      <c r="A360" t="s">
        <v>120</v>
      </c>
      <c r="B360" t="s">
        <v>235</v>
      </c>
      <c r="C360" s="18">
        <v>3.5393395696412498E-3</v>
      </c>
    </row>
    <row r="361" spans="1:3">
      <c r="A361" t="s">
        <v>120</v>
      </c>
      <c r="B361" t="s">
        <v>236</v>
      </c>
      <c r="C361" s="18">
        <v>2.4775376987488701E-3</v>
      </c>
    </row>
    <row r="362" spans="1:3">
      <c r="A362" t="s">
        <v>121</v>
      </c>
      <c r="B362" t="s">
        <v>232</v>
      </c>
      <c r="C362" s="18">
        <v>4.3533876706587399E-2</v>
      </c>
    </row>
    <row r="363" spans="1:3">
      <c r="A363" t="s">
        <v>121</v>
      </c>
      <c r="B363" t="s">
        <v>233</v>
      </c>
      <c r="C363" s="18">
        <v>3.7870933395161399E-2</v>
      </c>
    </row>
    <row r="364" spans="1:3">
      <c r="A364" t="s">
        <v>121</v>
      </c>
      <c r="B364" t="s">
        <v>234</v>
      </c>
      <c r="C364" s="18">
        <v>1.34494903646368E-2</v>
      </c>
    </row>
    <row r="365" spans="1:3">
      <c r="A365" t="s">
        <v>121</v>
      </c>
      <c r="B365" t="s">
        <v>235</v>
      </c>
      <c r="C365" s="18">
        <v>3.5393395696412498E-3</v>
      </c>
    </row>
    <row r="366" spans="1:3">
      <c r="A366" t="s">
        <v>121</v>
      </c>
      <c r="B366" t="s">
        <v>236</v>
      </c>
      <c r="C366" s="18">
        <v>2.4775376987488701E-3</v>
      </c>
    </row>
    <row r="367" spans="1:3">
      <c r="A367" t="s">
        <v>122</v>
      </c>
      <c r="B367" t="s">
        <v>232</v>
      </c>
      <c r="C367" s="18">
        <v>4.3533876706587399E-2</v>
      </c>
    </row>
    <row r="368" spans="1:3">
      <c r="A368" t="s">
        <v>122</v>
      </c>
      <c r="B368" t="s">
        <v>233</v>
      </c>
      <c r="C368" s="18">
        <v>3.7870933395161399E-2</v>
      </c>
    </row>
    <row r="369" spans="1:3">
      <c r="A369" t="s">
        <v>122</v>
      </c>
      <c r="B369" t="s">
        <v>234</v>
      </c>
      <c r="C369" s="18">
        <v>1.34494903646368E-2</v>
      </c>
    </row>
    <row r="370" spans="1:3">
      <c r="A370" t="s">
        <v>122</v>
      </c>
      <c r="B370" t="s">
        <v>235</v>
      </c>
      <c r="C370" s="18">
        <v>3.5393395696412498E-3</v>
      </c>
    </row>
    <row r="371" spans="1:3">
      <c r="A371" t="s">
        <v>122</v>
      </c>
      <c r="B371" t="s">
        <v>236</v>
      </c>
      <c r="C371" s="18">
        <v>2.4775376987488701E-3</v>
      </c>
    </row>
    <row r="372" spans="1:3">
      <c r="A372" t="s">
        <v>123</v>
      </c>
      <c r="B372" t="s">
        <v>232</v>
      </c>
      <c r="C372" s="18">
        <v>4.3533876706587399E-2</v>
      </c>
    </row>
    <row r="373" spans="1:3">
      <c r="A373" t="s">
        <v>123</v>
      </c>
      <c r="B373" t="s">
        <v>233</v>
      </c>
      <c r="C373" s="18">
        <v>3.7870933395161399E-2</v>
      </c>
    </row>
    <row r="374" spans="1:3">
      <c r="A374" t="s">
        <v>123</v>
      </c>
      <c r="B374" t="s">
        <v>234</v>
      </c>
      <c r="C374" s="18">
        <v>1.34494903646368E-2</v>
      </c>
    </row>
    <row r="375" spans="1:3">
      <c r="A375" t="s">
        <v>123</v>
      </c>
      <c r="B375" t="s">
        <v>235</v>
      </c>
      <c r="C375" s="18">
        <v>3.5393395696412498E-3</v>
      </c>
    </row>
    <row r="376" spans="1:3">
      <c r="A376" t="s">
        <v>123</v>
      </c>
      <c r="B376" t="s">
        <v>236</v>
      </c>
      <c r="C376" s="18">
        <v>2.4775376987488701E-3</v>
      </c>
    </row>
    <row r="377" spans="1:3">
      <c r="A377" t="s">
        <v>124</v>
      </c>
      <c r="B377" t="s">
        <v>232</v>
      </c>
      <c r="C377" s="18">
        <v>4.3533876706587399E-2</v>
      </c>
    </row>
    <row r="378" spans="1:3">
      <c r="A378" t="s">
        <v>124</v>
      </c>
      <c r="B378" t="s">
        <v>233</v>
      </c>
      <c r="C378" s="18">
        <v>3.7870933395161399E-2</v>
      </c>
    </row>
    <row r="379" spans="1:3">
      <c r="A379" t="s">
        <v>124</v>
      </c>
      <c r="B379" t="s">
        <v>234</v>
      </c>
      <c r="C379" s="18">
        <v>1.34494903646368E-2</v>
      </c>
    </row>
    <row r="380" spans="1:3">
      <c r="A380" t="s">
        <v>124</v>
      </c>
      <c r="B380" t="s">
        <v>235</v>
      </c>
      <c r="C380" s="18">
        <v>3.5393395696412498E-3</v>
      </c>
    </row>
    <row r="381" spans="1:3">
      <c r="A381" t="s">
        <v>124</v>
      </c>
      <c r="B381" t="s">
        <v>236</v>
      </c>
      <c r="C381" s="18">
        <v>2.4775376987488701E-3</v>
      </c>
    </row>
    <row r="382" spans="1:3">
      <c r="A382" t="s">
        <v>125</v>
      </c>
      <c r="B382" t="s">
        <v>232</v>
      </c>
      <c r="C382" s="18">
        <v>4.3533876706587399E-2</v>
      </c>
    </row>
    <row r="383" spans="1:3">
      <c r="A383" t="s">
        <v>125</v>
      </c>
      <c r="B383" t="s">
        <v>233</v>
      </c>
      <c r="C383" s="18">
        <v>3.7870933395161399E-2</v>
      </c>
    </row>
    <row r="384" spans="1:3">
      <c r="A384" t="s">
        <v>125</v>
      </c>
      <c r="B384" t="s">
        <v>234</v>
      </c>
      <c r="C384" s="18">
        <v>1.34494903646368E-2</v>
      </c>
    </row>
    <row r="385" spans="1:3">
      <c r="A385" t="s">
        <v>125</v>
      </c>
      <c r="B385" t="s">
        <v>235</v>
      </c>
      <c r="C385" s="18">
        <v>3.5393395696412498E-3</v>
      </c>
    </row>
    <row r="386" spans="1:3">
      <c r="A386" t="s">
        <v>125</v>
      </c>
      <c r="B386" t="s">
        <v>236</v>
      </c>
      <c r="C386" s="18">
        <v>2.4775376987488701E-3</v>
      </c>
    </row>
    <row r="387" spans="1:3">
      <c r="A387" t="s">
        <v>126</v>
      </c>
      <c r="B387" t="s">
        <v>232</v>
      </c>
      <c r="C387" s="18">
        <v>4.3533876706587399E-2</v>
      </c>
    </row>
    <row r="388" spans="1:3">
      <c r="A388" t="s">
        <v>126</v>
      </c>
      <c r="B388" t="s">
        <v>233</v>
      </c>
      <c r="C388" s="18">
        <v>3.7870933395161399E-2</v>
      </c>
    </row>
    <row r="389" spans="1:3">
      <c r="A389" t="s">
        <v>126</v>
      </c>
      <c r="B389" t="s">
        <v>234</v>
      </c>
      <c r="C389" s="18">
        <v>1.34494903646368E-2</v>
      </c>
    </row>
    <row r="390" spans="1:3">
      <c r="A390" t="s">
        <v>126</v>
      </c>
      <c r="B390" t="s">
        <v>235</v>
      </c>
      <c r="C390" s="18">
        <v>3.5393395696412498E-3</v>
      </c>
    </row>
    <row r="391" spans="1:3">
      <c r="A391" t="s">
        <v>126</v>
      </c>
      <c r="B391" t="s">
        <v>236</v>
      </c>
      <c r="C391" s="18">
        <v>2.4775376987488701E-3</v>
      </c>
    </row>
    <row r="392" spans="1:3">
      <c r="A392" t="s">
        <v>127</v>
      </c>
      <c r="B392" t="s">
        <v>232</v>
      </c>
      <c r="C392" s="18">
        <v>4.3533876706587399E-2</v>
      </c>
    </row>
    <row r="393" spans="1:3">
      <c r="A393" t="s">
        <v>127</v>
      </c>
      <c r="B393" t="s">
        <v>233</v>
      </c>
      <c r="C393" s="18">
        <v>3.7870933395161399E-2</v>
      </c>
    </row>
    <row r="394" spans="1:3">
      <c r="A394" t="s">
        <v>127</v>
      </c>
      <c r="B394" t="s">
        <v>234</v>
      </c>
      <c r="C394" s="18">
        <v>1.34494903646368E-2</v>
      </c>
    </row>
    <row r="395" spans="1:3">
      <c r="A395" t="s">
        <v>127</v>
      </c>
      <c r="B395" t="s">
        <v>235</v>
      </c>
      <c r="C395" s="18">
        <v>3.5393395696412498E-3</v>
      </c>
    </row>
    <row r="396" spans="1:3">
      <c r="A396" t="s">
        <v>127</v>
      </c>
      <c r="B396" t="s">
        <v>236</v>
      </c>
      <c r="C396" s="18">
        <v>2.4775376987488701E-3</v>
      </c>
    </row>
    <row r="397" spans="1:3">
      <c r="A397" t="s">
        <v>128</v>
      </c>
      <c r="B397" t="s">
        <v>232</v>
      </c>
      <c r="C397" s="18">
        <v>4.3533876706587399E-2</v>
      </c>
    </row>
    <row r="398" spans="1:3">
      <c r="A398" t="s">
        <v>128</v>
      </c>
      <c r="B398" t="s">
        <v>233</v>
      </c>
      <c r="C398" s="18">
        <v>3.7870933395161399E-2</v>
      </c>
    </row>
    <row r="399" spans="1:3">
      <c r="A399" t="s">
        <v>128</v>
      </c>
      <c r="B399" t="s">
        <v>234</v>
      </c>
      <c r="C399" s="18">
        <v>1.34494903646368E-2</v>
      </c>
    </row>
    <row r="400" spans="1:3">
      <c r="A400" t="s">
        <v>128</v>
      </c>
      <c r="B400" t="s">
        <v>235</v>
      </c>
      <c r="C400" s="18">
        <v>3.5393395696412498E-3</v>
      </c>
    </row>
    <row r="401" spans="1:3">
      <c r="A401" t="s">
        <v>128</v>
      </c>
      <c r="B401" t="s">
        <v>236</v>
      </c>
      <c r="C401" s="18">
        <v>2.4775376987488701E-3</v>
      </c>
    </row>
    <row r="402" spans="1:3">
      <c r="A402" t="s">
        <v>129</v>
      </c>
      <c r="B402" t="s">
        <v>232</v>
      </c>
      <c r="C402" s="18">
        <v>4.3533876706587399E-2</v>
      </c>
    </row>
    <row r="403" spans="1:3">
      <c r="A403" t="s">
        <v>129</v>
      </c>
      <c r="B403" t="s">
        <v>233</v>
      </c>
      <c r="C403" s="18">
        <v>3.7870933395161399E-2</v>
      </c>
    </row>
    <row r="404" spans="1:3">
      <c r="A404" t="s">
        <v>129</v>
      </c>
      <c r="B404" t="s">
        <v>234</v>
      </c>
      <c r="C404" s="18">
        <v>1.34494903646368E-2</v>
      </c>
    </row>
    <row r="405" spans="1:3">
      <c r="A405" t="s">
        <v>129</v>
      </c>
      <c r="B405" t="s">
        <v>235</v>
      </c>
      <c r="C405" s="18">
        <v>3.5393395696412498E-3</v>
      </c>
    </row>
    <row r="406" spans="1:3">
      <c r="A406" t="s">
        <v>129</v>
      </c>
      <c r="B406" t="s">
        <v>236</v>
      </c>
      <c r="C406" s="18">
        <v>2.4775376987488701E-3</v>
      </c>
    </row>
    <row r="407" spans="1:3">
      <c r="A407" t="s">
        <v>130</v>
      </c>
      <c r="B407" t="s">
        <v>232</v>
      </c>
      <c r="C407" s="18">
        <v>4.3533876706587399E-2</v>
      </c>
    </row>
    <row r="408" spans="1:3">
      <c r="A408" t="s">
        <v>130</v>
      </c>
      <c r="B408" t="s">
        <v>233</v>
      </c>
      <c r="C408" s="18">
        <v>3.7870933395161399E-2</v>
      </c>
    </row>
    <row r="409" spans="1:3">
      <c r="A409" t="s">
        <v>130</v>
      </c>
      <c r="B409" t="s">
        <v>234</v>
      </c>
      <c r="C409" s="18">
        <v>1.34494903646368E-2</v>
      </c>
    </row>
    <row r="410" spans="1:3">
      <c r="A410" t="s">
        <v>130</v>
      </c>
      <c r="B410" t="s">
        <v>235</v>
      </c>
      <c r="C410" s="18">
        <v>3.5393395696412498E-3</v>
      </c>
    </row>
    <row r="411" spans="1:3">
      <c r="A411" t="s">
        <v>130</v>
      </c>
      <c r="B411" t="s">
        <v>236</v>
      </c>
      <c r="C411" s="18">
        <v>2.4775376987488701E-3</v>
      </c>
    </row>
    <row r="412" spans="1:3">
      <c r="A412" t="s">
        <v>131</v>
      </c>
      <c r="B412" t="s">
        <v>232</v>
      </c>
      <c r="C412" s="18">
        <v>4.3533876706587399E-2</v>
      </c>
    </row>
    <row r="413" spans="1:3">
      <c r="A413" t="s">
        <v>131</v>
      </c>
      <c r="B413" t="s">
        <v>233</v>
      </c>
      <c r="C413" s="18">
        <v>3.7870933395161399E-2</v>
      </c>
    </row>
    <row r="414" spans="1:3">
      <c r="A414" t="s">
        <v>131</v>
      </c>
      <c r="B414" t="s">
        <v>234</v>
      </c>
      <c r="C414" s="18">
        <v>1.34494903646368E-2</v>
      </c>
    </row>
    <row r="415" spans="1:3">
      <c r="A415" t="s">
        <v>131</v>
      </c>
      <c r="B415" t="s">
        <v>235</v>
      </c>
      <c r="C415" s="18">
        <v>3.5393395696412498E-3</v>
      </c>
    </row>
    <row r="416" spans="1:3">
      <c r="A416" t="s">
        <v>131</v>
      </c>
      <c r="B416" t="s">
        <v>236</v>
      </c>
      <c r="C416" s="18">
        <v>2.4775376987488701E-3</v>
      </c>
    </row>
    <row r="417" spans="1:3">
      <c r="A417" t="s">
        <v>132</v>
      </c>
      <c r="B417" t="s">
        <v>232</v>
      </c>
      <c r="C417" s="18">
        <v>4.3533876706587399E-2</v>
      </c>
    </row>
    <row r="418" spans="1:3">
      <c r="A418" t="s">
        <v>132</v>
      </c>
      <c r="B418" t="s">
        <v>233</v>
      </c>
      <c r="C418" s="18">
        <v>3.7870933395161399E-2</v>
      </c>
    </row>
    <row r="419" spans="1:3">
      <c r="A419" t="s">
        <v>132</v>
      </c>
      <c r="B419" t="s">
        <v>234</v>
      </c>
      <c r="C419" s="18">
        <v>1.34494903646368E-2</v>
      </c>
    </row>
    <row r="420" spans="1:3">
      <c r="A420" t="s">
        <v>132</v>
      </c>
      <c r="B420" t="s">
        <v>235</v>
      </c>
      <c r="C420" s="18">
        <v>3.5393395696412498E-3</v>
      </c>
    </row>
    <row r="421" spans="1:3">
      <c r="A421" t="s">
        <v>132</v>
      </c>
      <c r="B421" t="s">
        <v>236</v>
      </c>
      <c r="C421" s="18">
        <v>2.4775376987488701E-3</v>
      </c>
    </row>
    <row r="422" spans="1:3">
      <c r="A422" t="s">
        <v>133</v>
      </c>
      <c r="B422" t="s">
        <v>232</v>
      </c>
      <c r="C422" s="18">
        <v>4.3533876706587399E-2</v>
      </c>
    </row>
    <row r="423" spans="1:3">
      <c r="A423" t="s">
        <v>133</v>
      </c>
      <c r="B423" t="s">
        <v>233</v>
      </c>
      <c r="C423" s="18">
        <v>3.7870933395161399E-2</v>
      </c>
    </row>
    <row r="424" spans="1:3">
      <c r="A424" t="s">
        <v>133</v>
      </c>
      <c r="B424" t="s">
        <v>234</v>
      </c>
      <c r="C424" s="18">
        <v>1.34494903646368E-2</v>
      </c>
    </row>
    <row r="425" spans="1:3">
      <c r="A425" t="s">
        <v>133</v>
      </c>
      <c r="B425" t="s">
        <v>235</v>
      </c>
      <c r="C425" s="18">
        <v>3.5393395696412498E-3</v>
      </c>
    </row>
    <row r="426" spans="1:3">
      <c r="A426" t="s">
        <v>133</v>
      </c>
      <c r="B426" t="s">
        <v>236</v>
      </c>
      <c r="C426" s="18">
        <v>2.4775376987488701E-3</v>
      </c>
    </row>
    <row r="427" spans="1:3">
      <c r="A427" t="s">
        <v>134</v>
      </c>
      <c r="B427" t="s">
        <v>232</v>
      </c>
      <c r="C427" s="18">
        <v>4.3533876706587399E-2</v>
      </c>
    </row>
    <row r="428" spans="1:3">
      <c r="A428" t="s">
        <v>134</v>
      </c>
      <c r="B428" t="s">
        <v>233</v>
      </c>
      <c r="C428" s="18">
        <v>3.7870933395161399E-2</v>
      </c>
    </row>
    <row r="429" spans="1:3">
      <c r="A429" t="s">
        <v>134</v>
      </c>
      <c r="B429" t="s">
        <v>234</v>
      </c>
      <c r="C429" s="18">
        <v>1.34494903646368E-2</v>
      </c>
    </row>
    <row r="430" spans="1:3">
      <c r="A430" t="s">
        <v>134</v>
      </c>
      <c r="B430" t="s">
        <v>235</v>
      </c>
      <c r="C430" s="18">
        <v>3.5393395696412498E-3</v>
      </c>
    </row>
    <row r="431" spans="1:3">
      <c r="A431" t="s">
        <v>134</v>
      </c>
      <c r="B431" t="s">
        <v>236</v>
      </c>
      <c r="C431" s="18">
        <v>2.4775376987488701E-3</v>
      </c>
    </row>
    <row r="432" spans="1:3">
      <c r="A432" t="s">
        <v>135</v>
      </c>
      <c r="B432" t="s">
        <v>232</v>
      </c>
      <c r="C432" s="18">
        <v>4.3533876706587399E-2</v>
      </c>
    </row>
    <row r="433" spans="1:3">
      <c r="A433" t="s">
        <v>135</v>
      </c>
      <c r="B433" t="s">
        <v>233</v>
      </c>
      <c r="C433" s="18">
        <v>3.7870933395161399E-2</v>
      </c>
    </row>
    <row r="434" spans="1:3">
      <c r="A434" t="s">
        <v>135</v>
      </c>
      <c r="B434" t="s">
        <v>234</v>
      </c>
      <c r="C434" s="18">
        <v>1.34494903646368E-2</v>
      </c>
    </row>
    <row r="435" spans="1:3">
      <c r="A435" t="s">
        <v>135</v>
      </c>
      <c r="B435" t="s">
        <v>235</v>
      </c>
      <c r="C435" s="18">
        <v>3.5393395696412498E-3</v>
      </c>
    </row>
    <row r="436" spans="1:3">
      <c r="A436" t="s">
        <v>135</v>
      </c>
      <c r="B436" t="s">
        <v>236</v>
      </c>
      <c r="C436" s="18">
        <v>2.4775376987488701E-3</v>
      </c>
    </row>
    <row r="437" spans="1:3">
      <c r="A437" t="s">
        <v>136</v>
      </c>
      <c r="B437" t="s">
        <v>232</v>
      </c>
      <c r="C437" s="18">
        <v>4.3533876706587399E-2</v>
      </c>
    </row>
    <row r="438" spans="1:3">
      <c r="A438" t="s">
        <v>136</v>
      </c>
      <c r="B438" t="s">
        <v>233</v>
      </c>
      <c r="C438" s="18">
        <v>3.7870933395161399E-2</v>
      </c>
    </row>
    <row r="439" spans="1:3">
      <c r="A439" t="s">
        <v>136</v>
      </c>
      <c r="B439" t="s">
        <v>234</v>
      </c>
      <c r="C439" s="18">
        <v>1.34494903646368E-2</v>
      </c>
    </row>
    <row r="440" spans="1:3">
      <c r="A440" t="s">
        <v>136</v>
      </c>
      <c r="B440" t="s">
        <v>235</v>
      </c>
      <c r="C440" s="18">
        <v>3.5393395696412498E-3</v>
      </c>
    </row>
    <row r="441" spans="1:3">
      <c r="A441" t="s">
        <v>136</v>
      </c>
      <c r="B441" t="s">
        <v>236</v>
      </c>
      <c r="C441" s="18">
        <v>2.4775376987488701E-3</v>
      </c>
    </row>
    <row r="442" spans="1:3">
      <c r="A442" t="s">
        <v>137</v>
      </c>
      <c r="B442" t="s">
        <v>232</v>
      </c>
      <c r="C442" s="18">
        <v>4.3533876706587399E-2</v>
      </c>
    </row>
    <row r="443" spans="1:3">
      <c r="A443" t="s">
        <v>137</v>
      </c>
      <c r="B443" t="s">
        <v>233</v>
      </c>
      <c r="C443" s="18">
        <v>3.7870933395161399E-2</v>
      </c>
    </row>
    <row r="444" spans="1:3">
      <c r="A444" t="s">
        <v>137</v>
      </c>
      <c r="B444" t="s">
        <v>234</v>
      </c>
      <c r="C444" s="18">
        <v>1.34494903646368E-2</v>
      </c>
    </row>
    <row r="445" spans="1:3">
      <c r="A445" t="s">
        <v>137</v>
      </c>
      <c r="B445" t="s">
        <v>235</v>
      </c>
      <c r="C445" s="18">
        <v>3.5393395696412498E-3</v>
      </c>
    </row>
    <row r="446" spans="1:3">
      <c r="A446" t="s">
        <v>137</v>
      </c>
      <c r="B446" t="s">
        <v>236</v>
      </c>
      <c r="C446" s="18">
        <v>2.4775376987488701E-3</v>
      </c>
    </row>
    <row r="447" spans="1:3">
      <c r="A447" t="s">
        <v>138</v>
      </c>
      <c r="B447" t="s">
        <v>232</v>
      </c>
      <c r="C447" s="18">
        <v>4.3533876706587399E-2</v>
      </c>
    </row>
    <row r="448" spans="1:3">
      <c r="A448" t="s">
        <v>138</v>
      </c>
      <c r="B448" t="s">
        <v>233</v>
      </c>
      <c r="C448" s="18">
        <v>3.7870933395161399E-2</v>
      </c>
    </row>
    <row r="449" spans="1:3">
      <c r="A449" t="s">
        <v>138</v>
      </c>
      <c r="B449" t="s">
        <v>234</v>
      </c>
      <c r="C449" s="18">
        <v>1.34494903646368E-2</v>
      </c>
    </row>
    <row r="450" spans="1:3">
      <c r="A450" t="s">
        <v>138</v>
      </c>
      <c r="B450" t="s">
        <v>235</v>
      </c>
      <c r="C450" s="18">
        <v>3.5393395696412498E-3</v>
      </c>
    </row>
    <row r="451" spans="1:3">
      <c r="A451" t="s">
        <v>138</v>
      </c>
      <c r="B451" t="s">
        <v>236</v>
      </c>
      <c r="C451" s="18">
        <v>2.4775376987488701E-3</v>
      </c>
    </row>
    <row r="452" spans="1:3">
      <c r="A452" t="s">
        <v>139</v>
      </c>
      <c r="B452" t="s">
        <v>232</v>
      </c>
      <c r="C452" s="18">
        <v>4.3533876706587399E-2</v>
      </c>
    </row>
    <row r="453" spans="1:3">
      <c r="A453" t="s">
        <v>139</v>
      </c>
      <c r="B453" t="s">
        <v>233</v>
      </c>
      <c r="C453" s="18">
        <v>3.7870933395161399E-2</v>
      </c>
    </row>
    <row r="454" spans="1:3">
      <c r="A454" t="s">
        <v>139</v>
      </c>
      <c r="B454" t="s">
        <v>234</v>
      </c>
      <c r="C454" s="18">
        <v>1.34494903646368E-2</v>
      </c>
    </row>
    <row r="455" spans="1:3">
      <c r="A455" t="s">
        <v>139</v>
      </c>
      <c r="B455" t="s">
        <v>235</v>
      </c>
      <c r="C455" s="18">
        <v>3.5393395696412498E-3</v>
      </c>
    </row>
    <row r="456" spans="1:3">
      <c r="A456" t="s">
        <v>139</v>
      </c>
      <c r="B456" t="s">
        <v>236</v>
      </c>
      <c r="C456" s="18">
        <v>2.4775376987488701E-3</v>
      </c>
    </row>
    <row r="457" spans="1:3">
      <c r="A457" t="s">
        <v>140</v>
      </c>
      <c r="B457" t="s">
        <v>232</v>
      </c>
      <c r="C457" s="18">
        <v>4.3533876706587399E-2</v>
      </c>
    </row>
    <row r="458" spans="1:3">
      <c r="A458" t="s">
        <v>140</v>
      </c>
      <c r="B458" t="s">
        <v>233</v>
      </c>
      <c r="C458" s="18">
        <v>3.7870933395161399E-2</v>
      </c>
    </row>
    <row r="459" spans="1:3">
      <c r="A459" t="s">
        <v>140</v>
      </c>
      <c r="B459" t="s">
        <v>234</v>
      </c>
      <c r="C459" s="18">
        <v>1.34494903646368E-2</v>
      </c>
    </row>
    <row r="460" spans="1:3">
      <c r="A460" t="s">
        <v>140</v>
      </c>
      <c r="B460" t="s">
        <v>235</v>
      </c>
      <c r="C460" s="18">
        <v>3.5393395696412498E-3</v>
      </c>
    </row>
    <row r="461" spans="1:3">
      <c r="A461" t="s">
        <v>140</v>
      </c>
      <c r="B461" t="s">
        <v>236</v>
      </c>
      <c r="C461" s="18">
        <v>2.4775376987488701E-3</v>
      </c>
    </row>
    <row r="462" spans="1:3">
      <c r="A462" t="s">
        <v>141</v>
      </c>
      <c r="B462" t="s">
        <v>232</v>
      </c>
      <c r="C462" s="18">
        <v>4.3533876706587399E-2</v>
      </c>
    </row>
    <row r="463" spans="1:3">
      <c r="A463" t="s">
        <v>141</v>
      </c>
      <c r="B463" t="s">
        <v>233</v>
      </c>
      <c r="C463" s="18">
        <v>3.7870933395161399E-2</v>
      </c>
    </row>
    <row r="464" spans="1:3">
      <c r="A464" t="s">
        <v>141</v>
      </c>
      <c r="B464" t="s">
        <v>234</v>
      </c>
      <c r="C464" s="18">
        <v>1.34494903646368E-2</v>
      </c>
    </row>
    <row r="465" spans="1:3">
      <c r="A465" t="s">
        <v>141</v>
      </c>
      <c r="B465" t="s">
        <v>235</v>
      </c>
      <c r="C465" s="18">
        <v>3.5393395696412498E-3</v>
      </c>
    </row>
    <row r="466" spans="1:3">
      <c r="A466" t="s">
        <v>141</v>
      </c>
      <c r="B466" t="s">
        <v>236</v>
      </c>
      <c r="C466" s="18">
        <v>2.4775376987488701E-3</v>
      </c>
    </row>
    <row r="467" spans="1:3">
      <c r="A467" t="s">
        <v>142</v>
      </c>
      <c r="B467" t="s">
        <v>232</v>
      </c>
      <c r="C467" s="18">
        <v>4.3533876706587399E-2</v>
      </c>
    </row>
    <row r="468" spans="1:3">
      <c r="A468" t="s">
        <v>142</v>
      </c>
      <c r="B468" t="s">
        <v>233</v>
      </c>
      <c r="C468" s="18">
        <v>3.7870933395161399E-2</v>
      </c>
    </row>
    <row r="469" spans="1:3">
      <c r="A469" t="s">
        <v>142</v>
      </c>
      <c r="B469" t="s">
        <v>234</v>
      </c>
      <c r="C469" s="18">
        <v>1.34494903646368E-2</v>
      </c>
    </row>
    <row r="470" spans="1:3">
      <c r="A470" t="s">
        <v>142</v>
      </c>
      <c r="B470" t="s">
        <v>235</v>
      </c>
      <c r="C470" s="18">
        <v>3.5393395696412498E-3</v>
      </c>
    </row>
    <row r="471" spans="1:3">
      <c r="A471" t="s">
        <v>142</v>
      </c>
      <c r="B471" t="s">
        <v>236</v>
      </c>
      <c r="C471" s="18">
        <v>2.4775376987488701E-3</v>
      </c>
    </row>
    <row r="472" spans="1:3">
      <c r="A472" t="s">
        <v>143</v>
      </c>
      <c r="B472" t="s">
        <v>232</v>
      </c>
      <c r="C472" s="18">
        <v>4.3533876706587399E-2</v>
      </c>
    </row>
    <row r="473" spans="1:3">
      <c r="A473" t="s">
        <v>143</v>
      </c>
      <c r="B473" t="s">
        <v>233</v>
      </c>
      <c r="C473" s="18">
        <v>3.7870933395161399E-2</v>
      </c>
    </row>
    <row r="474" spans="1:3">
      <c r="A474" t="s">
        <v>143</v>
      </c>
      <c r="B474" t="s">
        <v>234</v>
      </c>
      <c r="C474" s="18">
        <v>1.34494903646368E-2</v>
      </c>
    </row>
    <row r="475" spans="1:3">
      <c r="A475" t="s">
        <v>143</v>
      </c>
      <c r="B475" t="s">
        <v>235</v>
      </c>
      <c r="C475" s="18">
        <v>3.5393395696412498E-3</v>
      </c>
    </row>
    <row r="476" spans="1:3">
      <c r="A476" t="s">
        <v>143</v>
      </c>
      <c r="B476" t="s">
        <v>236</v>
      </c>
      <c r="C476" s="18">
        <v>2.4775376987488701E-3</v>
      </c>
    </row>
    <row r="477" spans="1:3">
      <c r="A477" t="s">
        <v>144</v>
      </c>
      <c r="B477" t="s">
        <v>232</v>
      </c>
      <c r="C477" s="18">
        <v>4.3533876706587399E-2</v>
      </c>
    </row>
    <row r="478" spans="1:3">
      <c r="A478" t="s">
        <v>144</v>
      </c>
      <c r="B478" t="s">
        <v>233</v>
      </c>
      <c r="C478" s="18">
        <v>3.7870933395161399E-2</v>
      </c>
    </row>
    <row r="479" spans="1:3">
      <c r="A479" t="s">
        <v>144</v>
      </c>
      <c r="B479" t="s">
        <v>234</v>
      </c>
      <c r="C479" s="18">
        <v>1.34494903646368E-2</v>
      </c>
    </row>
    <row r="480" spans="1:3">
      <c r="A480" t="s">
        <v>144</v>
      </c>
      <c r="B480" t="s">
        <v>235</v>
      </c>
      <c r="C480" s="18">
        <v>3.5393395696412498E-3</v>
      </c>
    </row>
    <row r="481" spans="1:3">
      <c r="A481" t="s">
        <v>144</v>
      </c>
      <c r="B481" t="s">
        <v>236</v>
      </c>
      <c r="C481" s="18">
        <v>2.4775376987488701E-3</v>
      </c>
    </row>
    <row r="482" spans="1:3">
      <c r="A482" t="s">
        <v>145</v>
      </c>
      <c r="B482" t="s">
        <v>232</v>
      </c>
      <c r="C482" s="18">
        <v>4.3533876706587399E-2</v>
      </c>
    </row>
    <row r="483" spans="1:3">
      <c r="A483" t="s">
        <v>145</v>
      </c>
      <c r="B483" t="s">
        <v>233</v>
      </c>
      <c r="C483" s="18">
        <v>3.7870933395161399E-2</v>
      </c>
    </row>
    <row r="484" spans="1:3">
      <c r="A484" t="s">
        <v>145</v>
      </c>
      <c r="B484" t="s">
        <v>234</v>
      </c>
      <c r="C484" s="18">
        <v>1.34494903646368E-2</v>
      </c>
    </row>
    <row r="485" spans="1:3">
      <c r="A485" t="s">
        <v>145</v>
      </c>
      <c r="B485" t="s">
        <v>235</v>
      </c>
      <c r="C485" s="18">
        <v>3.5393395696412498E-3</v>
      </c>
    </row>
    <row r="486" spans="1:3">
      <c r="A486" t="s">
        <v>145</v>
      </c>
      <c r="B486" t="s">
        <v>236</v>
      </c>
      <c r="C486" s="18">
        <v>2.4775376987488701E-3</v>
      </c>
    </row>
    <row r="487" spans="1:3">
      <c r="A487" t="s">
        <v>146</v>
      </c>
      <c r="B487" t="s">
        <v>232</v>
      </c>
      <c r="C487" s="18">
        <v>4.3533876706587399E-2</v>
      </c>
    </row>
    <row r="488" spans="1:3">
      <c r="A488" t="s">
        <v>146</v>
      </c>
      <c r="B488" t="s">
        <v>233</v>
      </c>
      <c r="C488" s="18">
        <v>3.7870933395161399E-2</v>
      </c>
    </row>
    <row r="489" spans="1:3">
      <c r="A489" t="s">
        <v>146</v>
      </c>
      <c r="B489" t="s">
        <v>234</v>
      </c>
      <c r="C489" s="18">
        <v>1.34494903646368E-2</v>
      </c>
    </row>
    <row r="490" spans="1:3">
      <c r="A490" t="s">
        <v>146</v>
      </c>
      <c r="B490" t="s">
        <v>235</v>
      </c>
      <c r="C490" s="18">
        <v>3.5393395696412498E-3</v>
      </c>
    </row>
    <row r="491" spans="1:3">
      <c r="A491" t="s">
        <v>146</v>
      </c>
      <c r="B491" t="s">
        <v>236</v>
      </c>
      <c r="C491" s="18">
        <v>2.4775376987488701E-3</v>
      </c>
    </row>
    <row r="492" spans="1:3">
      <c r="A492" t="s">
        <v>147</v>
      </c>
      <c r="B492" t="s">
        <v>232</v>
      </c>
      <c r="C492" s="18">
        <v>4.3533876706587399E-2</v>
      </c>
    </row>
    <row r="493" spans="1:3">
      <c r="A493" t="s">
        <v>147</v>
      </c>
      <c r="B493" t="s">
        <v>233</v>
      </c>
      <c r="C493" s="18">
        <v>3.7870933395161399E-2</v>
      </c>
    </row>
    <row r="494" spans="1:3">
      <c r="A494" t="s">
        <v>147</v>
      </c>
      <c r="B494" t="s">
        <v>234</v>
      </c>
      <c r="C494" s="18">
        <v>1.34494903646368E-2</v>
      </c>
    </row>
    <row r="495" spans="1:3">
      <c r="A495" t="s">
        <v>147</v>
      </c>
      <c r="B495" t="s">
        <v>235</v>
      </c>
      <c r="C495" s="18">
        <v>3.5393395696412498E-3</v>
      </c>
    </row>
    <row r="496" spans="1:3">
      <c r="A496" t="s">
        <v>147</v>
      </c>
      <c r="B496" t="s">
        <v>236</v>
      </c>
      <c r="C496" s="18">
        <v>2.4775376987488701E-3</v>
      </c>
    </row>
    <row r="497" spans="1:3">
      <c r="A497" t="s">
        <v>148</v>
      </c>
      <c r="B497" t="s">
        <v>232</v>
      </c>
      <c r="C497" s="18">
        <v>4.3533876706587399E-2</v>
      </c>
    </row>
    <row r="498" spans="1:3">
      <c r="A498" t="s">
        <v>148</v>
      </c>
      <c r="B498" t="s">
        <v>233</v>
      </c>
      <c r="C498" s="18">
        <v>3.7870933395161399E-2</v>
      </c>
    </row>
    <row r="499" spans="1:3">
      <c r="A499" t="s">
        <v>148</v>
      </c>
      <c r="B499" t="s">
        <v>234</v>
      </c>
      <c r="C499" s="18">
        <v>1.34494903646368E-2</v>
      </c>
    </row>
    <row r="500" spans="1:3">
      <c r="A500" t="s">
        <v>148</v>
      </c>
      <c r="B500" t="s">
        <v>235</v>
      </c>
      <c r="C500" s="18">
        <v>3.5393395696412498E-3</v>
      </c>
    </row>
    <row r="501" spans="1:3">
      <c r="A501" t="s">
        <v>148</v>
      </c>
      <c r="B501" t="s">
        <v>236</v>
      </c>
      <c r="C501" s="18">
        <v>2.4775376987488701E-3</v>
      </c>
    </row>
    <row r="502" spans="1:3">
      <c r="A502" t="s">
        <v>149</v>
      </c>
      <c r="B502" t="s">
        <v>232</v>
      </c>
      <c r="C502" s="18">
        <v>4.3533876706587399E-2</v>
      </c>
    </row>
    <row r="503" spans="1:3">
      <c r="A503" t="s">
        <v>149</v>
      </c>
      <c r="B503" t="s">
        <v>233</v>
      </c>
      <c r="C503" s="18">
        <v>3.7870933395161399E-2</v>
      </c>
    </row>
    <row r="504" spans="1:3">
      <c r="A504" t="s">
        <v>149</v>
      </c>
      <c r="B504" t="s">
        <v>234</v>
      </c>
      <c r="C504" s="18">
        <v>1.34494903646368E-2</v>
      </c>
    </row>
    <row r="505" spans="1:3">
      <c r="A505" t="s">
        <v>149</v>
      </c>
      <c r="B505" t="s">
        <v>235</v>
      </c>
      <c r="C505" s="18">
        <v>3.5393395696412498E-3</v>
      </c>
    </row>
    <row r="506" spans="1:3">
      <c r="A506" t="s">
        <v>149</v>
      </c>
      <c r="B506" t="s">
        <v>236</v>
      </c>
      <c r="C506" s="18">
        <v>2.4775376987488701E-3</v>
      </c>
    </row>
    <row r="507" spans="1:3">
      <c r="A507" t="s">
        <v>150</v>
      </c>
      <c r="B507" t="s">
        <v>232</v>
      </c>
      <c r="C507" s="18">
        <v>4.3533876706587399E-2</v>
      </c>
    </row>
    <row r="508" spans="1:3">
      <c r="A508" t="s">
        <v>150</v>
      </c>
      <c r="B508" t="s">
        <v>233</v>
      </c>
      <c r="C508" s="18">
        <v>3.7870933395161399E-2</v>
      </c>
    </row>
    <row r="509" spans="1:3">
      <c r="A509" t="s">
        <v>150</v>
      </c>
      <c r="B509" t="s">
        <v>234</v>
      </c>
      <c r="C509" s="18">
        <v>1.34494903646368E-2</v>
      </c>
    </row>
    <row r="510" spans="1:3">
      <c r="A510" t="s">
        <v>150</v>
      </c>
      <c r="B510" t="s">
        <v>235</v>
      </c>
      <c r="C510" s="18">
        <v>3.5393395696412498E-3</v>
      </c>
    </row>
    <row r="511" spans="1:3">
      <c r="A511" t="s">
        <v>150</v>
      </c>
      <c r="B511" t="s">
        <v>236</v>
      </c>
      <c r="C511" s="18">
        <v>2.4775376987488701E-3</v>
      </c>
    </row>
    <row r="512" spans="1:3">
      <c r="A512" t="s">
        <v>151</v>
      </c>
      <c r="B512" t="s">
        <v>232</v>
      </c>
      <c r="C512" s="18">
        <v>4.3533876706587399E-2</v>
      </c>
    </row>
    <row r="513" spans="1:3">
      <c r="A513" t="s">
        <v>151</v>
      </c>
      <c r="B513" t="s">
        <v>233</v>
      </c>
      <c r="C513" s="18">
        <v>3.7870933395161399E-2</v>
      </c>
    </row>
    <row r="514" spans="1:3">
      <c r="A514" t="s">
        <v>151</v>
      </c>
      <c r="B514" t="s">
        <v>234</v>
      </c>
      <c r="C514" s="18">
        <v>1.34494903646368E-2</v>
      </c>
    </row>
    <row r="515" spans="1:3">
      <c r="A515" t="s">
        <v>151</v>
      </c>
      <c r="B515" t="s">
        <v>235</v>
      </c>
      <c r="C515" s="18">
        <v>3.5393395696412498E-3</v>
      </c>
    </row>
    <row r="516" spans="1:3">
      <c r="A516" t="s">
        <v>151</v>
      </c>
      <c r="B516" t="s">
        <v>236</v>
      </c>
      <c r="C516" s="18">
        <v>2.4775376987488701E-3</v>
      </c>
    </row>
    <row r="517" spans="1:3">
      <c r="A517" t="s">
        <v>152</v>
      </c>
      <c r="B517" t="s">
        <v>232</v>
      </c>
      <c r="C517" s="18">
        <v>4.3533876706587399E-2</v>
      </c>
    </row>
    <row r="518" spans="1:3">
      <c r="A518" t="s">
        <v>152</v>
      </c>
      <c r="B518" t="s">
        <v>233</v>
      </c>
      <c r="C518" s="18">
        <v>3.7870933395161399E-2</v>
      </c>
    </row>
    <row r="519" spans="1:3">
      <c r="A519" t="s">
        <v>152</v>
      </c>
      <c r="B519" t="s">
        <v>234</v>
      </c>
      <c r="C519" s="18">
        <v>1.34494903646368E-2</v>
      </c>
    </row>
    <row r="520" spans="1:3">
      <c r="A520" t="s">
        <v>152</v>
      </c>
      <c r="B520" t="s">
        <v>235</v>
      </c>
      <c r="C520" s="18">
        <v>3.5393395696412498E-3</v>
      </c>
    </row>
    <row r="521" spans="1:3">
      <c r="A521" t="s">
        <v>152</v>
      </c>
      <c r="B521" t="s">
        <v>236</v>
      </c>
      <c r="C521" s="18">
        <v>2.4775376987488701E-3</v>
      </c>
    </row>
    <row r="522" spans="1:3">
      <c r="A522" t="s">
        <v>153</v>
      </c>
      <c r="B522" t="s">
        <v>232</v>
      </c>
      <c r="C522" s="18">
        <v>4.3533876706587399E-2</v>
      </c>
    </row>
    <row r="523" spans="1:3">
      <c r="A523" t="s">
        <v>153</v>
      </c>
      <c r="B523" t="s">
        <v>233</v>
      </c>
      <c r="C523" s="18">
        <v>3.7870933395161399E-2</v>
      </c>
    </row>
    <row r="524" spans="1:3">
      <c r="A524" t="s">
        <v>153</v>
      </c>
      <c r="B524" t="s">
        <v>234</v>
      </c>
      <c r="C524" s="18">
        <v>1.34494903646368E-2</v>
      </c>
    </row>
    <row r="525" spans="1:3">
      <c r="A525" t="s">
        <v>153</v>
      </c>
      <c r="B525" t="s">
        <v>235</v>
      </c>
      <c r="C525" s="18">
        <v>3.5393395696412498E-3</v>
      </c>
    </row>
    <row r="526" spans="1:3">
      <c r="A526" t="s">
        <v>153</v>
      </c>
      <c r="B526" t="s">
        <v>236</v>
      </c>
      <c r="C526" s="18">
        <v>2.4775376987488701E-3</v>
      </c>
    </row>
    <row r="527" spans="1:3">
      <c r="A527" t="s">
        <v>154</v>
      </c>
      <c r="B527" t="s">
        <v>232</v>
      </c>
      <c r="C527" s="18">
        <v>4.3533876706587399E-2</v>
      </c>
    </row>
    <row r="528" spans="1:3">
      <c r="A528" t="s">
        <v>154</v>
      </c>
      <c r="B528" t="s">
        <v>233</v>
      </c>
      <c r="C528" s="18">
        <v>3.7870933395161399E-2</v>
      </c>
    </row>
    <row r="529" spans="1:3">
      <c r="A529" t="s">
        <v>154</v>
      </c>
      <c r="B529" t="s">
        <v>234</v>
      </c>
      <c r="C529" s="18">
        <v>1.34494903646368E-2</v>
      </c>
    </row>
    <row r="530" spans="1:3">
      <c r="A530" t="s">
        <v>154</v>
      </c>
      <c r="B530" t="s">
        <v>235</v>
      </c>
      <c r="C530" s="18">
        <v>3.5393395696412498E-3</v>
      </c>
    </row>
    <row r="531" spans="1:3">
      <c r="A531" t="s">
        <v>154</v>
      </c>
      <c r="B531" t="s">
        <v>236</v>
      </c>
      <c r="C531" s="18">
        <v>2.4775376987488701E-3</v>
      </c>
    </row>
    <row r="532" spans="1:3">
      <c r="A532" t="s">
        <v>155</v>
      </c>
      <c r="B532" t="s">
        <v>232</v>
      </c>
      <c r="C532" s="18">
        <v>4.3533876706587399E-2</v>
      </c>
    </row>
    <row r="533" spans="1:3">
      <c r="A533" t="s">
        <v>155</v>
      </c>
      <c r="B533" t="s">
        <v>233</v>
      </c>
      <c r="C533" s="18">
        <v>3.7870933395161399E-2</v>
      </c>
    </row>
    <row r="534" spans="1:3">
      <c r="A534" t="s">
        <v>155</v>
      </c>
      <c r="B534" t="s">
        <v>234</v>
      </c>
      <c r="C534" s="18">
        <v>1.34494903646368E-2</v>
      </c>
    </row>
    <row r="535" spans="1:3">
      <c r="A535" t="s">
        <v>155</v>
      </c>
      <c r="B535" t="s">
        <v>235</v>
      </c>
      <c r="C535" s="18">
        <v>3.5393395696412498E-3</v>
      </c>
    </row>
    <row r="536" spans="1:3">
      <c r="A536" t="s">
        <v>155</v>
      </c>
      <c r="B536" t="s">
        <v>236</v>
      </c>
      <c r="C536" s="18">
        <v>2.4775376987488701E-3</v>
      </c>
    </row>
    <row r="537" spans="1:3">
      <c r="A537" t="s">
        <v>156</v>
      </c>
      <c r="B537" t="s">
        <v>232</v>
      </c>
      <c r="C537" s="18">
        <v>4.3533876706587399E-2</v>
      </c>
    </row>
    <row r="538" spans="1:3">
      <c r="A538" t="s">
        <v>156</v>
      </c>
      <c r="B538" t="s">
        <v>233</v>
      </c>
      <c r="C538" s="18">
        <v>3.7870933395161399E-2</v>
      </c>
    </row>
    <row r="539" spans="1:3">
      <c r="A539" t="s">
        <v>156</v>
      </c>
      <c r="B539" t="s">
        <v>234</v>
      </c>
      <c r="C539" s="18">
        <v>1.34494903646368E-2</v>
      </c>
    </row>
    <row r="540" spans="1:3">
      <c r="A540" t="s">
        <v>156</v>
      </c>
      <c r="B540" t="s">
        <v>235</v>
      </c>
      <c r="C540" s="18">
        <v>3.5393395696412498E-3</v>
      </c>
    </row>
    <row r="541" spans="1:3">
      <c r="A541" t="s">
        <v>156</v>
      </c>
      <c r="B541" t="s">
        <v>236</v>
      </c>
      <c r="C541" s="18">
        <v>2.4775376987488701E-3</v>
      </c>
    </row>
    <row r="542" spans="1:3">
      <c r="A542" t="s">
        <v>157</v>
      </c>
      <c r="B542" t="s">
        <v>232</v>
      </c>
      <c r="C542" s="18">
        <v>4.3533876706587399E-2</v>
      </c>
    </row>
    <row r="543" spans="1:3">
      <c r="A543" t="s">
        <v>157</v>
      </c>
      <c r="B543" t="s">
        <v>233</v>
      </c>
      <c r="C543" s="18">
        <v>3.7870933395161399E-2</v>
      </c>
    </row>
    <row r="544" spans="1:3">
      <c r="A544" t="s">
        <v>157</v>
      </c>
      <c r="B544" t="s">
        <v>234</v>
      </c>
      <c r="C544" s="18">
        <v>1.34494903646368E-2</v>
      </c>
    </row>
    <row r="545" spans="1:3">
      <c r="A545" t="s">
        <v>157</v>
      </c>
      <c r="B545" t="s">
        <v>235</v>
      </c>
      <c r="C545" s="18">
        <v>3.5393395696412498E-3</v>
      </c>
    </row>
    <row r="546" spans="1:3">
      <c r="A546" t="s">
        <v>157</v>
      </c>
      <c r="B546" t="s">
        <v>236</v>
      </c>
      <c r="C546" s="18">
        <v>2.4775376987488701E-3</v>
      </c>
    </row>
    <row r="547" spans="1:3">
      <c r="A547" t="s">
        <v>158</v>
      </c>
      <c r="B547" t="s">
        <v>232</v>
      </c>
      <c r="C547" s="18">
        <v>4.3533876706587399E-2</v>
      </c>
    </row>
    <row r="548" spans="1:3">
      <c r="A548" t="s">
        <v>158</v>
      </c>
      <c r="B548" t="s">
        <v>233</v>
      </c>
      <c r="C548" s="18">
        <v>3.7870933395161399E-2</v>
      </c>
    </row>
    <row r="549" spans="1:3">
      <c r="A549" t="s">
        <v>158</v>
      </c>
      <c r="B549" t="s">
        <v>234</v>
      </c>
      <c r="C549" s="18">
        <v>1.34494903646368E-2</v>
      </c>
    </row>
    <row r="550" spans="1:3">
      <c r="A550" t="s">
        <v>158</v>
      </c>
      <c r="B550" t="s">
        <v>235</v>
      </c>
      <c r="C550" s="18">
        <v>3.5393395696412498E-3</v>
      </c>
    </row>
    <row r="551" spans="1:3">
      <c r="A551" t="s">
        <v>158</v>
      </c>
      <c r="B551" t="s">
        <v>236</v>
      </c>
      <c r="C551" s="18">
        <v>2.4775376987488701E-3</v>
      </c>
    </row>
    <row r="552" spans="1:3">
      <c r="A552" t="s">
        <v>159</v>
      </c>
      <c r="B552" t="s">
        <v>232</v>
      </c>
      <c r="C552" s="18">
        <v>4.3533876706587399E-2</v>
      </c>
    </row>
    <row r="553" spans="1:3">
      <c r="A553" t="s">
        <v>159</v>
      </c>
      <c r="B553" t="s">
        <v>233</v>
      </c>
      <c r="C553" s="18">
        <v>3.7870933395161399E-2</v>
      </c>
    </row>
    <row r="554" spans="1:3">
      <c r="A554" t="s">
        <v>159</v>
      </c>
      <c r="B554" t="s">
        <v>234</v>
      </c>
      <c r="C554" s="18">
        <v>1.34494903646368E-2</v>
      </c>
    </row>
    <row r="555" spans="1:3">
      <c r="A555" t="s">
        <v>159</v>
      </c>
      <c r="B555" t="s">
        <v>235</v>
      </c>
      <c r="C555" s="18">
        <v>3.5393395696412498E-3</v>
      </c>
    </row>
    <row r="556" spans="1:3">
      <c r="A556" t="s">
        <v>159</v>
      </c>
      <c r="B556" t="s">
        <v>236</v>
      </c>
      <c r="C556" s="18">
        <v>2.4775376987488701E-3</v>
      </c>
    </row>
    <row r="557" spans="1:3">
      <c r="A557" t="s">
        <v>160</v>
      </c>
      <c r="B557" t="s">
        <v>232</v>
      </c>
      <c r="C557" s="18">
        <v>4.3533876706587399E-2</v>
      </c>
    </row>
    <row r="558" spans="1:3">
      <c r="A558" t="s">
        <v>160</v>
      </c>
      <c r="B558" t="s">
        <v>233</v>
      </c>
      <c r="C558" s="18">
        <v>3.7870933395161399E-2</v>
      </c>
    </row>
    <row r="559" spans="1:3">
      <c r="A559" t="s">
        <v>160</v>
      </c>
      <c r="B559" t="s">
        <v>234</v>
      </c>
      <c r="C559" s="18">
        <v>1.34494903646368E-2</v>
      </c>
    </row>
    <row r="560" spans="1:3">
      <c r="A560" t="s">
        <v>160</v>
      </c>
      <c r="B560" t="s">
        <v>235</v>
      </c>
      <c r="C560" s="18">
        <v>3.5393395696412498E-3</v>
      </c>
    </row>
    <row r="561" spans="1:3">
      <c r="A561" t="s">
        <v>160</v>
      </c>
      <c r="B561" t="s">
        <v>236</v>
      </c>
      <c r="C561" s="18">
        <v>2.4775376987488701E-3</v>
      </c>
    </row>
    <row r="562" spans="1:3">
      <c r="A562" t="s">
        <v>161</v>
      </c>
      <c r="B562" t="s">
        <v>232</v>
      </c>
      <c r="C562" s="18">
        <v>4.3533876706587399E-2</v>
      </c>
    </row>
    <row r="563" spans="1:3">
      <c r="A563" t="s">
        <v>161</v>
      </c>
      <c r="B563" t="s">
        <v>233</v>
      </c>
      <c r="C563" s="18">
        <v>3.7870933395161399E-2</v>
      </c>
    </row>
    <row r="564" spans="1:3">
      <c r="A564" t="s">
        <v>161</v>
      </c>
      <c r="B564" t="s">
        <v>234</v>
      </c>
      <c r="C564" s="18">
        <v>1.34494903646368E-2</v>
      </c>
    </row>
    <row r="565" spans="1:3">
      <c r="A565" t="s">
        <v>161</v>
      </c>
      <c r="B565" t="s">
        <v>235</v>
      </c>
      <c r="C565" s="18">
        <v>3.5393395696412498E-3</v>
      </c>
    </row>
    <row r="566" spans="1:3">
      <c r="A566" t="s">
        <v>161</v>
      </c>
      <c r="B566" t="s">
        <v>236</v>
      </c>
      <c r="C566" s="18">
        <v>2.4775376987488701E-3</v>
      </c>
    </row>
    <row r="567" spans="1:3">
      <c r="A567" t="s">
        <v>162</v>
      </c>
      <c r="B567" t="s">
        <v>232</v>
      </c>
      <c r="C567" s="18">
        <v>4.3533876706587399E-2</v>
      </c>
    </row>
    <row r="568" spans="1:3">
      <c r="A568" t="s">
        <v>162</v>
      </c>
      <c r="B568" t="s">
        <v>233</v>
      </c>
      <c r="C568" s="18">
        <v>3.7870933395161399E-2</v>
      </c>
    </row>
    <row r="569" spans="1:3">
      <c r="A569" t="s">
        <v>162</v>
      </c>
      <c r="B569" t="s">
        <v>234</v>
      </c>
      <c r="C569" s="18">
        <v>1.34494903646368E-2</v>
      </c>
    </row>
    <row r="570" spans="1:3">
      <c r="A570" t="s">
        <v>162</v>
      </c>
      <c r="B570" t="s">
        <v>235</v>
      </c>
      <c r="C570" s="18">
        <v>3.5393395696412498E-3</v>
      </c>
    </row>
    <row r="571" spans="1:3">
      <c r="A571" t="s">
        <v>162</v>
      </c>
      <c r="B571" t="s">
        <v>236</v>
      </c>
      <c r="C571" s="18">
        <v>2.4775376987488701E-3</v>
      </c>
    </row>
    <row r="572" spans="1:3">
      <c r="A572" t="s">
        <v>163</v>
      </c>
      <c r="B572" t="s">
        <v>232</v>
      </c>
      <c r="C572" s="18">
        <v>4.3533876706587399E-2</v>
      </c>
    </row>
    <row r="573" spans="1:3">
      <c r="A573" t="s">
        <v>163</v>
      </c>
      <c r="B573" t="s">
        <v>233</v>
      </c>
      <c r="C573" s="18">
        <v>3.7870933395161399E-2</v>
      </c>
    </row>
    <row r="574" spans="1:3">
      <c r="A574" t="s">
        <v>163</v>
      </c>
      <c r="B574" t="s">
        <v>234</v>
      </c>
      <c r="C574" s="18">
        <v>1.34494903646368E-2</v>
      </c>
    </row>
    <row r="575" spans="1:3">
      <c r="A575" t="s">
        <v>163</v>
      </c>
      <c r="B575" t="s">
        <v>235</v>
      </c>
      <c r="C575" s="18">
        <v>3.5393395696412498E-3</v>
      </c>
    </row>
    <row r="576" spans="1:3">
      <c r="A576" t="s">
        <v>163</v>
      </c>
      <c r="B576" t="s">
        <v>236</v>
      </c>
      <c r="C576" s="18">
        <v>2.4775376987488701E-3</v>
      </c>
    </row>
    <row r="577" spans="1:3">
      <c r="A577" t="s">
        <v>164</v>
      </c>
      <c r="B577" t="s">
        <v>232</v>
      </c>
      <c r="C577" s="18">
        <v>4.3533876706587399E-2</v>
      </c>
    </row>
    <row r="578" spans="1:3">
      <c r="A578" t="s">
        <v>164</v>
      </c>
      <c r="B578" t="s">
        <v>233</v>
      </c>
      <c r="C578" s="18">
        <v>3.7870933395161399E-2</v>
      </c>
    </row>
    <row r="579" spans="1:3">
      <c r="A579" t="s">
        <v>164</v>
      </c>
      <c r="B579" t="s">
        <v>234</v>
      </c>
      <c r="C579" s="18">
        <v>1.34494903646368E-2</v>
      </c>
    </row>
    <row r="580" spans="1:3">
      <c r="A580" t="s">
        <v>164</v>
      </c>
      <c r="B580" t="s">
        <v>235</v>
      </c>
      <c r="C580" s="18">
        <v>3.5393395696412498E-3</v>
      </c>
    </row>
    <row r="581" spans="1:3">
      <c r="A581" t="s">
        <v>164</v>
      </c>
      <c r="B581" t="s">
        <v>236</v>
      </c>
      <c r="C581" s="18">
        <v>2.4775376987488701E-3</v>
      </c>
    </row>
    <row r="582" spans="1:3">
      <c r="A582" t="s">
        <v>165</v>
      </c>
      <c r="B582" t="s">
        <v>232</v>
      </c>
      <c r="C582" s="18">
        <v>4.3533876706587399E-2</v>
      </c>
    </row>
    <row r="583" spans="1:3">
      <c r="A583" t="s">
        <v>165</v>
      </c>
      <c r="B583" t="s">
        <v>233</v>
      </c>
      <c r="C583" s="18">
        <v>3.7870933395161399E-2</v>
      </c>
    </row>
    <row r="584" spans="1:3">
      <c r="A584" t="s">
        <v>165</v>
      </c>
      <c r="B584" t="s">
        <v>234</v>
      </c>
      <c r="C584" s="18">
        <v>1.34494903646368E-2</v>
      </c>
    </row>
    <row r="585" spans="1:3">
      <c r="A585" t="s">
        <v>165</v>
      </c>
      <c r="B585" t="s">
        <v>235</v>
      </c>
      <c r="C585" s="18">
        <v>3.5393395696412498E-3</v>
      </c>
    </row>
    <row r="586" spans="1:3">
      <c r="A586" t="s">
        <v>165</v>
      </c>
      <c r="B586" t="s">
        <v>236</v>
      </c>
      <c r="C586" s="18">
        <v>2.4775376987488701E-3</v>
      </c>
    </row>
    <row r="587" spans="1:3">
      <c r="A587" t="s">
        <v>166</v>
      </c>
      <c r="B587" t="s">
        <v>232</v>
      </c>
      <c r="C587" s="18">
        <v>4.3533876706587399E-2</v>
      </c>
    </row>
    <row r="588" spans="1:3">
      <c r="A588" t="s">
        <v>166</v>
      </c>
      <c r="B588" t="s">
        <v>233</v>
      </c>
      <c r="C588" s="18">
        <v>3.7870933395161399E-2</v>
      </c>
    </row>
    <row r="589" spans="1:3">
      <c r="A589" t="s">
        <v>166</v>
      </c>
      <c r="B589" t="s">
        <v>234</v>
      </c>
      <c r="C589" s="18">
        <v>1.34494903646368E-2</v>
      </c>
    </row>
    <row r="590" spans="1:3">
      <c r="A590" t="s">
        <v>166</v>
      </c>
      <c r="B590" t="s">
        <v>235</v>
      </c>
      <c r="C590" s="18">
        <v>3.5393395696412498E-3</v>
      </c>
    </row>
    <row r="591" spans="1:3">
      <c r="A591" t="s">
        <v>166</v>
      </c>
      <c r="B591" t="s">
        <v>236</v>
      </c>
      <c r="C591" s="18">
        <v>2.4775376987488701E-3</v>
      </c>
    </row>
    <row r="592" spans="1:3">
      <c r="A592" t="s">
        <v>167</v>
      </c>
      <c r="B592" t="s">
        <v>232</v>
      </c>
      <c r="C592" s="18">
        <v>4.3533876706587399E-2</v>
      </c>
    </row>
    <row r="593" spans="1:3">
      <c r="A593" t="s">
        <v>167</v>
      </c>
      <c r="B593" t="s">
        <v>233</v>
      </c>
      <c r="C593" s="18">
        <v>3.7870933395161399E-2</v>
      </c>
    </row>
    <row r="594" spans="1:3">
      <c r="A594" t="s">
        <v>167</v>
      </c>
      <c r="B594" t="s">
        <v>234</v>
      </c>
      <c r="C594" s="18">
        <v>1.34494903646368E-2</v>
      </c>
    </row>
    <row r="595" spans="1:3">
      <c r="A595" t="s">
        <v>167</v>
      </c>
      <c r="B595" t="s">
        <v>235</v>
      </c>
      <c r="C595" s="18">
        <v>3.5393395696412498E-3</v>
      </c>
    </row>
    <row r="596" spans="1:3">
      <c r="A596" t="s">
        <v>167</v>
      </c>
      <c r="B596" t="s">
        <v>236</v>
      </c>
      <c r="C596" s="18">
        <v>2.4775376987488701E-3</v>
      </c>
    </row>
    <row r="597" spans="1:3">
      <c r="A597" t="s">
        <v>168</v>
      </c>
      <c r="B597" t="s">
        <v>232</v>
      </c>
      <c r="C597" s="18">
        <v>4.3533876706587399E-2</v>
      </c>
    </row>
    <row r="598" spans="1:3">
      <c r="A598" t="s">
        <v>168</v>
      </c>
      <c r="B598" t="s">
        <v>233</v>
      </c>
      <c r="C598" s="18">
        <v>3.7870933395161399E-2</v>
      </c>
    </row>
    <row r="599" spans="1:3">
      <c r="A599" t="s">
        <v>168</v>
      </c>
      <c r="B599" t="s">
        <v>234</v>
      </c>
      <c r="C599" s="18">
        <v>1.34494903646368E-2</v>
      </c>
    </row>
    <row r="600" spans="1:3">
      <c r="A600" t="s">
        <v>168</v>
      </c>
      <c r="B600" t="s">
        <v>235</v>
      </c>
      <c r="C600" s="18">
        <v>3.5393395696412498E-3</v>
      </c>
    </row>
    <row r="601" spans="1:3">
      <c r="A601" t="s">
        <v>168</v>
      </c>
      <c r="B601" t="s">
        <v>236</v>
      </c>
      <c r="C601" s="18">
        <v>2.4775376987488701E-3</v>
      </c>
    </row>
    <row r="602" spans="1:3">
      <c r="A602" t="s">
        <v>169</v>
      </c>
      <c r="B602" t="s">
        <v>232</v>
      </c>
      <c r="C602" s="18">
        <v>4.3533876706587399E-2</v>
      </c>
    </row>
    <row r="603" spans="1:3">
      <c r="A603" t="s">
        <v>169</v>
      </c>
      <c r="B603" t="s">
        <v>233</v>
      </c>
      <c r="C603" s="18">
        <v>3.7870933395161399E-2</v>
      </c>
    </row>
    <row r="604" spans="1:3">
      <c r="A604" t="s">
        <v>169</v>
      </c>
      <c r="B604" t="s">
        <v>234</v>
      </c>
      <c r="C604" s="18">
        <v>1.34494903646368E-2</v>
      </c>
    </row>
    <row r="605" spans="1:3">
      <c r="A605" t="s">
        <v>169</v>
      </c>
      <c r="B605" t="s">
        <v>235</v>
      </c>
      <c r="C605" s="18">
        <v>3.5393395696412498E-3</v>
      </c>
    </row>
    <row r="606" spans="1:3">
      <c r="A606" t="s">
        <v>169</v>
      </c>
      <c r="B606" t="s">
        <v>236</v>
      </c>
      <c r="C606" s="18">
        <v>2.4775376987488701E-3</v>
      </c>
    </row>
    <row r="607" spans="1:3">
      <c r="A607" t="s">
        <v>170</v>
      </c>
      <c r="B607" t="s">
        <v>232</v>
      </c>
      <c r="C607" s="18">
        <v>4.3533876706587399E-2</v>
      </c>
    </row>
    <row r="608" spans="1:3">
      <c r="A608" t="s">
        <v>170</v>
      </c>
      <c r="B608" t="s">
        <v>233</v>
      </c>
      <c r="C608" s="18">
        <v>3.7870933395161399E-2</v>
      </c>
    </row>
    <row r="609" spans="1:3">
      <c r="A609" t="s">
        <v>170</v>
      </c>
      <c r="B609" t="s">
        <v>234</v>
      </c>
      <c r="C609" s="18">
        <v>1.34494903646368E-2</v>
      </c>
    </row>
    <row r="610" spans="1:3">
      <c r="A610" t="s">
        <v>170</v>
      </c>
      <c r="B610" t="s">
        <v>235</v>
      </c>
      <c r="C610" s="18">
        <v>3.5393395696412498E-3</v>
      </c>
    </row>
    <row r="611" spans="1:3">
      <c r="A611" t="s">
        <v>170</v>
      </c>
      <c r="B611" t="s">
        <v>236</v>
      </c>
      <c r="C611" s="18">
        <v>2.4775376987488701E-3</v>
      </c>
    </row>
    <row r="612" spans="1:3">
      <c r="A612" t="s">
        <v>171</v>
      </c>
      <c r="B612" t="s">
        <v>232</v>
      </c>
      <c r="C612" s="18">
        <v>4.3533876706587399E-2</v>
      </c>
    </row>
    <row r="613" spans="1:3">
      <c r="A613" t="s">
        <v>171</v>
      </c>
      <c r="B613" t="s">
        <v>233</v>
      </c>
      <c r="C613" s="18">
        <v>3.7870933395161399E-2</v>
      </c>
    </row>
    <row r="614" spans="1:3">
      <c r="A614" t="s">
        <v>171</v>
      </c>
      <c r="B614" t="s">
        <v>234</v>
      </c>
      <c r="C614" s="18">
        <v>1.34494903646368E-2</v>
      </c>
    </row>
    <row r="615" spans="1:3">
      <c r="A615" t="s">
        <v>171</v>
      </c>
      <c r="B615" t="s">
        <v>235</v>
      </c>
      <c r="C615" s="18">
        <v>3.5393395696412498E-3</v>
      </c>
    </row>
    <row r="616" spans="1:3">
      <c r="A616" t="s">
        <v>171</v>
      </c>
      <c r="B616" t="s">
        <v>236</v>
      </c>
      <c r="C616" s="18">
        <v>2.4775376987488701E-3</v>
      </c>
    </row>
    <row r="617" spans="1:3">
      <c r="A617" t="s">
        <v>172</v>
      </c>
      <c r="B617" t="s">
        <v>232</v>
      </c>
      <c r="C617" s="18">
        <v>4.3533876706587399E-2</v>
      </c>
    </row>
    <row r="618" spans="1:3">
      <c r="A618" t="s">
        <v>172</v>
      </c>
      <c r="B618" t="s">
        <v>233</v>
      </c>
      <c r="C618" s="18">
        <v>3.7870933395161399E-2</v>
      </c>
    </row>
    <row r="619" spans="1:3">
      <c r="A619" t="s">
        <v>172</v>
      </c>
      <c r="B619" t="s">
        <v>234</v>
      </c>
      <c r="C619" s="18">
        <v>1.34494903646368E-2</v>
      </c>
    </row>
    <row r="620" spans="1:3">
      <c r="A620" t="s">
        <v>172</v>
      </c>
      <c r="B620" t="s">
        <v>235</v>
      </c>
      <c r="C620" s="18">
        <v>3.5393395696412498E-3</v>
      </c>
    </row>
    <row r="621" spans="1:3">
      <c r="A621" t="s">
        <v>172</v>
      </c>
      <c r="B621" t="s">
        <v>236</v>
      </c>
      <c r="C621" s="18">
        <v>2.4775376987488701E-3</v>
      </c>
    </row>
    <row r="622" spans="1:3">
      <c r="A622" t="s">
        <v>173</v>
      </c>
      <c r="B622" t="s">
        <v>232</v>
      </c>
      <c r="C622" s="18">
        <v>4.3533876706587399E-2</v>
      </c>
    </row>
    <row r="623" spans="1:3">
      <c r="A623" t="s">
        <v>173</v>
      </c>
      <c r="B623" t="s">
        <v>233</v>
      </c>
      <c r="C623" s="18">
        <v>3.7870933395161399E-2</v>
      </c>
    </row>
    <row r="624" spans="1:3">
      <c r="A624" t="s">
        <v>173</v>
      </c>
      <c r="B624" t="s">
        <v>234</v>
      </c>
      <c r="C624" s="18">
        <v>1.34494903646368E-2</v>
      </c>
    </row>
    <row r="625" spans="1:3">
      <c r="A625" t="s">
        <v>173</v>
      </c>
      <c r="B625" t="s">
        <v>235</v>
      </c>
      <c r="C625" s="18">
        <v>3.5393395696412498E-3</v>
      </c>
    </row>
    <row r="626" spans="1:3">
      <c r="A626" t="s">
        <v>173</v>
      </c>
      <c r="B626" t="s">
        <v>236</v>
      </c>
      <c r="C626" s="18">
        <v>2.4775376987488701E-3</v>
      </c>
    </row>
    <row r="627" spans="1:3">
      <c r="A627" t="s">
        <v>174</v>
      </c>
      <c r="B627" t="s">
        <v>232</v>
      </c>
      <c r="C627" s="18">
        <v>4.3533876706587399E-2</v>
      </c>
    </row>
    <row r="628" spans="1:3">
      <c r="A628" t="s">
        <v>174</v>
      </c>
      <c r="B628" t="s">
        <v>233</v>
      </c>
      <c r="C628" s="18">
        <v>3.7870933395161399E-2</v>
      </c>
    </row>
    <row r="629" spans="1:3">
      <c r="A629" t="s">
        <v>174</v>
      </c>
      <c r="B629" t="s">
        <v>234</v>
      </c>
      <c r="C629" s="18">
        <v>1.34494903646368E-2</v>
      </c>
    </row>
    <row r="630" spans="1:3">
      <c r="A630" t="s">
        <v>174</v>
      </c>
      <c r="B630" t="s">
        <v>235</v>
      </c>
      <c r="C630" s="18">
        <v>3.5393395696412498E-3</v>
      </c>
    </row>
    <row r="631" spans="1:3">
      <c r="A631" t="s">
        <v>174</v>
      </c>
      <c r="B631" t="s">
        <v>236</v>
      </c>
      <c r="C631" s="18">
        <v>2.4775376987488701E-3</v>
      </c>
    </row>
    <row r="632" spans="1:3">
      <c r="A632" t="s">
        <v>175</v>
      </c>
      <c r="B632" t="s">
        <v>232</v>
      </c>
      <c r="C632" s="18">
        <v>4.3533876706587399E-2</v>
      </c>
    </row>
    <row r="633" spans="1:3">
      <c r="A633" t="s">
        <v>175</v>
      </c>
      <c r="B633" t="s">
        <v>233</v>
      </c>
      <c r="C633" s="18">
        <v>3.7870933395161399E-2</v>
      </c>
    </row>
    <row r="634" spans="1:3">
      <c r="A634" t="s">
        <v>175</v>
      </c>
      <c r="B634" t="s">
        <v>234</v>
      </c>
      <c r="C634" s="18">
        <v>1.34494903646368E-2</v>
      </c>
    </row>
    <row r="635" spans="1:3">
      <c r="A635" t="s">
        <v>175</v>
      </c>
      <c r="B635" t="s">
        <v>235</v>
      </c>
      <c r="C635" s="18">
        <v>3.5393395696412498E-3</v>
      </c>
    </row>
    <row r="636" spans="1:3">
      <c r="A636" t="s">
        <v>175</v>
      </c>
      <c r="B636" t="s">
        <v>236</v>
      </c>
      <c r="C636" s="18">
        <v>2.4775376987488701E-3</v>
      </c>
    </row>
    <row r="637" spans="1:3">
      <c r="A637" t="s">
        <v>176</v>
      </c>
      <c r="B637" t="s">
        <v>232</v>
      </c>
      <c r="C637" s="18">
        <v>4.3533876706587399E-2</v>
      </c>
    </row>
    <row r="638" spans="1:3">
      <c r="A638" t="s">
        <v>176</v>
      </c>
      <c r="B638" t="s">
        <v>233</v>
      </c>
      <c r="C638" s="18">
        <v>3.7870933395161399E-2</v>
      </c>
    </row>
    <row r="639" spans="1:3">
      <c r="A639" t="s">
        <v>176</v>
      </c>
      <c r="B639" t="s">
        <v>234</v>
      </c>
      <c r="C639" s="18">
        <v>1.34494903646368E-2</v>
      </c>
    </row>
    <row r="640" spans="1:3">
      <c r="A640" t="s">
        <v>176</v>
      </c>
      <c r="B640" t="s">
        <v>235</v>
      </c>
      <c r="C640" s="18">
        <v>3.5393395696412498E-3</v>
      </c>
    </row>
    <row r="641" spans="1:3">
      <c r="A641" t="s">
        <v>176</v>
      </c>
      <c r="B641" t="s">
        <v>236</v>
      </c>
      <c r="C641" s="18">
        <v>2.4775376987488701E-3</v>
      </c>
    </row>
    <row r="642" spans="1:3">
      <c r="A642" t="s">
        <v>177</v>
      </c>
      <c r="B642" t="s">
        <v>232</v>
      </c>
      <c r="C642" s="18">
        <v>4.3533876706587399E-2</v>
      </c>
    </row>
    <row r="643" spans="1:3">
      <c r="A643" t="s">
        <v>177</v>
      </c>
      <c r="B643" t="s">
        <v>233</v>
      </c>
      <c r="C643" s="18">
        <v>3.7870933395161399E-2</v>
      </c>
    </row>
    <row r="644" spans="1:3">
      <c r="A644" t="s">
        <v>177</v>
      </c>
      <c r="B644" t="s">
        <v>234</v>
      </c>
      <c r="C644" s="18">
        <v>1.34494903646368E-2</v>
      </c>
    </row>
    <row r="645" spans="1:3">
      <c r="A645" t="s">
        <v>177</v>
      </c>
      <c r="B645" t="s">
        <v>235</v>
      </c>
      <c r="C645" s="18">
        <v>3.5393395696412498E-3</v>
      </c>
    </row>
    <row r="646" spans="1:3">
      <c r="A646" t="s">
        <v>177</v>
      </c>
      <c r="B646" t="s">
        <v>236</v>
      </c>
      <c r="C646" s="18">
        <v>2.4775376987488701E-3</v>
      </c>
    </row>
    <row r="647" spans="1:3">
      <c r="A647" t="s">
        <v>178</v>
      </c>
      <c r="B647" t="s">
        <v>232</v>
      </c>
      <c r="C647" s="18">
        <v>4.3533876706587399E-2</v>
      </c>
    </row>
    <row r="648" spans="1:3">
      <c r="A648" t="s">
        <v>178</v>
      </c>
      <c r="B648" t="s">
        <v>233</v>
      </c>
      <c r="C648" s="18">
        <v>3.7870933395161399E-2</v>
      </c>
    </row>
    <row r="649" spans="1:3">
      <c r="A649" t="s">
        <v>178</v>
      </c>
      <c r="B649" t="s">
        <v>234</v>
      </c>
      <c r="C649" s="18">
        <v>1.34494903646368E-2</v>
      </c>
    </row>
    <row r="650" spans="1:3">
      <c r="A650" t="s">
        <v>178</v>
      </c>
      <c r="B650" t="s">
        <v>235</v>
      </c>
      <c r="C650" s="18">
        <v>3.5393395696412498E-3</v>
      </c>
    </row>
    <row r="651" spans="1:3">
      <c r="A651" t="s">
        <v>178</v>
      </c>
      <c r="B651" t="s">
        <v>236</v>
      </c>
      <c r="C651" s="18">
        <v>2.4775376987488701E-3</v>
      </c>
    </row>
    <row r="652" spans="1:3">
      <c r="A652" t="s">
        <v>179</v>
      </c>
      <c r="B652" t="s">
        <v>232</v>
      </c>
      <c r="C652" s="18">
        <v>4.3533876706587399E-2</v>
      </c>
    </row>
    <row r="653" spans="1:3">
      <c r="A653" t="s">
        <v>179</v>
      </c>
      <c r="B653" t="s">
        <v>233</v>
      </c>
      <c r="C653" s="18">
        <v>3.7870933395161399E-2</v>
      </c>
    </row>
    <row r="654" spans="1:3">
      <c r="A654" t="s">
        <v>179</v>
      </c>
      <c r="B654" t="s">
        <v>234</v>
      </c>
      <c r="C654" s="18">
        <v>1.34494903646368E-2</v>
      </c>
    </row>
    <row r="655" spans="1:3">
      <c r="A655" t="s">
        <v>179</v>
      </c>
      <c r="B655" t="s">
        <v>235</v>
      </c>
      <c r="C655" s="18">
        <v>3.5393395696412498E-3</v>
      </c>
    </row>
    <row r="656" spans="1:3">
      <c r="A656" t="s">
        <v>179</v>
      </c>
      <c r="B656" t="s">
        <v>236</v>
      </c>
      <c r="C656" s="18">
        <v>2.4775376987488701E-3</v>
      </c>
    </row>
    <row r="657" spans="1:3">
      <c r="A657" t="s">
        <v>180</v>
      </c>
      <c r="B657" t="s">
        <v>232</v>
      </c>
      <c r="C657" s="18">
        <v>4.3533876706587399E-2</v>
      </c>
    </row>
    <row r="658" spans="1:3">
      <c r="A658" t="s">
        <v>180</v>
      </c>
      <c r="B658" t="s">
        <v>233</v>
      </c>
      <c r="C658" s="18">
        <v>3.7870933395161399E-2</v>
      </c>
    </row>
    <row r="659" spans="1:3">
      <c r="A659" t="s">
        <v>180</v>
      </c>
      <c r="B659" t="s">
        <v>234</v>
      </c>
      <c r="C659" s="18">
        <v>1.34494903646368E-2</v>
      </c>
    </row>
    <row r="660" spans="1:3">
      <c r="A660" t="s">
        <v>180</v>
      </c>
      <c r="B660" t="s">
        <v>235</v>
      </c>
      <c r="C660" s="18">
        <v>3.5393395696412498E-3</v>
      </c>
    </row>
    <row r="661" spans="1:3">
      <c r="A661" t="s">
        <v>180</v>
      </c>
      <c r="B661" t="s">
        <v>236</v>
      </c>
      <c r="C661" s="18">
        <v>2.4775376987488701E-3</v>
      </c>
    </row>
    <row r="662" spans="1:3">
      <c r="A662" t="s">
        <v>181</v>
      </c>
      <c r="B662" t="s">
        <v>232</v>
      </c>
      <c r="C662" s="18">
        <v>4.3533876706587399E-2</v>
      </c>
    </row>
    <row r="663" spans="1:3">
      <c r="A663" t="s">
        <v>181</v>
      </c>
      <c r="B663" t="s">
        <v>233</v>
      </c>
      <c r="C663" s="18">
        <v>3.7870933395161399E-2</v>
      </c>
    </row>
    <row r="664" spans="1:3">
      <c r="A664" t="s">
        <v>181</v>
      </c>
      <c r="B664" t="s">
        <v>234</v>
      </c>
      <c r="C664" s="18">
        <v>1.34494903646368E-2</v>
      </c>
    </row>
    <row r="665" spans="1:3">
      <c r="A665" t="s">
        <v>181</v>
      </c>
      <c r="B665" t="s">
        <v>235</v>
      </c>
      <c r="C665" s="18">
        <v>3.5393395696412498E-3</v>
      </c>
    </row>
    <row r="666" spans="1:3">
      <c r="A666" t="s">
        <v>181</v>
      </c>
      <c r="B666" t="s">
        <v>236</v>
      </c>
      <c r="C666" s="18">
        <v>2.4775376987488701E-3</v>
      </c>
    </row>
    <row r="667" spans="1:3">
      <c r="A667" t="s">
        <v>182</v>
      </c>
      <c r="B667" t="s">
        <v>232</v>
      </c>
      <c r="C667" s="18">
        <v>4.3533876706587399E-2</v>
      </c>
    </row>
    <row r="668" spans="1:3">
      <c r="A668" t="s">
        <v>182</v>
      </c>
      <c r="B668" t="s">
        <v>233</v>
      </c>
      <c r="C668" s="18">
        <v>3.7870933395161399E-2</v>
      </c>
    </row>
    <row r="669" spans="1:3">
      <c r="A669" t="s">
        <v>182</v>
      </c>
      <c r="B669" t="s">
        <v>234</v>
      </c>
      <c r="C669" s="18">
        <v>1.34494903646368E-2</v>
      </c>
    </row>
    <row r="670" spans="1:3">
      <c r="A670" t="s">
        <v>182</v>
      </c>
      <c r="B670" t="s">
        <v>235</v>
      </c>
      <c r="C670" s="18">
        <v>3.5393395696412498E-3</v>
      </c>
    </row>
    <row r="671" spans="1:3">
      <c r="A671" t="s">
        <v>182</v>
      </c>
      <c r="B671" t="s">
        <v>236</v>
      </c>
      <c r="C671" s="18">
        <v>2.4775376987488701E-3</v>
      </c>
    </row>
    <row r="672" spans="1:3">
      <c r="A672" t="s">
        <v>183</v>
      </c>
      <c r="B672" t="s">
        <v>232</v>
      </c>
      <c r="C672" s="18">
        <v>4.3533876706587399E-2</v>
      </c>
    </row>
    <row r="673" spans="1:3">
      <c r="A673" t="s">
        <v>183</v>
      </c>
      <c r="B673" t="s">
        <v>233</v>
      </c>
      <c r="C673" s="18">
        <v>3.7870933395161399E-2</v>
      </c>
    </row>
    <row r="674" spans="1:3">
      <c r="A674" t="s">
        <v>183</v>
      </c>
      <c r="B674" t="s">
        <v>234</v>
      </c>
      <c r="C674" s="18">
        <v>1.34494903646368E-2</v>
      </c>
    </row>
    <row r="675" spans="1:3">
      <c r="A675" t="s">
        <v>183</v>
      </c>
      <c r="B675" t="s">
        <v>235</v>
      </c>
      <c r="C675" s="18">
        <v>3.5393395696412498E-3</v>
      </c>
    </row>
    <row r="676" spans="1:3">
      <c r="A676" t="s">
        <v>183</v>
      </c>
      <c r="B676" t="s">
        <v>236</v>
      </c>
      <c r="C676" s="18">
        <v>2.4775376987488701E-3</v>
      </c>
    </row>
    <row r="677" spans="1:3">
      <c r="A677" t="s">
        <v>184</v>
      </c>
      <c r="B677" t="s">
        <v>232</v>
      </c>
      <c r="C677" s="18">
        <v>4.3533876706587399E-2</v>
      </c>
    </row>
    <row r="678" spans="1:3">
      <c r="A678" t="s">
        <v>184</v>
      </c>
      <c r="B678" t="s">
        <v>233</v>
      </c>
      <c r="C678" s="18">
        <v>3.7870933395161399E-2</v>
      </c>
    </row>
    <row r="679" spans="1:3">
      <c r="A679" t="s">
        <v>184</v>
      </c>
      <c r="B679" t="s">
        <v>234</v>
      </c>
      <c r="C679" s="18">
        <v>1.34494903646368E-2</v>
      </c>
    </row>
    <row r="680" spans="1:3">
      <c r="A680" t="s">
        <v>184</v>
      </c>
      <c r="B680" t="s">
        <v>235</v>
      </c>
      <c r="C680" s="18">
        <v>3.5393395696412498E-3</v>
      </c>
    </row>
    <row r="681" spans="1:3">
      <c r="A681" t="s">
        <v>184</v>
      </c>
      <c r="B681" t="s">
        <v>236</v>
      </c>
      <c r="C681" s="18">
        <v>2.4775376987488701E-3</v>
      </c>
    </row>
    <row r="682" spans="1:3">
      <c r="A682" t="s">
        <v>185</v>
      </c>
      <c r="B682" t="s">
        <v>232</v>
      </c>
      <c r="C682" s="18">
        <v>4.3533876706587399E-2</v>
      </c>
    </row>
    <row r="683" spans="1:3">
      <c r="A683" t="s">
        <v>185</v>
      </c>
      <c r="B683" t="s">
        <v>233</v>
      </c>
      <c r="C683" s="18">
        <v>3.7870933395161399E-2</v>
      </c>
    </row>
    <row r="684" spans="1:3">
      <c r="A684" t="s">
        <v>185</v>
      </c>
      <c r="B684" t="s">
        <v>234</v>
      </c>
      <c r="C684" s="18">
        <v>1.34494903646368E-2</v>
      </c>
    </row>
    <row r="685" spans="1:3">
      <c r="A685" t="s">
        <v>185</v>
      </c>
      <c r="B685" t="s">
        <v>235</v>
      </c>
      <c r="C685" s="18">
        <v>3.5393395696412498E-3</v>
      </c>
    </row>
    <row r="686" spans="1:3">
      <c r="A686" t="s">
        <v>185</v>
      </c>
      <c r="B686" t="s">
        <v>236</v>
      </c>
      <c r="C686" s="18">
        <v>2.4775376987488701E-3</v>
      </c>
    </row>
    <row r="687" spans="1:3">
      <c r="A687" t="s">
        <v>186</v>
      </c>
      <c r="B687" t="s">
        <v>232</v>
      </c>
      <c r="C687" s="18">
        <v>4.3533876706587399E-2</v>
      </c>
    </row>
    <row r="688" spans="1:3">
      <c r="A688" t="s">
        <v>186</v>
      </c>
      <c r="B688" t="s">
        <v>233</v>
      </c>
      <c r="C688" s="18">
        <v>3.7870933395161399E-2</v>
      </c>
    </row>
    <row r="689" spans="1:3">
      <c r="A689" t="s">
        <v>186</v>
      </c>
      <c r="B689" t="s">
        <v>234</v>
      </c>
      <c r="C689" s="18">
        <v>1.34494903646368E-2</v>
      </c>
    </row>
    <row r="690" spans="1:3">
      <c r="A690" t="s">
        <v>186</v>
      </c>
      <c r="B690" t="s">
        <v>235</v>
      </c>
      <c r="C690" s="18">
        <v>3.5393395696412498E-3</v>
      </c>
    </row>
    <row r="691" spans="1:3">
      <c r="A691" t="s">
        <v>186</v>
      </c>
      <c r="B691" t="s">
        <v>236</v>
      </c>
      <c r="C691" s="18">
        <v>2.4775376987488701E-3</v>
      </c>
    </row>
    <row r="692" spans="1:3">
      <c r="A692" t="s">
        <v>187</v>
      </c>
      <c r="B692" t="s">
        <v>232</v>
      </c>
      <c r="C692" s="18">
        <v>4.3533876706587399E-2</v>
      </c>
    </row>
    <row r="693" spans="1:3">
      <c r="A693" t="s">
        <v>187</v>
      </c>
      <c r="B693" t="s">
        <v>233</v>
      </c>
      <c r="C693" s="18">
        <v>3.7870933395161399E-2</v>
      </c>
    </row>
    <row r="694" spans="1:3">
      <c r="A694" t="s">
        <v>187</v>
      </c>
      <c r="B694" t="s">
        <v>234</v>
      </c>
      <c r="C694" s="18">
        <v>1.34494903646368E-2</v>
      </c>
    </row>
    <row r="695" spans="1:3">
      <c r="A695" t="s">
        <v>187</v>
      </c>
      <c r="B695" t="s">
        <v>235</v>
      </c>
      <c r="C695" s="18">
        <v>3.5393395696412498E-3</v>
      </c>
    </row>
    <row r="696" spans="1:3">
      <c r="A696" t="s">
        <v>187</v>
      </c>
      <c r="B696" t="s">
        <v>236</v>
      </c>
      <c r="C696" s="18">
        <v>2.4775376987488701E-3</v>
      </c>
    </row>
    <row r="697" spans="1:3">
      <c r="A697" t="s">
        <v>188</v>
      </c>
      <c r="B697" t="s">
        <v>232</v>
      </c>
      <c r="C697" s="18">
        <v>4.3533876706587399E-2</v>
      </c>
    </row>
    <row r="698" spans="1:3">
      <c r="A698" t="s">
        <v>188</v>
      </c>
      <c r="B698" t="s">
        <v>233</v>
      </c>
      <c r="C698" s="18">
        <v>3.7870933395161399E-2</v>
      </c>
    </row>
    <row r="699" spans="1:3">
      <c r="A699" t="s">
        <v>188</v>
      </c>
      <c r="B699" t="s">
        <v>234</v>
      </c>
      <c r="C699" s="18">
        <v>1.34494903646368E-2</v>
      </c>
    </row>
    <row r="700" spans="1:3">
      <c r="A700" t="s">
        <v>188</v>
      </c>
      <c r="B700" t="s">
        <v>235</v>
      </c>
      <c r="C700" s="18">
        <v>3.5393395696412498E-3</v>
      </c>
    </row>
    <row r="701" spans="1:3">
      <c r="A701" t="s">
        <v>188</v>
      </c>
      <c r="B701" t="s">
        <v>236</v>
      </c>
      <c r="C701" s="18">
        <v>2.4775376987488701E-3</v>
      </c>
    </row>
    <row r="702" spans="1:3">
      <c r="A702" t="s">
        <v>189</v>
      </c>
      <c r="B702" t="s">
        <v>232</v>
      </c>
      <c r="C702" s="18">
        <v>4.3533876706587399E-2</v>
      </c>
    </row>
    <row r="703" spans="1:3">
      <c r="A703" t="s">
        <v>189</v>
      </c>
      <c r="B703" t="s">
        <v>233</v>
      </c>
      <c r="C703" s="18">
        <v>3.7870933395161399E-2</v>
      </c>
    </row>
    <row r="704" spans="1:3">
      <c r="A704" t="s">
        <v>189</v>
      </c>
      <c r="B704" t="s">
        <v>234</v>
      </c>
      <c r="C704" s="18">
        <v>1.34494903646368E-2</v>
      </c>
    </row>
    <row r="705" spans="1:3">
      <c r="A705" t="s">
        <v>189</v>
      </c>
      <c r="B705" t="s">
        <v>235</v>
      </c>
      <c r="C705" s="18">
        <v>3.5393395696412498E-3</v>
      </c>
    </row>
    <row r="706" spans="1:3">
      <c r="A706" t="s">
        <v>189</v>
      </c>
      <c r="B706" t="s">
        <v>236</v>
      </c>
      <c r="C706" s="18">
        <v>2.4775376987488701E-3</v>
      </c>
    </row>
    <row r="707" spans="1:3">
      <c r="A707" t="s">
        <v>190</v>
      </c>
      <c r="B707" t="s">
        <v>232</v>
      </c>
      <c r="C707" s="18">
        <v>4.3533876706587399E-2</v>
      </c>
    </row>
    <row r="708" spans="1:3">
      <c r="A708" t="s">
        <v>190</v>
      </c>
      <c r="B708" t="s">
        <v>233</v>
      </c>
      <c r="C708" s="18">
        <v>3.7870933395161399E-2</v>
      </c>
    </row>
    <row r="709" spans="1:3">
      <c r="A709" t="s">
        <v>190</v>
      </c>
      <c r="B709" t="s">
        <v>234</v>
      </c>
      <c r="C709" s="18">
        <v>1.34494903646368E-2</v>
      </c>
    </row>
    <row r="710" spans="1:3">
      <c r="A710" t="s">
        <v>190</v>
      </c>
      <c r="B710" t="s">
        <v>235</v>
      </c>
      <c r="C710" s="18">
        <v>3.5393395696412498E-3</v>
      </c>
    </row>
    <row r="711" spans="1:3">
      <c r="A711" t="s">
        <v>190</v>
      </c>
      <c r="B711" t="s">
        <v>236</v>
      </c>
      <c r="C711" s="18">
        <v>2.4775376987488701E-3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53"/>
  <sheetViews>
    <sheetView zoomScaleNormal="100" workbookViewId="0"/>
  </sheetViews>
  <sheetFormatPr defaultColWidth="8.7109375" defaultRowHeight="15"/>
  <sheetData>
    <row r="1" spans="1:3">
      <c r="A1" t="s">
        <v>262</v>
      </c>
      <c r="B1" t="s">
        <v>263</v>
      </c>
      <c r="C1" t="s">
        <v>264</v>
      </c>
    </row>
    <row r="2" spans="1:3">
      <c r="A2">
        <v>1</v>
      </c>
      <c r="B2" t="s">
        <v>265</v>
      </c>
      <c r="C2">
        <v>2.351E-2</v>
      </c>
    </row>
    <row r="3" spans="1:3">
      <c r="A3">
        <v>2</v>
      </c>
      <c r="B3" t="s">
        <v>265</v>
      </c>
      <c r="C3">
        <v>2.351E-2</v>
      </c>
    </row>
    <row r="4" spans="1:3">
      <c r="A4">
        <v>3</v>
      </c>
      <c r="B4" t="s">
        <v>265</v>
      </c>
      <c r="C4">
        <v>2.351E-2</v>
      </c>
    </row>
    <row r="5" spans="1:3">
      <c r="A5">
        <v>4</v>
      </c>
      <c r="B5" t="s">
        <v>265</v>
      </c>
      <c r="C5">
        <v>2.351E-2</v>
      </c>
    </row>
    <row r="6" spans="1:3">
      <c r="A6">
        <v>5</v>
      </c>
      <c r="B6" t="s">
        <v>265</v>
      </c>
      <c r="C6">
        <v>1.9470000000000001E-2</v>
      </c>
    </row>
    <row r="7" spans="1:3">
      <c r="A7">
        <v>6</v>
      </c>
      <c r="B7" t="s">
        <v>265</v>
      </c>
      <c r="C7">
        <v>1.644E-2</v>
      </c>
    </row>
    <row r="8" spans="1:3">
      <c r="A8">
        <v>7</v>
      </c>
      <c r="B8" t="s">
        <v>265</v>
      </c>
      <c r="C8">
        <v>1.644E-2</v>
      </c>
    </row>
    <row r="9" spans="1:3">
      <c r="A9">
        <v>8</v>
      </c>
      <c r="B9" t="s">
        <v>265</v>
      </c>
      <c r="C9">
        <v>1.644E-2</v>
      </c>
    </row>
    <row r="10" spans="1:3">
      <c r="A10">
        <v>9</v>
      </c>
      <c r="B10" t="s">
        <v>265</v>
      </c>
      <c r="C10">
        <v>1.7770000000000001E-2</v>
      </c>
    </row>
    <row r="11" spans="1:3">
      <c r="A11">
        <v>10</v>
      </c>
      <c r="B11" t="s">
        <v>266</v>
      </c>
      <c r="C11">
        <v>1.8780000000000002E-2</v>
      </c>
    </row>
    <row r="12" spans="1:3">
      <c r="A12">
        <v>11</v>
      </c>
      <c r="B12" t="s">
        <v>266</v>
      </c>
      <c r="C12">
        <v>1.8780000000000002E-2</v>
      </c>
    </row>
    <row r="13" spans="1:3">
      <c r="A13">
        <v>12</v>
      </c>
      <c r="B13" t="s">
        <v>266</v>
      </c>
      <c r="C13">
        <v>1.8780000000000002E-2</v>
      </c>
    </row>
    <row r="14" spans="1:3">
      <c r="A14">
        <v>13</v>
      </c>
      <c r="B14" t="s">
        <v>266</v>
      </c>
      <c r="C14">
        <v>1.8339999999999999E-2</v>
      </c>
    </row>
    <row r="15" spans="1:3">
      <c r="A15">
        <v>14</v>
      </c>
      <c r="B15" t="s">
        <v>266</v>
      </c>
      <c r="C15">
        <v>1.5709999999999998E-2</v>
      </c>
    </row>
    <row r="16" spans="1:3">
      <c r="A16">
        <v>15</v>
      </c>
      <c r="B16" t="s">
        <v>266</v>
      </c>
      <c r="C16">
        <v>1.5709999999999998E-2</v>
      </c>
    </row>
    <row r="17" spans="1:3">
      <c r="A17">
        <v>16</v>
      </c>
      <c r="B17" t="s">
        <v>266</v>
      </c>
      <c r="C17">
        <v>1.5709999999999998E-2</v>
      </c>
    </row>
    <row r="18" spans="1:3">
      <c r="A18">
        <v>17</v>
      </c>
      <c r="B18" t="s">
        <v>266</v>
      </c>
      <c r="C18">
        <v>1.5709999999999998E-2</v>
      </c>
    </row>
    <row r="19" spans="1:3">
      <c r="A19">
        <v>18</v>
      </c>
      <c r="B19" t="s">
        <v>266</v>
      </c>
      <c r="C19">
        <v>1.5570000000000001E-2</v>
      </c>
    </row>
    <row r="20" spans="1:3">
      <c r="A20">
        <v>19</v>
      </c>
      <c r="B20" t="s">
        <v>266</v>
      </c>
      <c r="C20">
        <v>1.555E-2</v>
      </c>
    </row>
    <row r="21" spans="1:3">
      <c r="A21">
        <v>20</v>
      </c>
      <c r="B21" t="s">
        <v>266</v>
      </c>
      <c r="C21">
        <v>1.555E-2</v>
      </c>
    </row>
    <row r="22" spans="1:3">
      <c r="A22">
        <v>21</v>
      </c>
      <c r="B22" t="s">
        <v>266</v>
      </c>
      <c r="C22">
        <v>1.555E-2</v>
      </c>
    </row>
    <row r="23" spans="1:3">
      <c r="A23">
        <v>22</v>
      </c>
      <c r="B23" t="s">
        <v>266</v>
      </c>
      <c r="C23">
        <v>1.512E-2</v>
      </c>
    </row>
    <row r="24" spans="1:3">
      <c r="A24">
        <v>23</v>
      </c>
      <c r="B24" t="s">
        <v>266</v>
      </c>
      <c r="C24">
        <v>1.455E-2</v>
      </c>
    </row>
    <row r="25" spans="1:3">
      <c r="A25">
        <v>24</v>
      </c>
      <c r="B25" t="s">
        <v>266</v>
      </c>
      <c r="C25">
        <v>1.455E-2</v>
      </c>
    </row>
    <row r="26" spans="1:3">
      <c r="A26">
        <v>25</v>
      </c>
      <c r="B26" t="s">
        <v>266</v>
      </c>
      <c r="C26">
        <v>1.455E-2</v>
      </c>
    </row>
    <row r="27" spans="1:3">
      <c r="A27">
        <v>26</v>
      </c>
      <c r="B27" t="s">
        <v>266</v>
      </c>
      <c r="C27">
        <v>1.5010000000000001E-2</v>
      </c>
    </row>
    <row r="28" spans="1:3">
      <c r="A28">
        <v>27</v>
      </c>
      <c r="B28" t="s">
        <v>266</v>
      </c>
      <c r="C28">
        <v>1.7819999999999999E-2</v>
      </c>
    </row>
    <row r="29" spans="1:3">
      <c r="A29">
        <v>28</v>
      </c>
      <c r="B29" t="s">
        <v>266</v>
      </c>
      <c r="C29">
        <v>1.7819999999999999E-2</v>
      </c>
    </row>
    <row r="30" spans="1:3">
      <c r="A30">
        <v>29</v>
      </c>
      <c r="B30" t="s">
        <v>266</v>
      </c>
      <c r="C30">
        <v>1.7819999999999999E-2</v>
      </c>
    </row>
    <row r="31" spans="1:3">
      <c r="A31">
        <v>30</v>
      </c>
      <c r="B31" t="s">
        <v>266</v>
      </c>
      <c r="C31">
        <v>1.7819999999999999E-2</v>
      </c>
    </row>
    <row r="32" spans="1:3">
      <c r="A32">
        <v>31</v>
      </c>
      <c r="B32" t="s">
        <v>266</v>
      </c>
      <c r="C32">
        <v>1.8290000000000001E-2</v>
      </c>
    </row>
    <row r="33" spans="1:3">
      <c r="A33">
        <v>32</v>
      </c>
      <c r="B33" t="s">
        <v>266</v>
      </c>
      <c r="C33">
        <v>1.847E-2</v>
      </c>
    </row>
    <row r="34" spans="1:3">
      <c r="A34">
        <v>33</v>
      </c>
      <c r="B34" t="s">
        <v>266</v>
      </c>
      <c r="C34">
        <v>1.847E-2</v>
      </c>
    </row>
    <row r="35" spans="1:3">
      <c r="A35">
        <v>34</v>
      </c>
      <c r="B35" t="s">
        <v>266</v>
      </c>
      <c r="C35">
        <v>1.847E-2</v>
      </c>
    </row>
    <row r="36" spans="1:3">
      <c r="A36">
        <v>35</v>
      </c>
      <c r="B36" t="s">
        <v>266</v>
      </c>
      <c r="C36">
        <v>1.8700000000000001E-2</v>
      </c>
    </row>
    <row r="37" spans="1:3">
      <c r="A37">
        <v>36</v>
      </c>
      <c r="B37" t="s">
        <v>266</v>
      </c>
      <c r="C37">
        <v>1.9279999999999999E-2</v>
      </c>
    </row>
    <row r="38" spans="1:3">
      <c r="A38">
        <v>37</v>
      </c>
      <c r="B38" t="s">
        <v>266</v>
      </c>
      <c r="C38">
        <v>1.9279999999999999E-2</v>
      </c>
    </row>
    <row r="39" spans="1:3">
      <c r="A39">
        <v>38</v>
      </c>
      <c r="B39" t="s">
        <v>266</v>
      </c>
      <c r="C39">
        <v>1.9279999999999999E-2</v>
      </c>
    </row>
    <row r="40" spans="1:3">
      <c r="A40">
        <v>39</v>
      </c>
      <c r="B40" t="s">
        <v>266</v>
      </c>
      <c r="C40">
        <v>1.9279999999999999E-2</v>
      </c>
    </row>
    <row r="41" spans="1:3">
      <c r="A41">
        <v>40</v>
      </c>
      <c r="B41" t="s">
        <v>266</v>
      </c>
      <c r="C41">
        <v>2.103E-2</v>
      </c>
    </row>
    <row r="42" spans="1:3">
      <c r="A42">
        <v>41</v>
      </c>
      <c r="B42" t="s">
        <v>266</v>
      </c>
      <c r="C42">
        <v>2.103E-2</v>
      </c>
    </row>
    <row r="43" spans="1:3">
      <c r="A43">
        <v>42</v>
      </c>
      <c r="B43" t="s">
        <v>266</v>
      </c>
      <c r="C43">
        <v>2.103E-2</v>
      </c>
    </row>
    <row r="44" spans="1:3">
      <c r="A44">
        <v>43</v>
      </c>
      <c r="B44" t="s">
        <v>266</v>
      </c>
      <c r="C44">
        <v>2.103E-2</v>
      </c>
    </row>
    <row r="45" spans="1:3">
      <c r="A45">
        <v>44</v>
      </c>
      <c r="B45" t="s">
        <v>266</v>
      </c>
      <c r="C45">
        <v>2.2499999999999999E-2</v>
      </c>
    </row>
    <row r="46" spans="1:3">
      <c r="A46">
        <v>45</v>
      </c>
      <c r="B46" t="s">
        <v>266</v>
      </c>
      <c r="C46">
        <v>2.3609999999999999E-2</v>
      </c>
    </row>
    <row r="47" spans="1:3">
      <c r="A47">
        <v>46</v>
      </c>
      <c r="B47" t="s">
        <v>266</v>
      </c>
      <c r="C47">
        <v>2.3609999999999999E-2</v>
      </c>
    </row>
    <row r="48" spans="1:3">
      <c r="A48">
        <v>47</v>
      </c>
      <c r="B48" t="s">
        <v>266</v>
      </c>
      <c r="C48">
        <v>2.3609999999999999E-2</v>
      </c>
    </row>
    <row r="49" spans="1:3">
      <c r="A49">
        <v>48</v>
      </c>
      <c r="B49" t="s">
        <v>265</v>
      </c>
      <c r="C49">
        <v>2.4250000000000001E-2</v>
      </c>
    </row>
    <row r="50" spans="1:3">
      <c r="A50">
        <v>49</v>
      </c>
      <c r="B50" t="s">
        <v>265</v>
      </c>
      <c r="C50">
        <v>2.5850000000000001E-2</v>
      </c>
    </row>
    <row r="51" spans="1:3">
      <c r="A51">
        <v>50</v>
      </c>
      <c r="B51" t="s">
        <v>265</v>
      </c>
      <c r="C51">
        <v>2.5850000000000001E-2</v>
      </c>
    </row>
    <row r="52" spans="1:3">
      <c r="A52">
        <v>51</v>
      </c>
      <c r="B52" t="s">
        <v>265</v>
      </c>
      <c r="C52">
        <v>2.5850000000000001E-2</v>
      </c>
    </row>
    <row r="53" spans="1:3">
      <c r="A53">
        <v>52</v>
      </c>
      <c r="B53" t="s">
        <v>265</v>
      </c>
      <c r="C53">
        <v>2.5829999999999999E-2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503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/>
  <cols>
    <col min="1" max="1" width="15" customWidth="1"/>
    <col min="2" max="2" width="17" customWidth="1"/>
    <col min="3" max="3" width="19" customWidth="1"/>
  </cols>
  <sheetData>
    <row r="1" spans="1:3" ht="22.5" customHeight="1">
      <c r="A1" s="19" t="s">
        <v>42</v>
      </c>
      <c r="B1" s="19" t="s">
        <v>191</v>
      </c>
      <c r="C1" s="19" t="s">
        <v>267</v>
      </c>
    </row>
    <row r="2" spans="1:3">
      <c r="A2" t="s">
        <v>45</v>
      </c>
      <c r="B2" t="s">
        <v>201</v>
      </c>
      <c r="C2" s="20">
        <f>IF(SQRT((Coordenadas!$C$2-Coordenadas!$C$152)^2+(Coordenadas!$D$2-Coordenadas!$D$152)^2)&lt;=LEEME!$B$20,EXP(-LEEME!$B$19*SQRT((Coordenadas!$C$2-Coordenadas!$C$152)^2+(Coordenadas!$D$2-Coordenadas!$D$152)^2)),0)</f>
        <v>0.46294543165537128</v>
      </c>
    </row>
    <row r="3" spans="1:3">
      <c r="A3" t="s">
        <v>45</v>
      </c>
      <c r="B3" t="s">
        <v>203</v>
      </c>
      <c r="C3" s="20">
        <f>IF(SQRT((Coordenadas!$C$2-Coordenadas!$C$154)^2+(Coordenadas!$D$2-Coordenadas!$D$154)^2)&lt;=LEEME!$B$20,EXP(-LEEME!$B$19*SQRT((Coordenadas!$C$2-Coordenadas!$C$154)^2+(Coordenadas!$D$2-Coordenadas!$D$154)^2)),0)</f>
        <v>0.43615438635929432</v>
      </c>
    </row>
    <row r="4" spans="1:3">
      <c r="A4" t="s">
        <v>45</v>
      </c>
      <c r="B4" t="s">
        <v>207</v>
      </c>
      <c r="C4" s="20">
        <f>IF(SQRT((Coordenadas!$C$2-Coordenadas!$C$158)^2+(Coordenadas!$D$2-Coordenadas!$D$158)^2)&lt;=LEEME!$B$20,EXP(-LEEME!$B$19*SQRT((Coordenadas!$C$2-Coordenadas!$C$158)^2+(Coordenadas!$D$2-Coordenadas!$D$158)^2)),0)</f>
        <v>0.62262285690938846</v>
      </c>
    </row>
    <row r="5" spans="1:3">
      <c r="A5" t="s">
        <v>45</v>
      </c>
      <c r="B5" t="s">
        <v>209</v>
      </c>
      <c r="C5" s="20">
        <f>IF(SQRT((Coordenadas!$C$2-Coordenadas!$C$160)^2+(Coordenadas!$D$2-Coordenadas!$D$160)^2)&lt;=LEEME!$B$20,EXP(-LEEME!$B$19*SQRT((Coordenadas!$C$2-Coordenadas!$C$160)^2+(Coordenadas!$D$2-Coordenadas!$D$160)^2)),0)</f>
        <v>0.67567308926020053</v>
      </c>
    </row>
    <row r="6" spans="1:3">
      <c r="A6" t="s">
        <v>47</v>
      </c>
      <c r="B6" t="s">
        <v>201</v>
      </c>
      <c r="C6" s="20">
        <f>IF(SQRT((Coordenadas!$C$3-Coordenadas!$C$152)^2+(Coordenadas!$D$3-Coordenadas!$D$152)^2)&lt;=LEEME!$B$20,EXP(-LEEME!$B$19*SQRT((Coordenadas!$C$3-Coordenadas!$C$152)^2+(Coordenadas!$D$3-Coordenadas!$D$152)^2)),0)</f>
        <v>0.57119631404289084</v>
      </c>
    </row>
    <row r="7" spans="1:3">
      <c r="A7" t="s">
        <v>47</v>
      </c>
      <c r="B7" t="s">
        <v>203</v>
      </c>
      <c r="C7" s="20">
        <f>IF(SQRT((Coordenadas!$C$3-Coordenadas!$C$154)^2+(Coordenadas!$D$3-Coordenadas!$D$154)^2)&lt;=LEEME!$B$20,EXP(-LEEME!$B$19*SQRT((Coordenadas!$C$3-Coordenadas!$C$154)^2+(Coordenadas!$D$3-Coordenadas!$D$154)^2)),0)</f>
        <v>0.45358644279102356</v>
      </c>
    </row>
    <row r="8" spans="1:3">
      <c r="A8" t="s">
        <v>47</v>
      </c>
      <c r="B8" t="s">
        <v>207</v>
      </c>
      <c r="C8" s="20">
        <f>IF(SQRT((Coordenadas!$C$3-Coordenadas!$C$158)^2+(Coordenadas!$D$3-Coordenadas!$D$158)^2)&lt;=LEEME!$B$20,EXP(-LEEME!$B$19*SQRT((Coordenadas!$C$3-Coordenadas!$C$158)^2+(Coordenadas!$D$3-Coordenadas!$D$158)^2)),0)</f>
        <v>0.56857402195628381</v>
      </c>
    </row>
    <row r="9" spans="1:3">
      <c r="A9" t="s">
        <v>47</v>
      </c>
      <c r="B9" t="s">
        <v>209</v>
      </c>
      <c r="C9" s="20">
        <f>IF(SQRT((Coordenadas!$C$3-Coordenadas!$C$160)^2+(Coordenadas!$D$3-Coordenadas!$D$160)^2)&lt;=LEEME!$B$20,EXP(-LEEME!$B$19*SQRT((Coordenadas!$C$3-Coordenadas!$C$160)^2+(Coordenadas!$D$3-Coordenadas!$D$160)^2)),0)</f>
        <v>0.5949783864265088</v>
      </c>
    </row>
    <row r="10" spans="1:3">
      <c r="A10" t="s">
        <v>48</v>
      </c>
      <c r="B10" t="s">
        <v>193</v>
      </c>
      <c r="C10" s="20">
        <f>IF(SQRT((Coordenadas!$C$4-Coordenadas!$C$144)^2+(Coordenadas!$D$4-Coordenadas!$D$144)^2)&lt;=LEEME!$B$20,EXP(-LEEME!$B$19*SQRT((Coordenadas!$C$4-Coordenadas!$C$144)^2+(Coordenadas!$D$4-Coordenadas!$D$144)^2)),0)</f>
        <v>0.48153799475923187</v>
      </c>
    </row>
    <row r="11" spans="1:3">
      <c r="A11" t="s">
        <v>48</v>
      </c>
      <c r="B11" t="s">
        <v>203</v>
      </c>
      <c r="C11" s="20">
        <f>IF(SQRT((Coordenadas!$C$4-Coordenadas!$C$154)^2+(Coordenadas!$D$4-Coordenadas!$D$154)^2)&lt;=LEEME!$B$20,EXP(-LEEME!$B$19*SQRT((Coordenadas!$C$4-Coordenadas!$C$154)^2+(Coordenadas!$D$4-Coordenadas!$D$154)^2)),0)</f>
        <v>0.63699154837751493</v>
      </c>
    </row>
    <row r="12" spans="1:3">
      <c r="A12" t="s">
        <v>48</v>
      </c>
      <c r="B12" t="s">
        <v>207</v>
      </c>
      <c r="C12" s="20">
        <f>IF(SQRT((Coordenadas!$C$4-Coordenadas!$C$158)^2+(Coordenadas!$D$4-Coordenadas!$D$158)^2)&lt;=LEEME!$B$20,EXP(-LEEME!$B$19*SQRT((Coordenadas!$C$4-Coordenadas!$C$158)^2+(Coordenadas!$D$4-Coordenadas!$D$158)^2)),0)</f>
        <v>0.37234772271704669</v>
      </c>
    </row>
    <row r="13" spans="1:3">
      <c r="A13" t="s">
        <v>48</v>
      </c>
      <c r="B13" t="s">
        <v>209</v>
      </c>
      <c r="C13" s="20">
        <f>IF(SQRT((Coordenadas!$C$4-Coordenadas!$C$160)^2+(Coordenadas!$D$4-Coordenadas!$D$160)^2)&lt;=LEEME!$B$20,EXP(-LEEME!$B$19*SQRT((Coordenadas!$C$4-Coordenadas!$C$160)^2+(Coordenadas!$D$4-Coordenadas!$D$160)^2)),0)</f>
        <v>0.83161067270015954</v>
      </c>
    </row>
    <row r="14" spans="1:3">
      <c r="A14" t="s">
        <v>48</v>
      </c>
      <c r="B14" t="s">
        <v>212</v>
      </c>
      <c r="C14" s="20">
        <f>IF(SQRT((Coordenadas!$C$4-Coordenadas!$C$163)^2+(Coordenadas!$D$4-Coordenadas!$D$163)^2)&lt;=LEEME!$B$20,EXP(-LEEME!$B$19*SQRT((Coordenadas!$C$4-Coordenadas!$C$163)^2+(Coordenadas!$D$4-Coordenadas!$D$163)^2)),0)</f>
        <v>0.47401074714919333</v>
      </c>
    </row>
    <row r="15" spans="1:3">
      <c r="A15" t="s">
        <v>49</v>
      </c>
      <c r="B15" t="s">
        <v>193</v>
      </c>
      <c r="C15" s="20">
        <f>IF(SQRT((Coordenadas!$C$5-Coordenadas!$C$144)^2+(Coordenadas!$D$5-Coordenadas!$D$144)^2)&lt;=LEEME!$B$20,EXP(-LEEME!$B$19*SQRT((Coordenadas!$C$5-Coordenadas!$C$144)^2+(Coordenadas!$D$5-Coordenadas!$D$144)^2)),0)</f>
        <v>0.38279320078529749</v>
      </c>
    </row>
    <row r="16" spans="1:3">
      <c r="A16" t="s">
        <v>49</v>
      </c>
      <c r="B16" t="s">
        <v>201</v>
      </c>
      <c r="C16" s="20">
        <f>IF(SQRT((Coordenadas!$C$5-Coordenadas!$C$152)^2+(Coordenadas!$D$5-Coordenadas!$D$152)^2)&lt;=LEEME!$B$20,EXP(-LEEME!$B$19*SQRT((Coordenadas!$C$5-Coordenadas!$C$152)^2+(Coordenadas!$D$5-Coordenadas!$D$152)^2)),0)</f>
        <v>0.40624242349648743</v>
      </c>
    </row>
    <row r="17" spans="1:3">
      <c r="A17" t="s">
        <v>49</v>
      </c>
      <c r="B17" t="s">
        <v>203</v>
      </c>
      <c r="C17" s="20">
        <f>IF(SQRT((Coordenadas!$C$5-Coordenadas!$C$154)^2+(Coordenadas!$D$5-Coordenadas!$D$154)^2)&lt;=LEEME!$B$20,EXP(-LEEME!$B$19*SQRT((Coordenadas!$C$5-Coordenadas!$C$154)^2+(Coordenadas!$D$5-Coordenadas!$D$154)^2)),0)</f>
        <v>0.51469930770310002</v>
      </c>
    </row>
    <row r="18" spans="1:3">
      <c r="A18" t="s">
        <v>49</v>
      </c>
      <c r="B18" t="s">
        <v>207</v>
      </c>
      <c r="C18" s="20">
        <f>IF(SQRT((Coordenadas!$C$5-Coordenadas!$C$158)^2+(Coordenadas!$D$5-Coordenadas!$D$158)^2)&lt;=LEEME!$B$20,EXP(-LEEME!$B$19*SQRT((Coordenadas!$C$5-Coordenadas!$C$158)^2+(Coordenadas!$D$5-Coordenadas!$D$158)^2)),0)</f>
        <v>0.50616117157057949</v>
      </c>
    </row>
    <row r="19" spans="1:3">
      <c r="A19" t="s">
        <v>49</v>
      </c>
      <c r="B19" t="s">
        <v>209</v>
      </c>
      <c r="C19" s="20">
        <f>IF(SQRT((Coordenadas!$C$5-Coordenadas!$C$160)^2+(Coordenadas!$D$5-Coordenadas!$D$160)^2)&lt;=LEEME!$B$20,EXP(-LEEME!$B$19*SQRT((Coordenadas!$C$5-Coordenadas!$C$160)^2+(Coordenadas!$D$5-Coordenadas!$D$160)^2)),0)</f>
        <v>0.85641517748361329</v>
      </c>
    </row>
    <row r="20" spans="1:3">
      <c r="A20" t="s">
        <v>49</v>
      </c>
      <c r="B20" t="s">
        <v>212</v>
      </c>
      <c r="C20" s="20">
        <f>IF(SQRT((Coordenadas!$C$5-Coordenadas!$C$163)^2+(Coordenadas!$D$5-Coordenadas!$D$163)^2)&lt;=LEEME!$B$20,EXP(-LEEME!$B$19*SQRT((Coordenadas!$C$5-Coordenadas!$C$163)^2+(Coordenadas!$D$5-Coordenadas!$D$163)^2)),0)</f>
        <v>0.42095422392569032</v>
      </c>
    </row>
    <row r="21" spans="1:3">
      <c r="A21" t="s">
        <v>50</v>
      </c>
      <c r="B21" t="s">
        <v>201</v>
      </c>
      <c r="C21" s="20">
        <f>IF(SQRT((Coordenadas!$C$6-Coordenadas!$C$152)^2+(Coordenadas!$D$6-Coordenadas!$D$152)^2)&lt;=LEEME!$B$20,EXP(-LEEME!$B$19*SQRT((Coordenadas!$C$6-Coordenadas!$C$152)^2+(Coordenadas!$D$6-Coordenadas!$D$152)^2)),0)</f>
        <v>0.45084416026186303</v>
      </c>
    </row>
    <row r="22" spans="1:3">
      <c r="A22" t="s">
        <v>50</v>
      </c>
      <c r="B22" t="s">
        <v>203</v>
      </c>
      <c r="C22" s="20">
        <f>IF(SQRT((Coordenadas!$C$6-Coordenadas!$C$154)^2+(Coordenadas!$D$6-Coordenadas!$D$154)^2)&lt;=LEEME!$B$20,EXP(-LEEME!$B$19*SQRT((Coordenadas!$C$6-Coordenadas!$C$154)^2+(Coordenadas!$D$6-Coordenadas!$D$154)^2)),0)</f>
        <v>0.59332360210483071</v>
      </c>
    </row>
    <row r="23" spans="1:3">
      <c r="A23" t="s">
        <v>50</v>
      </c>
      <c r="B23" t="s">
        <v>207</v>
      </c>
      <c r="C23" s="20">
        <f>IF(SQRT((Coordenadas!$C$6-Coordenadas!$C$158)^2+(Coordenadas!$D$6-Coordenadas!$D$158)^2)&lt;=LEEME!$B$20,EXP(-LEEME!$B$19*SQRT((Coordenadas!$C$6-Coordenadas!$C$158)^2+(Coordenadas!$D$6-Coordenadas!$D$158)^2)),0)</f>
        <v>0.4561560203361828</v>
      </c>
    </row>
    <row r="24" spans="1:3">
      <c r="A24" t="s">
        <v>50</v>
      </c>
      <c r="B24" t="s">
        <v>209</v>
      </c>
      <c r="C24" s="20">
        <f>IF(SQRT((Coordenadas!$C$6-Coordenadas!$C$160)^2+(Coordenadas!$D$6-Coordenadas!$D$160)^2)&lt;=LEEME!$B$20,EXP(-LEEME!$B$19*SQRT((Coordenadas!$C$6-Coordenadas!$C$160)^2+(Coordenadas!$D$6-Coordenadas!$D$160)^2)),0)</f>
        <v>0.79179532341460135</v>
      </c>
    </row>
    <row r="25" spans="1:3">
      <c r="A25" t="s">
        <v>50</v>
      </c>
      <c r="B25" t="s">
        <v>212</v>
      </c>
      <c r="C25" s="20">
        <f>IF(SQRT((Coordenadas!$C$6-Coordenadas!$C$163)^2+(Coordenadas!$D$6-Coordenadas!$D$163)^2)&lt;=LEEME!$B$20,EXP(-LEEME!$B$19*SQRT((Coordenadas!$C$6-Coordenadas!$C$163)^2+(Coordenadas!$D$6-Coordenadas!$D$163)^2)),0)</f>
        <v>0.38031815632024385</v>
      </c>
    </row>
    <row r="26" spans="1:3">
      <c r="A26" t="s">
        <v>51</v>
      </c>
      <c r="B26" t="s">
        <v>201</v>
      </c>
      <c r="C26" s="20">
        <f>IF(SQRT((Coordenadas!$C$7-Coordenadas!$C$152)^2+(Coordenadas!$D$7-Coordenadas!$D$152)^2)&lt;=LEEME!$B$20,EXP(-LEEME!$B$19*SQRT((Coordenadas!$C$7-Coordenadas!$C$152)^2+(Coordenadas!$D$7-Coordenadas!$D$152)^2)),0)</f>
        <v>0.50982696143597739</v>
      </c>
    </row>
    <row r="27" spans="1:3">
      <c r="A27" t="s">
        <v>51</v>
      </c>
      <c r="B27" t="s">
        <v>203</v>
      </c>
      <c r="C27" s="20">
        <f>IF(SQRT((Coordenadas!$C$7-Coordenadas!$C$154)^2+(Coordenadas!$D$7-Coordenadas!$D$154)^2)&lt;=LEEME!$B$20,EXP(-LEEME!$B$19*SQRT((Coordenadas!$C$7-Coordenadas!$C$154)^2+(Coordenadas!$D$7-Coordenadas!$D$154)^2)),0)</f>
        <v>0.36883379969654301</v>
      </c>
    </row>
    <row r="28" spans="1:3">
      <c r="A28" t="s">
        <v>51</v>
      </c>
      <c r="B28" t="s">
        <v>207</v>
      </c>
      <c r="C28" s="20">
        <f>IF(SQRT((Coordenadas!$C$7-Coordenadas!$C$158)^2+(Coordenadas!$D$7-Coordenadas!$D$158)^2)&lt;=LEEME!$B$20,EXP(-LEEME!$B$19*SQRT((Coordenadas!$C$7-Coordenadas!$C$158)^2+(Coordenadas!$D$7-Coordenadas!$D$158)^2)),0)</f>
        <v>0.70729892739573774</v>
      </c>
    </row>
    <row r="29" spans="1:3">
      <c r="A29" t="s">
        <v>51</v>
      </c>
      <c r="B29" t="s">
        <v>209</v>
      </c>
      <c r="C29" s="20">
        <f>IF(SQRT((Coordenadas!$C$7-Coordenadas!$C$160)^2+(Coordenadas!$D$7-Coordenadas!$D$160)^2)&lt;=LEEME!$B$20,EXP(-LEEME!$B$19*SQRT((Coordenadas!$C$7-Coordenadas!$C$160)^2+(Coordenadas!$D$7-Coordenadas!$D$160)^2)),0)</f>
        <v>0.53954495385108336</v>
      </c>
    </row>
    <row r="30" spans="1:3">
      <c r="A30" t="s">
        <v>52</v>
      </c>
      <c r="B30" t="s">
        <v>194</v>
      </c>
      <c r="C30" s="20">
        <f>IF(SQRT((Coordenadas!$C$8-Coordenadas!$C$145)^2+(Coordenadas!$D$8-Coordenadas!$D$145)^2)&lt;=LEEME!$B$20,EXP(-LEEME!$B$19*SQRT((Coordenadas!$C$8-Coordenadas!$C$145)^2+(Coordenadas!$D$8-Coordenadas!$D$145)^2)),0)</f>
        <v>0.37898047938087159</v>
      </c>
    </row>
    <row r="31" spans="1:3">
      <c r="A31" t="s">
        <v>52</v>
      </c>
      <c r="B31" t="s">
        <v>205</v>
      </c>
      <c r="C31" s="20">
        <f>IF(SQRT((Coordenadas!$C$8-Coordenadas!$C$156)^2+(Coordenadas!$D$8-Coordenadas!$D$156)^2)&lt;=LEEME!$B$20,EXP(-LEEME!$B$19*SQRT((Coordenadas!$C$8-Coordenadas!$C$156)^2+(Coordenadas!$D$8-Coordenadas!$D$156)^2)),0)</f>
        <v>0.8436027981082157</v>
      </c>
    </row>
    <row r="32" spans="1:3">
      <c r="A32" t="s">
        <v>54</v>
      </c>
      <c r="B32" t="s">
        <v>194</v>
      </c>
      <c r="C32" s="20">
        <f>IF(SQRT((Coordenadas!$C$9-Coordenadas!$C$145)^2+(Coordenadas!$D$9-Coordenadas!$D$145)^2)&lt;=LEEME!$B$20,EXP(-LEEME!$B$19*SQRT((Coordenadas!$C$9-Coordenadas!$C$145)^2+(Coordenadas!$D$9-Coordenadas!$D$145)^2)),0)</f>
        <v>0.42147183914683795</v>
      </c>
    </row>
    <row r="33" spans="1:3">
      <c r="A33" t="s">
        <v>54</v>
      </c>
      <c r="B33" t="s">
        <v>205</v>
      </c>
      <c r="C33" s="20">
        <f>IF(SQRT((Coordenadas!$C$9-Coordenadas!$C$156)^2+(Coordenadas!$D$9-Coordenadas!$D$156)^2)&lt;=LEEME!$B$20,EXP(-LEEME!$B$19*SQRT((Coordenadas!$C$9-Coordenadas!$C$156)^2+(Coordenadas!$D$9-Coordenadas!$D$156)^2)),0)</f>
        <v>0.39053435710309636</v>
      </c>
    </row>
    <row r="34" spans="1:3">
      <c r="A34" t="s">
        <v>55</v>
      </c>
      <c r="B34" t="s">
        <v>194</v>
      </c>
      <c r="C34" s="20">
        <f>IF(SQRT((Coordenadas!$C$10-Coordenadas!$C$145)^2+(Coordenadas!$D$10-Coordenadas!$D$145)^2)&lt;=LEEME!$B$20,EXP(-LEEME!$B$19*SQRT((Coordenadas!$C$10-Coordenadas!$C$145)^2+(Coordenadas!$D$10-Coordenadas!$D$145)^2)),0)</f>
        <v>0.51012989481119508</v>
      </c>
    </row>
    <row r="35" spans="1:3">
      <c r="A35" t="s">
        <v>55</v>
      </c>
      <c r="B35" t="s">
        <v>197</v>
      </c>
      <c r="C35" s="20">
        <f>IF(SQRT((Coordenadas!$C$10-Coordenadas!$C$148)^2+(Coordenadas!$D$10-Coordenadas!$D$148)^2)&lt;=LEEME!$B$20,EXP(-LEEME!$B$19*SQRT((Coordenadas!$C$10-Coordenadas!$C$148)^2+(Coordenadas!$D$10-Coordenadas!$D$148)^2)),0)</f>
        <v>0.55203820060745379</v>
      </c>
    </row>
    <row r="36" spans="1:3">
      <c r="A36" t="s">
        <v>56</v>
      </c>
      <c r="B36" t="s">
        <v>194</v>
      </c>
      <c r="C36" s="20">
        <f>IF(SQRT((Coordenadas!$C$11-Coordenadas!$C$145)^2+(Coordenadas!$D$11-Coordenadas!$D$145)^2)&lt;=LEEME!$B$20,EXP(-LEEME!$B$19*SQRT((Coordenadas!$C$11-Coordenadas!$C$145)^2+(Coordenadas!$D$11-Coordenadas!$D$145)^2)),0)</f>
        <v>0.53102326504357256</v>
      </c>
    </row>
    <row r="37" spans="1:3">
      <c r="A37" t="s">
        <v>56</v>
      </c>
      <c r="B37" t="s">
        <v>205</v>
      </c>
      <c r="C37" s="20">
        <f>IF(SQRT((Coordenadas!$C$11-Coordenadas!$C$156)^2+(Coordenadas!$D$11-Coordenadas!$D$156)^2)&lt;=LEEME!$B$20,EXP(-LEEME!$B$19*SQRT((Coordenadas!$C$11-Coordenadas!$C$156)^2+(Coordenadas!$D$11-Coordenadas!$D$156)^2)),0)</f>
        <v>0.82777774734071485</v>
      </c>
    </row>
    <row r="38" spans="1:3">
      <c r="A38" t="s">
        <v>57</v>
      </c>
      <c r="B38" t="s">
        <v>194</v>
      </c>
      <c r="C38" s="20">
        <f>IF(SQRT((Coordenadas!$C$12-Coordenadas!$C$145)^2+(Coordenadas!$D$12-Coordenadas!$D$145)^2)&lt;=LEEME!$B$20,EXP(-LEEME!$B$19*SQRT((Coordenadas!$C$12-Coordenadas!$C$145)^2+(Coordenadas!$D$12-Coordenadas!$D$145)^2)),0)</f>
        <v>0.76924544015574259</v>
      </c>
    </row>
    <row r="39" spans="1:3">
      <c r="A39" t="s">
        <v>57</v>
      </c>
      <c r="B39" t="s">
        <v>205</v>
      </c>
      <c r="C39" s="20">
        <f>IF(SQRT((Coordenadas!$C$12-Coordenadas!$C$156)^2+(Coordenadas!$D$12-Coordenadas!$D$156)^2)&lt;=LEEME!$B$20,EXP(-LEEME!$B$19*SQRT((Coordenadas!$C$12-Coordenadas!$C$156)^2+(Coordenadas!$D$12-Coordenadas!$D$156)^2)),0)</f>
        <v>0.56412878758292706</v>
      </c>
    </row>
    <row r="40" spans="1:3">
      <c r="A40" t="s">
        <v>58</v>
      </c>
      <c r="B40" t="s">
        <v>194</v>
      </c>
      <c r="C40" s="20">
        <f>IF(SQRT((Coordenadas!$C$13-Coordenadas!$C$145)^2+(Coordenadas!$D$13-Coordenadas!$D$145)^2)&lt;=LEEME!$B$20,EXP(-LEEME!$B$19*SQRT((Coordenadas!$C$13-Coordenadas!$C$145)^2+(Coordenadas!$D$13-Coordenadas!$D$145)^2)),0)</f>
        <v>0.48081444339355039</v>
      </c>
    </row>
    <row r="41" spans="1:3">
      <c r="A41" t="s">
        <v>58</v>
      </c>
      <c r="B41" t="s">
        <v>197</v>
      </c>
      <c r="C41" s="20">
        <f>IF(SQRT((Coordenadas!$C$13-Coordenadas!$C$148)^2+(Coordenadas!$D$13-Coordenadas!$D$148)^2)&lt;=LEEME!$B$20,EXP(-LEEME!$B$19*SQRT((Coordenadas!$C$13-Coordenadas!$C$148)^2+(Coordenadas!$D$13-Coordenadas!$D$148)^2)),0)</f>
        <v>0.37526801966481033</v>
      </c>
    </row>
    <row r="42" spans="1:3">
      <c r="A42" t="s">
        <v>59</v>
      </c>
      <c r="B42" t="s">
        <v>194</v>
      </c>
      <c r="C42" s="20">
        <f>IF(SQRT((Coordenadas!$C$14-Coordenadas!$C$145)^2+(Coordenadas!$D$14-Coordenadas!$D$145)^2)&lt;=LEEME!$B$20,EXP(-LEEME!$B$19*SQRT((Coordenadas!$C$14-Coordenadas!$C$145)^2+(Coordenadas!$D$14-Coordenadas!$D$145)^2)),0)</f>
        <v>0.66419732247451657</v>
      </c>
    </row>
    <row r="43" spans="1:3">
      <c r="A43" t="s">
        <v>59</v>
      </c>
      <c r="B43" t="s">
        <v>197</v>
      </c>
      <c r="C43" s="20">
        <f>IF(SQRT((Coordenadas!$C$14-Coordenadas!$C$148)^2+(Coordenadas!$D$14-Coordenadas!$D$148)^2)&lt;=LEEME!$B$20,EXP(-LEEME!$B$19*SQRT((Coordenadas!$C$14-Coordenadas!$C$148)^2+(Coordenadas!$D$14-Coordenadas!$D$148)^2)),0)</f>
        <v>0.45872214868590788</v>
      </c>
    </row>
    <row r="44" spans="1:3">
      <c r="A44" t="s">
        <v>60</v>
      </c>
      <c r="B44" t="s">
        <v>194</v>
      </c>
      <c r="C44" s="20">
        <f>IF(SQRT((Coordenadas!$C$15-Coordenadas!$C$145)^2+(Coordenadas!$D$15-Coordenadas!$D$145)^2)&lt;=LEEME!$B$20,EXP(-LEEME!$B$19*SQRT((Coordenadas!$C$15-Coordenadas!$C$145)^2+(Coordenadas!$D$15-Coordenadas!$D$145)^2)),0)</f>
        <v>0.69923326749739712</v>
      </c>
    </row>
    <row r="45" spans="1:3">
      <c r="A45" t="s">
        <v>60</v>
      </c>
      <c r="B45" t="s">
        <v>205</v>
      </c>
      <c r="C45" s="20">
        <f>IF(SQRT((Coordenadas!$C$15-Coordenadas!$C$156)^2+(Coordenadas!$D$15-Coordenadas!$D$156)^2)&lt;=LEEME!$B$20,EXP(-LEEME!$B$19*SQRT((Coordenadas!$C$15-Coordenadas!$C$156)^2+(Coordenadas!$D$15-Coordenadas!$D$156)^2)),0)</f>
        <v>0.44257823623028658</v>
      </c>
    </row>
    <row r="46" spans="1:3">
      <c r="A46" t="s">
        <v>61</v>
      </c>
      <c r="B46" t="s">
        <v>194</v>
      </c>
      <c r="C46" s="20">
        <f>IF(SQRT((Coordenadas!$C$16-Coordenadas!$C$145)^2+(Coordenadas!$D$16-Coordenadas!$D$145)^2)&lt;=LEEME!$B$20,EXP(-LEEME!$B$19*SQRT((Coordenadas!$C$16-Coordenadas!$C$145)^2+(Coordenadas!$D$16-Coordenadas!$D$145)^2)),0)</f>
        <v>0.53431086111775039</v>
      </c>
    </row>
    <row r="47" spans="1:3">
      <c r="A47" t="s">
        <v>61</v>
      </c>
      <c r="B47" t="s">
        <v>205</v>
      </c>
      <c r="C47" s="20">
        <f>IF(SQRT((Coordenadas!$C$16-Coordenadas!$C$156)^2+(Coordenadas!$D$16-Coordenadas!$D$156)^2)&lt;=LEEME!$B$20,EXP(-LEEME!$B$19*SQRT((Coordenadas!$C$16-Coordenadas!$C$156)^2+(Coordenadas!$D$16-Coordenadas!$D$156)^2)),0)</f>
        <v>0.6192350960454599</v>
      </c>
    </row>
    <row r="48" spans="1:3">
      <c r="A48" t="s">
        <v>62</v>
      </c>
      <c r="B48" t="s">
        <v>197</v>
      </c>
      <c r="C48" s="20">
        <f>IF(SQRT((Coordenadas!$C$17-Coordenadas!$C$148)^2+(Coordenadas!$D$17-Coordenadas!$D$148)^2)&lt;=LEEME!$B$20,EXP(-LEEME!$B$19*SQRT((Coordenadas!$C$17-Coordenadas!$C$148)^2+(Coordenadas!$D$17-Coordenadas!$D$148)^2)),0)</f>
        <v>0.75254282060728894</v>
      </c>
    </row>
    <row r="49" spans="1:3">
      <c r="A49" t="s">
        <v>62</v>
      </c>
      <c r="B49" t="s">
        <v>207</v>
      </c>
      <c r="C49" s="20">
        <f>IF(SQRT((Coordenadas!$C$17-Coordenadas!$C$158)^2+(Coordenadas!$D$17-Coordenadas!$D$158)^2)&lt;=LEEME!$B$20,EXP(-LEEME!$B$19*SQRT((Coordenadas!$C$17-Coordenadas!$C$158)^2+(Coordenadas!$D$17-Coordenadas!$D$158)^2)),0)</f>
        <v>0.61057395439867257</v>
      </c>
    </row>
    <row r="50" spans="1:3">
      <c r="A50" t="s">
        <v>63</v>
      </c>
      <c r="B50" t="s">
        <v>197</v>
      </c>
      <c r="C50" s="20">
        <f>IF(SQRT((Coordenadas!$C$18-Coordenadas!$C$148)^2+(Coordenadas!$D$18-Coordenadas!$D$148)^2)&lt;=LEEME!$B$20,EXP(-LEEME!$B$19*SQRT((Coordenadas!$C$18-Coordenadas!$C$148)^2+(Coordenadas!$D$18-Coordenadas!$D$148)^2)),0)</f>
        <v>0.52544696235221411</v>
      </c>
    </row>
    <row r="51" spans="1:3">
      <c r="A51" t="s">
        <v>63</v>
      </c>
      <c r="B51" t="s">
        <v>207</v>
      </c>
      <c r="C51" s="20">
        <f>IF(SQRT((Coordenadas!$C$18-Coordenadas!$C$158)^2+(Coordenadas!$D$18-Coordenadas!$D$158)^2)&lt;=LEEME!$B$20,EXP(-LEEME!$B$19*SQRT((Coordenadas!$C$18-Coordenadas!$C$158)^2+(Coordenadas!$D$18-Coordenadas!$D$158)^2)),0)</f>
        <v>0.5662584562491163</v>
      </c>
    </row>
    <row r="52" spans="1:3">
      <c r="A52" t="s">
        <v>64</v>
      </c>
      <c r="B52" t="s">
        <v>197</v>
      </c>
      <c r="C52" s="20">
        <f>IF(SQRT((Coordenadas!$C$19-Coordenadas!$C$148)^2+(Coordenadas!$D$19-Coordenadas!$D$148)^2)&lt;=LEEME!$B$20,EXP(-LEEME!$B$19*SQRT((Coordenadas!$C$19-Coordenadas!$C$148)^2+(Coordenadas!$D$19-Coordenadas!$D$148)^2)),0)</f>
        <v>0.46858384131488406</v>
      </c>
    </row>
    <row r="53" spans="1:3">
      <c r="A53" t="s">
        <v>64</v>
      </c>
      <c r="B53" t="s">
        <v>207</v>
      </c>
      <c r="C53" s="20">
        <f>IF(SQRT((Coordenadas!$C$19-Coordenadas!$C$158)^2+(Coordenadas!$D$19-Coordenadas!$D$158)^2)&lt;=LEEME!$B$20,EXP(-LEEME!$B$19*SQRT((Coordenadas!$C$19-Coordenadas!$C$158)^2+(Coordenadas!$D$19-Coordenadas!$D$158)^2)),0)</f>
        <v>0.68841522798455246</v>
      </c>
    </row>
    <row r="54" spans="1:3">
      <c r="A54" t="s">
        <v>65</v>
      </c>
      <c r="B54" t="s">
        <v>201</v>
      </c>
      <c r="C54" s="20">
        <f>IF(SQRT((Coordenadas!$C$20-Coordenadas!$C$152)^2+(Coordenadas!$D$20-Coordenadas!$D$152)^2)&lt;=LEEME!$B$20,EXP(-LEEME!$B$19*SQRT((Coordenadas!$C$20-Coordenadas!$C$152)^2+(Coordenadas!$D$20-Coordenadas!$D$152)^2)),0)</f>
        <v>0.48240470575046324</v>
      </c>
    </row>
    <row r="55" spans="1:3">
      <c r="A55" t="s">
        <v>65</v>
      </c>
      <c r="B55" t="s">
        <v>207</v>
      </c>
      <c r="C55" s="20">
        <f>IF(SQRT((Coordenadas!$C$20-Coordenadas!$C$158)^2+(Coordenadas!$D$20-Coordenadas!$D$158)^2)&lt;=LEEME!$B$20,EXP(-LEEME!$B$19*SQRT((Coordenadas!$C$20-Coordenadas!$C$158)^2+(Coordenadas!$D$20-Coordenadas!$D$158)^2)),0)</f>
        <v>0.57735670184625321</v>
      </c>
    </row>
    <row r="56" spans="1:3">
      <c r="A56" t="s">
        <v>66</v>
      </c>
      <c r="B56" t="s">
        <v>200</v>
      </c>
      <c r="C56" s="20">
        <f>IF(SQRT((Coordenadas!$C$21-Coordenadas!$C$151)^2+(Coordenadas!$D$21-Coordenadas!$D$151)^2)&lt;=LEEME!$B$20,EXP(-LEEME!$B$19*SQRT((Coordenadas!$C$21-Coordenadas!$C$151)^2+(Coordenadas!$D$21-Coordenadas!$D$151)^2)),0)</f>
        <v>0.77116283405456276</v>
      </c>
    </row>
    <row r="57" spans="1:3">
      <c r="A57" t="s">
        <v>67</v>
      </c>
      <c r="B57" t="s">
        <v>200</v>
      </c>
      <c r="C57" s="20">
        <f>IF(SQRT((Coordenadas!$C$22-Coordenadas!$C$151)^2+(Coordenadas!$D$22-Coordenadas!$D$151)^2)&lt;=LEEME!$B$20,EXP(-LEEME!$B$19*SQRT((Coordenadas!$C$22-Coordenadas!$C$151)^2+(Coordenadas!$D$22-Coordenadas!$D$151)^2)),0)</f>
        <v>0.96170142224395549</v>
      </c>
    </row>
    <row r="58" spans="1:3">
      <c r="A58" t="s">
        <v>68</v>
      </c>
      <c r="B58" t="s">
        <v>200</v>
      </c>
      <c r="C58" s="20">
        <f>IF(SQRT((Coordenadas!$C$23-Coordenadas!$C$151)^2+(Coordenadas!$D$23-Coordenadas!$D$151)^2)&lt;=LEEME!$B$20,EXP(-LEEME!$B$19*SQRT((Coordenadas!$C$23-Coordenadas!$C$151)^2+(Coordenadas!$D$23-Coordenadas!$D$151)^2)),0)</f>
        <v>0.66956741631868844</v>
      </c>
    </row>
    <row r="59" spans="1:3">
      <c r="A59" t="s">
        <v>69</v>
      </c>
      <c r="B59" t="s">
        <v>200</v>
      </c>
      <c r="C59" s="20">
        <f>IF(SQRT((Coordenadas!$C$24-Coordenadas!$C$151)^2+(Coordenadas!$D$24-Coordenadas!$D$151)^2)&lt;=LEEME!$B$20,EXP(-LEEME!$B$19*SQRT((Coordenadas!$C$24-Coordenadas!$C$151)^2+(Coordenadas!$D$24-Coordenadas!$D$151)^2)),0)</f>
        <v>0.5054191453342185</v>
      </c>
    </row>
    <row r="60" spans="1:3">
      <c r="A60" t="s">
        <v>71</v>
      </c>
      <c r="B60" t="s">
        <v>197</v>
      </c>
      <c r="C60" s="20">
        <f>IF(SQRT((Coordenadas!$C$26-Coordenadas!$C$148)^2+(Coordenadas!$D$26-Coordenadas!$D$148)^2)&lt;=LEEME!$B$20,EXP(-LEEME!$B$19*SQRT((Coordenadas!$C$26-Coordenadas!$C$148)^2+(Coordenadas!$D$26-Coordenadas!$D$148)^2)),0)</f>
        <v>0.41234727523680625</v>
      </c>
    </row>
    <row r="61" spans="1:3">
      <c r="A61" t="s">
        <v>71</v>
      </c>
      <c r="B61" t="s">
        <v>207</v>
      </c>
      <c r="C61" s="20">
        <f>IF(SQRT((Coordenadas!$C$26-Coordenadas!$C$158)^2+(Coordenadas!$D$26-Coordenadas!$D$158)^2)&lt;=LEEME!$B$20,EXP(-LEEME!$B$19*SQRT((Coordenadas!$C$26-Coordenadas!$C$158)^2+(Coordenadas!$D$26-Coordenadas!$D$158)^2)),0)</f>
        <v>0.41812862893564406</v>
      </c>
    </row>
    <row r="62" spans="1:3">
      <c r="A62" t="s">
        <v>72</v>
      </c>
      <c r="B62" t="s">
        <v>201</v>
      </c>
      <c r="C62" s="20">
        <f>IF(SQRT((Coordenadas!$C$27-Coordenadas!$C$152)^2+(Coordenadas!$D$27-Coordenadas!$D$152)^2)&lt;=LEEME!$B$20,EXP(-LEEME!$B$19*SQRT((Coordenadas!$C$27-Coordenadas!$C$152)^2+(Coordenadas!$D$27-Coordenadas!$D$152)^2)),0)</f>
        <v>0.4227565625333326</v>
      </c>
    </row>
    <row r="63" spans="1:3">
      <c r="A63" t="s">
        <v>72</v>
      </c>
      <c r="B63" t="s">
        <v>203</v>
      </c>
      <c r="C63" s="20">
        <f>IF(SQRT((Coordenadas!$C$27-Coordenadas!$C$154)^2+(Coordenadas!$D$27-Coordenadas!$D$154)^2)&lt;=LEEME!$B$20,EXP(-LEEME!$B$19*SQRT((Coordenadas!$C$27-Coordenadas!$C$154)^2+(Coordenadas!$D$27-Coordenadas!$D$154)^2)),0)</f>
        <v>0.80579313252462947</v>
      </c>
    </row>
    <row r="64" spans="1:3">
      <c r="A64" t="s">
        <v>72</v>
      </c>
      <c r="B64" t="s">
        <v>208</v>
      </c>
      <c r="C64" s="20">
        <f>IF(SQRT((Coordenadas!$C$27-Coordenadas!$C$159)^2+(Coordenadas!$D$27-Coordenadas!$D$159)^2)&lt;=LEEME!$B$20,EXP(-LEEME!$B$19*SQRT((Coordenadas!$C$27-Coordenadas!$C$159)^2+(Coordenadas!$D$27-Coordenadas!$D$159)^2)),0)</f>
        <v>0.56003114397127718</v>
      </c>
    </row>
    <row r="65" spans="1:3">
      <c r="A65" t="s">
        <v>72</v>
      </c>
      <c r="B65" t="s">
        <v>209</v>
      </c>
      <c r="C65" s="20">
        <f>IF(SQRT((Coordenadas!$C$27-Coordenadas!$C$160)^2+(Coordenadas!$D$27-Coordenadas!$D$160)^2)&lt;=LEEME!$B$20,EXP(-LEEME!$B$19*SQRT((Coordenadas!$C$27-Coordenadas!$C$160)^2+(Coordenadas!$D$27-Coordenadas!$D$160)^2)),0)</f>
        <v>0.47235868011821364</v>
      </c>
    </row>
    <row r="66" spans="1:3">
      <c r="A66" t="s">
        <v>73</v>
      </c>
      <c r="B66" t="s">
        <v>201</v>
      </c>
      <c r="C66" s="20">
        <f>IF(SQRT((Coordenadas!$C$28-Coordenadas!$C$152)^2+(Coordenadas!$D$28-Coordenadas!$D$152)^2)&lt;=LEEME!$B$20,EXP(-LEEME!$B$19*SQRT((Coordenadas!$C$28-Coordenadas!$C$152)^2+(Coordenadas!$D$28-Coordenadas!$D$152)^2)),0)</f>
        <v>0.53388506527826041</v>
      </c>
    </row>
    <row r="67" spans="1:3">
      <c r="A67" t="s">
        <v>73</v>
      </c>
      <c r="B67" t="s">
        <v>203</v>
      </c>
      <c r="C67" s="20">
        <f>IF(SQRT((Coordenadas!$C$28-Coordenadas!$C$154)^2+(Coordenadas!$D$28-Coordenadas!$D$154)^2)&lt;=LEEME!$B$20,EXP(-LEEME!$B$19*SQRT((Coordenadas!$C$28-Coordenadas!$C$154)^2+(Coordenadas!$D$28-Coordenadas!$D$154)^2)),0)</f>
        <v>0.67453471125812214</v>
      </c>
    </row>
    <row r="68" spans="1:3">
      <c r="A68" t="s">
        <v>73</v>
      </c>
      <c r="B68" t="s">
        <v>208</v>
      </c>
      <c r="C68" s="20">
        <f>IF(SQRT((Coordenadas!$C$28-Coordenadas!$C$159)^2+(Coordenadas!$D$28-Coordenadas!$D$159)^2)&lt;=LEEME!$B$20,EXP(-LEEME!$B$19*SQRT((Coordenadas!$C$28-Coordenadas!$C$159)^2+(Coordenadas!$D$28-Coordenadas!$D$159)^2)),0)</f>
        <v>0.47921209615095317</v>
      </c>
    </row>
    <row r="69" spans="1:3">
      <c r="A69" t="s">
        <v>73</v>
      </c>
      <c r="B69" t="s">
        <v>209</v>
      </c>
      <c r="C69" s="20">
        <f>IF(SQRT((Coordenadas!$C$28-Coordenadas!$C$160)^2+(Coordenadas!$D$28-Coordenadas!$D$160)^2)&lt;=LEEME!$B$20,EXP(-LEEME!$B$19*SQRT((Coordenadas!$C$28-Coordenadas!$C$160)^2+(Coordenadas!$D$28-Coordenadas!$D$160)^2)),0)</f>
        <v>0.47482990657263385</v>
      </c>
    </row>
    <row r="70" spans="1:3">
      <c r="A70" t="s">
        <v>74</v>
      </c>
      <c r="B70" t="s">
        <v>201</v>
      </c>
      <c r="C70" s="20">
        <f>IF(SQRT((Coordenadas!$C$29-Coordenadas!$C$152)^2+(Coordenadas!$D$29-Coordenadas!$D$152)^2)&lt;=LEEME!$B$20,EXP(-LEEME!$B$19*SQRT((Coordenadas!$C$29-Coordenadas!$C$152)^2+(Coordenadas!$D$29-Coordenadas!$D$152)^2)),0)</f>
        <v>0.78560703248825925</v>
      </c>
    </row>
    <row r="71" spans="1:3">
      <c r="A71" t="s">
        <v>74</v>
      </c>
      <c r="B71" t="s">
        <v>203</v>
      </c>
      <c r="C71" s="20">
        <f>IF(SQRT((Coordenadas!$C$29-Coordenadas!$C$154)^2+(Coordenadas!$D$29-Coordenadas!$D$154)^2)&lt;=LEEME!$B$20,EXP(-LEEME!$B$19*SQRT((Coordenadas!$C$29-Coordenadas!$C$154)^2+(Coordenadas!$D$29-Coordenadas!$D$154)^2)),0)</f>
        <v>0.47208333102778338</v>
      </c>
    </row>
    <row r="72" spans="1:3">
      <c r="A72" t="s">
        <v>74</v>
      </c>
      <c r="B72" t="s">
        <v>207</v>
      </c>
      <c r="C72" s="20">
        <f>IF(SQRT((Coordenadas!$C$29-Coordenadas!$C$158)^2+(Coordenadas!$D$29-Coordenadas!$D$158)^2)&lt;=LEEME!$B$20,EXP(-LEEME!$B$19*SQRT((Coordenadas!$C$29-Coordenadas!$C$158)^2+(Coordenadas!$D$29-Coordenadas!$D$158)^2)),0)</f>
        <v>0.38765922194600894</v>
      </c>
    </row>
    <row r="73" spans="1:3">
      <c r="A73" t="s">
        <v>74</v>
      </c>
      <c r="B73" t="s">
        <v>209</v>
      </c>
      <c r="C73" s="20">
        <f>IF(SQRT((Coordenadas!$C$29-Coordenadas!$C$160)^2+(Coordenadas!$D$29-Coordenadas!$D$160)^2)&lt;=LEEME!$B$20,EXP(-LEEME!$B$19*SQRT((Coordenadas!$C$29-Coordenadas!$C$160)^2+(Coordenadas!$D$29-Coordenadas!$D$160)^2)),0)</f>
        <v>0.4401096488659883</v>
      </c>
    </row>
    <row r="74" spans="1:3">
      <c r="A74" t="s">
        <v>75</v>
      </c>
      <c r="B74" t="s">
        <v>201</v>
      </c>
      <c r="C74" s="20">
        <f>IF(SQRT((Coordenadas!$C$30-Coordenadas!$C$152)^2+(Coordenadas!$D$30-Coordenadas!$D$152)^2)&lt;=LEEME!$B$20,EXP(-LEEME!$B$19*SQRT((Coordenadas!$C$30-Coordenadas!$C$152)^2+(Coordenadas!$D$30-Coordenadas!$D$152)^2)),0)</f>
        <v>0.62840545405079906</v>
      </c>
    </row>
    <row r="75" spans="1:3">
      <c r="A75" t="s">
        <v>75</v>
      </c>
      <c r="B75" t="s">
        <v>203</v>
      </c>
      <c r="C75" s="20">
        <f>IF(SQRT((Coordenadas!$C$30-Coordenadas!$C$154)^2+(Coordenadas!$D$30-Coordenadas!$D$154)^2)&lt;=LEEME!$B$20,EXP(-LEEME!$B$19*SQRT((Coordenadas!$C$30-Coordenadas!$C$154)^2+(Coordenadas!$D$30-Coordenadas!$D$154)^2)),0)</f>
        <v>0.58661566730680337</v>
      </c>
    </row>
    <row r="76" spans="1:3">
      <c r="A76" t="s">
        <v>75</v>
      </c>
      <c r="B76" t="s">
        <v>208</v>
      </c>
      <c r="C76" s="20">
        <f>IF(SQRT((Coordenadas!$C$30-Coordenadas!$C$159)^2+(Coordenadas!$D$30-Coordenadas!$D$159)^2)&lt;=LEEME!$B$20,EXP(-LEEME!$B$19*SQRT((Coordenadas!$C$30-Coordenadas!$C$159)^2+(Coordenadas!$D$30-Coordenadas!$D$159)^2)),0)</f>
        <v>0.41316354969666136</v>
      </c>
    </row>
    <row r="77" spans="1:3">
      <c r="A77" t="s">
        <v>75</v>
      </c>
      <c r="B77" t="s">
        <v>209</v>
      </c>
      <c r="C77" s="20">
        <f>IF(SQRT((Coordenadas!$C$30-Coordenadas!$C$160)^2+(Coordenadas!$D$30-Coordenadas!$D$160)^2)&lt;=LEEME!$B$20,EXP(-LEEME!$B$19*SQRT((Coordenadas!$C$30-Coordenadas!$C$160)^2+(Coordenadas!$D$30-Coordenadas!$D$160)^2)),0)</f>
        <v>0.47098566561689664</v>
      </c>
    </row>
    <row r="78" spans="1:3">
      <c r="A78" t="s">
        <v>76</v>
      </c>
      <c r="B78" t="s">
        <v>201</v>
      </c>
      <c r="C78" s="20">
        <f>IF(SQRT((Coordenadas!$C$31-Coordenadas!$C$152)^2+(Coordenadas!$D$31-Coordenadas!$D$152)^2)&lt;=LEEME!$B$20,EXP(-LEEME!$B$19*SQRT((Coordenadas!$C$31-Coordenadas!$C$152)^2+(Coordenadas!$D$31-Coordenadas!$D$152)^2)),0)</f>
        <v>0.91960111549562451</v>
      </c>
    </row>
    <row r="79" spans="1:3">
      <c r="A79" t="s">
        <v>76</v>
      </c>
      <c r="B79" t="s">
        <v>207</v>
      </c>
      <c r="C79" s="20">
        <f>IF(SQRT((Coordenadas!$C$31-Coordenadas!$C$158)^2+(Coordenadas!$D$31-Coordenadas!$D$158)^2)&lt;=LEEME!$B$20,EXP(-LEEME!$B$19*SQRT((Coordenadas!$C$31-Coordenadas!$C$158)^2+(Coordenadas!$D$31-Coordenadas!$D$158)^2)),0)</f>
        <v>0.40787282108771183</v>
      </c>
    </row>
    <row r="80" spans="1:3">
      <c r="A80" t="s">
        <v>77</v>
      </c>
      <c r="B80" t="s">
        <v>200</v>
      </c>
      <c r="C80" s="20">
        <f>IF(SQRT((Coordenadas!$C$32-Coordenadas!$C$151)^2+(Coordenadas!$D$32-Coordenadas!$D$151)^2)&lt;=LEEME!$B$20,EXP(-LEEME!$B$19*SQRT((Coordenadas!$C$32-Coordenadas!$C$151)^2+(Coordenadas!$D$32-Coordenadas!$D$151)^2)),0)</f>
        <v>0.48470068526489007</v>
      </c>
    </row>
    <row r="81" spans="1:3">
      <c r="A81" t="s">
        <v>77</v>
      </c>
      <c r="B81" t="s">
        <v>201</v>
      </c>
      <c r="C81" s="20">
        <f>IF(SQRT((Coordenadas!$C$32-Coordenadas!$C$152)^2+(Coordenadas!$D$32-Coordenadas!$D$152)^2)&lt;=LEEME!$B$20,EXP(-LEEME!$B$19*SQRT((Coordenadas!$C$32-Coordenadas!$C$152)^2+(Coordenadas!$D$32-Coordenadas!$D$152)^2)),0)</f>
        <v>0.5540338885245838</v>
      </c>
    </row>
    <row r="82" spans="1:3">
      <c r="A82" t="s">
        <v>78</v>
      </c>
      <c r="B82" t="s">
        <v>201</v>
      </c>
      <c r="C82" s="20">
        <f>IF(SQRT((Coordenadas!$C$33-Coordenadas!$C$152)^2+(Coordenadas!$D$33-Coordenadas!$D$152)^2)&lt;=LEEME!$B$20,EXP(-LEEME!$B$19*SQRT((Coordenadas!$C$33-Coordenadas!$C$152)^2+(Coordenadas!$D$33-Coordenadas!$D$152)^2)),0)</f>
        <v>0.88240869257481247</v>
      </c>
    </row>
    <row r="83" spans="1:3">
      <c r="A83" t="s">
        <v>79</v>
      </c>
      <c r="B83" t="s">
        <v>196</v>
      </c>
      <c r="C83" s="20">
        <f>IF(SQRT((Coordenadas!$C$34-Coordenadas!$C$147)^2+(Coordenadas!$D$34-Coordenadas!$D$147)^2)&lt;=LEEME!$B$20,EXP(-LEEME!$B$19*SQRT((Coordenadas!$C$34-Coordenadas!$C$147)^2+(Coordenadas!$D$34-Coordenadas!$D$147)^2)),0)</f>
        <v>0.64696729956050392</v>
      </c>
    </row>
    <row r="84" spans="1:3">
      <c r="A84" t="s">
        <v>79</v>
      </c>
      <c r="B84" t="s">
        <v>210</v>
      </c>
      <c r="C84" s="20">
        <f>IF(SQRT((Coordenadas!$C$34-Coordenadas!$C$161)^2+(Coordenadas!$D$34-Coordenadas!$D$161)^2)&lt;=LEEME!$B$20,EXP(-LEEME!$B$19*SQRT((Coordenadas!$C$34-Coordenadas!$C$161)^2+(Coordenadas!$D$34-Coordenadas!$D$161)^2)),0)</f>
        <v>0.8547694049239849</v>
      </c>
    </row>
    <row r="85" spans="1:3">
      <c r="A85" t="s">
        <v>81</v>
      </c>
      <c r="B85" t="s">
        <v>196</v>
      </c>
      <c r="C85" s="20">
        <f>IF(SQRT((Coordenadas!$C$35-Coordenadas!$C$147)^2+(Coordenadas!$D$35-Coordenadas!$D$147)^2)&lt;=LEEME!$B$20,EXP(-LEEME!$B$19*SQRT((Coordenadas!$C$35-Coordenadas!$C$147)^2+(Coordenadas!$D$35-Coordenadas!$D$147)^2)),0)</f>
        <v>0.55099556282687723</v>
      </c>
    </row>
    <row r="86" spans="1:3">
      <c r="A86" t="s">
        <v>81</v>
      </c>
      <c r="B86" t="s">
        <v>199</v>
      </c>
      <c r="C86" s="20">
        <f>IF(SQRT((Coordenadas!$C$35-Coordenadas!$C$150)^2+(Coordenadas!$D$35-Coordenadas!$D$150)^2)&lt;=LEEME!$B$20,EXP(-LEEME!$B$19*SQRT((Coordenadas!$C$35-Coordenadas!$C$150)^2+(Coordenadas!$D$35-Coordenadas!$D$150)^2)),0)</f>
        <v>0.37065941307852163</v>
      </c>
    </row>
    <row r="87" spans="1:3">
      <c r="A87" t="s">
        <v>81</v>
      </c>
      <c r="B87" t="s">
        <v>210</v>
      </c>
      <c r="C87" s="20">
        <f>IF(SQRT((Coordenadas!$C$35-Coordenadas!$C$161)^2+(Coordenadas!$D$35-Coordenadas!$D$161)^2)&lt;=LEEME!$B$20,EXP(-LEEME!$B$19*SQRT((Coordenadas!$C$35-Coordenadas!$C$161)^2+(Coordenadas!$D$35-Coordenadas!$D$161)^2)),0)</f>
        <v>0.90949267966305736</v>
      </c>
    </row>
    <row r="88" spans="1:3">
      <c r="A88" t="s">
        <v>82</v>
      </c>
      <c r="B88" t="s">
        <v>196</v>
      </c>
      <c r="C88" s="20">
        <f>IF(SQRT((Coordenadas!$C$36-Coordenadas!$C$147)^2+(Coordenadas!$D$36-Coordenadas!$D$147)^2)&lt;=LEEME!$B$20,EXP(-LEEME!$B$19*SQRT((Coordenadas!$C$36-Coordenadas!$C$147)^2+(Coordenadas!$D$36-Coordenadas!$D$147)^2)),0)</f>
        <v>0.48553899523798316</v>
      </c>
    </row>
    <row r="89" spans="1:3">
      <c r="A89" t="s">
        <v>82</v>
      </c>
      <c r="B89" t="s">
        <v>199</v>
      </c>
      <c r="C89" s="20">
        <f>IF(SQRT((Coordenadas!$C$36-Coordenadas!$C$150)^2+(Coordenadas!$D$36-Coordenadas!$D$150)^2)&lt;=LEEME!$B$20,EXP(-LEEME!$B$19*SQRT((Coordenadas!$C$36-Coordenadas!$C$150)^2+(Coordenadas!$D$36-Coordenadas!$D$150)^2)),0)</f>
        <v>0.37124856870778677</v>
      </c>
    </row>
    <row r="90" spans="1:3">
      <c r="A90" t="s">
        <v>82</v>
      </c>
      <c r="B90" t="s">
        <v>210</v>
      </c>
      <c r="C90" s="20">
        <f>IF(SQRT((Coordenadas!$C$36-Coordenadas!$C$161)^2+(Coordenadas!$D$36-Coordenadas!$D$161)^2)&lt;=LEEME!$B$20,EXP(-LEEME!$B$19*SQRT((Coordenadas!$C$36-Coordenadas!$C$161)^2+(Coordenadas!$D$36-Coordenadas!$D$161)^2)),0)</f>
        <v>0.78266460951253203</v>
      </c>
    </row>
    <row r="91" spans="1:3">
      <c r="A91" t="s">
        <v>83</v>
      </c>
      <c r="B91" t="s">
        <v>199</v>
      </c>
      <c r="C91" s="20">
        <f>IF(SQRT((Coordenadas!$C$37-Coordenadas!$C$150)^2+(Coordenadas!$D$37-Coordenadas!$D$150)^2)&lt;=LEEME!$B$20,EXP(-LEEME!$B$19*SQRT((Coordenadas!$C$37-Coordenadas!$C$150)^2+(Coordenadas!$D$37-Coordenadas!$D$150)^2)),0)</f>
        <v>0.42203363132123689</v>
      </c>
    </row>
    <row r="92" spans="1:3">
      <c r="A92" t="s">
        <v>83</v>
      </c>
      <c r="B92" t="s">
        <v>210</v>
      </c>
      <c r="C92" s="20">
        <f>IF(SQRT((Coordenadas!$C$37-Coordenadas!$C$161)^2+(Coordenadas!$D$37-Coordenadas!$D$161)^2)&lt;=LEEME!$B$20,EXP(-LEEME!$B$19*SQRT((Coordenadas!$C$37-Coordenadas!$C$161)^2+(Coordenadas!$D$37-Coordenadas!$D$161)^2)),0)</f>
        <v>0.56666959337123046</v>
      </c>
    </row>
    <row r="93" spans="1:3">
      <c r="A93" t="s">
        <v>84</v>
      </c>
      <c r="B93" t="s">
        <v>199</v>
      </c>
      <c r="C93" s="20">
        <f>IF(SQRT((Coordenadas!$C$38-Coordenadas!$C$150)^2+(Coordenadas!$D$38-Coordenadas!$D$150)^2)&lt;=LEEME!$B$20,EXP(-LEEME!$B$19*SQRT((Coordenadas!$C$38-Coordenadas!$C$150)^2+(Coordenadas!$D$38-Coordenadas!$D$150)^2)),0)</f>
        <v>0.56620867735367175</v>
      </c>
    </row>
    <row r="94" spans="1:3">
      <c r="A94" t="s">
        <v>84</v>
      </c>
      <c r="B94" t="s">
        <v>210</v>
      </c>
      <c r="C94" s="20">
        <f>IF(SQRT((Coordenadas!$C$38-Coordenadas!$C$161)^2+(Coordenadas!$D$38-Coordenadas!$D$161)^2)&lt;=LEEME!$B$20,EXP(-LEEME!$B$19*SQRT((Coordenadas!$C$38-Coordenadas!$C$161)^2+(Coordenadas!$D$38-Coordenadas!$D$161)^2)),0)</f>
        <v>0.64277799409800995</v>
      </c>
    </row>
    <row r="95" spans="1:3">
      <c r="A95" t="s">
        <v>85</v>
      </c>
      <c r="B95" t="s">
        <v>196</v>
      </c>
      <c r="C95" s="20">
        <f>IF(SQRT((Coordenadas!$C$39-Coordenadas!$C$147)^2+(Coordenadas!$D$39-Coordenadas!$D$147)^2)&lt;=LEEME!$B$20,EXP(-LEEME!$B$19*SQRT((Coordenadas!$C$39-Coordenadas!$C$147)^2+(Coordenadas!$D$39-Coordenadas!$D$147)^2)),0)</f>
        <v>0.41763175730546909</v>
      </c>
    </row>
    <row r="96" spans="1:3">
      <c r="A96" t="s">
        <v>85</v>
      </c>
      <c r="B96" t="s">
        <v>199</v>
      </c>
      <c r="C96" s="20">
        <f>IF(SQRT((Coordenadas!$C$39-Coordenadas!$C$150)^2+(Coordenadas!$D$39-Coordenadas!$D$150)^2)&lt;=LEEME!$B$20,EXP(-LEEME!$B$19*SQRT((Coordenadas!$C$39-Coordenadas!$C$150)^2+(Coordenadas!$D$39-Coordenadas!$D$150)^2)),0)</f>
        <v>0.53516510400005746</v>
      </c>
    </row>
    <row r="97" spans="1:3">
      <c r="A97" t="s">
        <v>85</v>
      </c>
      <c r="B97" t="s">
        <v>210</v>
      </c>
      <c r="C97" s="20">
        <f>IF(SQRT((Coordenadas!$C$39-Coordenadas!$C$161)^2+(Coordenadas!$D$39-Coordenadas!$D$161)^2)&lt;=LEEME!$B$20,EXP(-LEEME!$B$19*SQRT((Coordenadas!$C$39-Coordenadas!$C$161)^2+(Coordenadas!$D$39-Coordenadas!$D$161)^2)),0)</f>
        <v>0.71531139661717957</v>
      </c>
    </row>
    <row r="98" spans="1:3">
      <c r="A98" t="s">
        <v>86</v>
      </c>
      <c r="B98" t="s">
        <v>198</v>
      </c>
      <c r="C98" s="20">
        <f>IF(SQRT((Coordenadas!$C$40-Coordenadas!$C$149)^2+(Coordenadas!$D$40-Coordenadas!$D$149)^2)&lt;=LEEME!$B$20,EXP(-LEEME!$B$19*SQRT((Coordenadas!$C$40-Coordenadas!$C$149)^2+(Coordenadas!$D$40-Coordenadas!$D$149)^2)),0)</f>
        <v>0.4737807062284784</v>
      </c>
    </row>
    <row r="99" spans="1:3">
      <c r="A99" t="s">
        <v>86</v>
      </c>
      <c r="B99" t="s">
        <v>199</v>
      </c>
      <c r="C99" s="20">
        <f>IF(SQRT((Coordenadas!$C$40-Coordenadas!$C$150)^2+(Coordenadas!$D$40-Coordenadas!$D$150)^2)&lt;=LEEME!$B$20,EXP(-LEEME!$B$19*SQRT((Coordenadas!$C$40-Coordenadas!$C$150)^2+(Coordenadas!$D$40-Coordenadas!$D$150)^2)),0)</f>
        <v>0.64060838597266412</v>
      </c>
    </row>
    <row r="100" spans="1:3">
      <c r="A100" t="s">
        <v>86</v>
      </c>
      <c r="B100" t="s">
        <v>210</v>
      </c>
      <c r="C100" s="20">
        <f>IF(SQRT((Coordenadas!$C$40-Coordenadas!$C$161)^2+(Coordenadas!$D$40-Coordenadas!$D$161)^2)&lt;=LEEME!$B$20,EXP(-LEEME!$B$19*SQRT((Coordenadas!$C$40-Coordenadas!$C$161)^2+(Coordenadas!$D$40-Coordenadas!$D$161)^2)),0)</f>
        <v>0.54747823645937499</v>
      </c>
    </row>
    <row r="101" spans="1:3">
      <c r="A101" t="s">
        <v>87</v>
      </c>
      <c r="B101" t="s">
        <v>196</v>
      </c>
      <c r="C101" s="20">
        <f>IF(SQRT((Coordenadas!$C$41-Coordenadas!$C$147)^2+(Coordenadas!$D$41-Coordenadas!$D$147)^2)&lt;=LEEME!$B$20,EXP(-LEEME!$B$19*SQRT((Coordenadas!$C$41-Coordenadas!$C$147)^2+(Coordenadas!$D$41-Coordenadas!$D$147)^2)),0)</f>
        <v>0.47863475849414283</v>
      </c>
    </row>
    <row r="102" spans="1:3">
      <c r="A102" t="s">
        <v>87</v>
      </c>
      <c r="B102" t="s">
        <v>198</v>
      </c>
      <c r="C102" s="20">
        <f>IF(SQRT((Coordenadas!$C$41-Coordenadas!$C$149)^2+(Coordenadas!$D$41-Coordenadas!$D$149)^2)&lt;=LEEME!$B$20,EXP(-LEEME!$B$19*SQRT((Coordenadas!$C$41-Coordenadas!$C$149)^2+(Coordenadas!$D$41-Coordenadas!$D$149)^2)),0)</f>
        <v>0.37675281507920449</v>
      </c>
    </row>
    <row r="103" spans="1:3">
      <c r="A103" t="s">
        <v>87</v>
      </c>
      <c r="B103" t="s">
        <v>199</v>
      </c>
      <c r="C103" s="20">
        <f>IF(SQRT((Coordenadas!$C$41-Coordenadas!$C$150)^2+(Coordenadas!$D$41-Coordenadas!$D$150)^2)&lt;=LEEME!$B$20,EXP(-LEEME!$B$19*SQRT((Coordenadas!$C$41-Coordenadas!$C$150)^2+(Coordenadas!$D$41-Coordenadas!$D$150)^2)),0)</f>
        <v>0.47396313104103605</v>
      </c>
    </row>
    <row r="104" spans="1:3">
      <c r="A104" t="s">
        <v>87</v>
      </c>
      <c r="B104" t="s">
        <v>210</v>
      </c>
      <c r="C104" s="20">
        <f>IF(SQRT((Coordenadas!$C$41-Coordenadas!$C$161)^2+(Coordenadas!$D$41-Coordenadas!$D$161)^2)&lt;=LEEME!$B$20,EXP(-LEEME!$B$19*SQRT((Coordenadas!$C$41-Coordenadas!$C$161)^2+(Coordenadas!$D$41-Coordenadas!$D$161)^2)),0)</f>
        <v>0.7311553196380669</v>
      </c>
    </row>
    <row r="105" spans="1:3">
      <c r="A105" t="s">
        <v>88</v>
      </c>
      <c r="B105" t="s">
        <v>196</v>
      </c>
      <c r="C105" s="20">
        <f>IF(SQRT((Coordenadas!$C$42-Coordenadas!$C$147)^2+(Coordenadas!$D$42-Coordenadas!$D$147)^2)&lt;=LEEME!$B$20,EXP(-LEEME!$B$19*SQRT((Coordenadas!$C$42-Coordenadas!$C$147)^2+(Coordenadas!$D$42-Coordenadas!$D$147)^2)),0)</f>
        <v>0.38440460526036718</v>
      </c>
    </row>
    <row r="106" spans="1:3">
      <c r="A106" t="s">
        <v>88</v>
      </c>
      <c r="B106" t="s">
        <v>198</v>
      </c>
      <c r="C106" s="20">
        <f>IF(SQRT((Coordenadas!$C$42-Coordenadas!$C$149)^2+(Coordenadas!$D$42-Coordenadas!$D$149)^2)&lt;=LEEME!$B$20,EXP(-LEEME!$B$19*SQRT((Coordenadas!$C$42-Coordenadas!$C$149)^2+(Coordenadas!$D$42-Coordenadas!$D$149)^2)),0)</f>
        <v>0.51745914121509151</v>
      </c>
    </row>
    <row r="107" spans="1:3">
      <c r="A107" t="s">
        <v>88</v>
      </c>
      <c r="B107" t="s">
        <v>199</v>
      </c>
      <c r="C107" s="20">
        <f>IF(SQRT((Coordenadas!$C$42-Coordenadas!$C$150)^2+(Coordenadas!$D$42-Coordenadas!$D$150)^2)&lt;=LEEME!$B$20,EXP(-LEEME!$B$19*SQRT((Coordenadas!$C$42-Coordenadas!$C$150)^2+(Coordenadas!$D$42-Coordenadas!$D$150)^2)),0)</f>
        <v>0.50691521911289272</v>
      </c>
    </row>
    <row r="108" spans="1:3">
      <c r="A108" t="s">
        <v>88</v>
      </c>
      <c r="B108" t="s">
        <v>210</v>
      </c>
      <c r="C108" s="20">
        <f>IF(SQRT((Coordenadas!$C$42-Coordenadas!$C$161)^2+(Coordenadas!$D$42-Coordenadas!$D$161)^2)&lt;=LEEME!$B$20,EXP(-LEEME!$B$19*SQRT((Coordenadas!$C$42-Coordenadas!$C$161)^2+(Coordenadas!$D$42-Coordenadas!$D$161)^2)),0)</f>
        <v>0.5291130216067198</v>
      </c>
    </row>
    <row r="109" spans="1:3">
      <c r="A109" t="s">
        <v>89</v>
      </c>
      <c r="B109" t="s">
        <v>196</v>
      </c>
      <c r="C109" s="20">
        <f>IF(SQRT((Coordenadas!$C$43-Coordenadas!$C$147)^2+(Coordenadas!$D$43-Coordenadas!$D$147)^2)&lt;=LEEME!$B$20,EXP(-LEEME!$B$19*SQRT((Coordenadas!$C$43-Coordenadas!$C$147)^2+(Coordenadas!$D$43-Coordenadas!$D$147)^2)),0)</f>
        <v>0.48542981958070475</v>
      </c>
    </row>
    <row r="110" spans="1:3">
      <c r="A110" t="s">
        <v>89</v>
      </c>
      <c r="B110" t="s">
        <v>198</v>
      </c>
      <c r="C110" s="20">
        <f>IF(SQRT((Coordenadas!$C$43-Coordenadas!$C$149)^2+(Coordenadas!$D$43-Coordenadas!$D$149)^2)&lt;=LEEME!$B$20,EXP(-LEEME!$B$19*SQRT((Coordenadas!$C$43-Coordenadas!$C$149)^2+(Coordenadas!$D$43-Coordenadas!$D$149)^2)),0)</f>
        <v>0.41884924598112111</v>
      </c>
    </row>
    <row r="111" spans="1:3">
      <c r="A111" t="s">
        <v>89</v>
      </c>
      <c r="B111" t="s">
        <v>199</v>
      </c>
      <c r="C111" s="20">
        <f>IF(SQRT((Coordenadas!$C$43-Coordenadas!$C$150)^2+(Coordenadas!$D$43-Coordenadas!$D$150)^2)&lt;=LEEME!$B$20,EXP(-LEEME!$B$19*SQRT((Coordenadas!$C$43-Coordenadas!$C$150)^2+(Coordenadas!$D$43-Coordenadas!$D$150)^2)),0)</f>
        <v>0.42239476280329402</v>
      </c>
    </row>
    <row r="112" spans="1:3">
      <c r="A112" t="s">
        <v>89</v>
      </c>
      <c r="B112" t="s">
        <v>210</v>
      </c>
      <c r="C112" s="20">
        <f>IF(SQRT((Coordenadas!$C$43-Coordenadas!$C$161)^2+(Coordenadas!$D$43-Coordenadas!$D$161)^2)&lt;=LEEME!$B$20,EXP(-LEEME!$B$19*SQRT((Coordenadas!$C$43-Coordenadas!$C$161)^2+(Coordenadas!$D$43-Coordenadas!$D$161)^2)),0)</f>
        <v>0.61550686505183139</v>
      </c>
    </row>
    <row r="113" spans="1:3">
      <c r="A113" t="s">
        <v>90</v>
      </c>
      <c r="B113" t="s">
        <v>196</v>
      </c>
      <c r="C113" s="20">
        <f>IF(SQRT((Coordenadas!$C$44-Coordenadas!$C$147)^2+(Coordenadas!$D$44-Coordenadas!$D$147)^2)&lt;=LEEME!$B$20,EXP(-LEEME!$B$19*SQRT((Coordenadas!$C$44-Coordenadas!$C$147)^2+(Coordenadas!$D$44-Coordenadas!$D$147)^2)),0)</f>
        <v>0.60314737423249742</v>
      </c>
    </row>
    <row r="114" spans="1:3">
      <c r="A114" t="s">
        <v>90</v>
      </c>
      <c r="B114" t="s">
        <v>210</v>
      </c>
      <c r="C114" s="20">
        <f>IF(SQRT((Coordenadas!$C$44-Coordenadas!$C$161)^2+(Coordenadas!$D$44-Coordenadas!$D$161)^2)&lt;=LEEME!$B$20,EXP(-LEEME!$B$19*SQRT((Coordenadas!$C$44-Coordenadas!$C$161)^2+(Coordenadas!$D$44-Coordenadas!$D$161)^2)),0)</f>
        <v>0.69052442818643289</v>
      </c>
    </row>
    <row r="115" spans="1:3">
      <c r="A115" t="s">
        <v>91</v>
      </c>
      <c r="B115" t="s">
        <v>196</v>
      </c>
      <c r="C115" s="20">
        <f>IF(SQRT((Coordenadas!$C$45-Coordenadas!$C$147)^2+(Coordenadas!$D$45-Coordenadas!$D$147)^2)&lt;=LEEME!$B$20,EXP(-LEEME!$B$19*SQRT((Coordenadas!$C$45-Coordenadas!$C$147)^2+(Coordenadas!$D$45-Coordenadas!$D$147)^2)),0)</f>
        <v>0.61236088938624877</v>
      </c>
    </row>
    <row r="116" spans="1:3">
      <c r="A116" t="s">
        <v>91</v>
      </c>
      <c r="B116" t="s">
        <v>210</v>
      </c>
      <c r="C116" s="20">
        <f>IF(SQRT((Coordenadas!$C$45-Coordenadas!$C$161)^2+(Coordenadas!$D$45-Coordenadas!$D$161)^2)&lt;=LEEME!$B$20,EXP(-LEEME!$B$19*SQRT((Coordenadas!$C$45-Coordenadas!$C$161)^2+(Coordenadas!$D$45-Coordenadas!$D$161)^2)),0)</f>
        <v>0.44957484218972982</v>
      </c>
    </row>
    <row r="117" spans="1:3">
      <c r="A117" t="s">
        <v>92</v>
      </c>
      <c r="B117" t="s">
        <v>193</v>
      </c>
      <c r="C117" s="20">
        <f>IF(SQRT((Coordenadas!$C$46-Coordenadas!$C$144)^2+(Coordenadas!$D$46-Coordenadas!$D$144)^2)&lt;=LEEME!$B$20,EXP(-LEEME!$B$19*SQRT((Coordenadas!$C$46-Coordenadas!$C$144)^2+(Coordenadas!$D$46-Coordenadas!$D$144)^2)),0)</f>
        <v>0.60572859939618329</v>
      </c>
    </row>
    <row r="118" spans="1:3">
      <c r="A118" t="s">
        <v>92</v>
      </c>
      <c r="B118" t="s">
        <v>198</v>
      </c>
      <c r="C118" s="20">
        <f>IF(SQRT((Coordenadas!$C$46-Coordenadas!$C$149)^2+(Coordenadas!$D$46-Coordenadas!$D$149)^2)&lt;=LEEME!$B$20,EXP(-LEEME!$B$19*SQRT((Coordenadas!$C$46-Coordenadas!$C$149)^2+(Coordenadas!$D$46-Coordenadas!$D$149)^2)),0)</f>
        <v>0.77567806007614581</v>
      </c>
    </row>
    <row r="119" spans="1:3">
      <c r="A119" t="s">
        <v>92</v>
      </c>
      <c r="B119" t="s">
        <v>211</v>
      </c>
      <c r="C119" s="20">
        <f>IF(SQRT((Coordenadas!$C$46-Coordenadas!$C$162)^2+(Coordenadas!$D$46-Coordenadas!$D$162)^2)&lt;=LEEME!$B$20,EXP(-LEEME!$B$19*SQRT((Coordenadas!$C$46-Coordenadas!$C$162)^2+(Coordenadas!$D$46-Coordenadas!$D$162)^2)),0)</f>
        <v>0.42205197784879533</v>
      </c>
    </row>
    <row r="120" spans="1:3">
      <c r="A120" t="s">
        <v>92</v>
      </c>
      <c r="B120" t="s">
        <v>212</v>
      </c>
      <c r="C120" s="20">
        <f>IF(SQRT((Coordenadas!$C$46-Coordenadas!$C$163)^2+(Coordenadas!$D$46-Coordenadas!$D$163)^2)&lt;=LEEME!$B$20,EXP(-LEEME!$B$19*SQRT((Coordenadas!$C$46-Coordenadas!$C$163)^2+(Coordenadas!$D$46-Coordenadas!$D$163)^2)),0)</f>
        <v>0.42147183914683811</v>
      </c>
    </row>
    <row r="121" spans="1:3">
      <c r="A121" t="s">
        <v>93</v>
      </c>
      <c r="B121" t="s">
        <v>193</v>
      </c>
      <c r="C121" s="20">
        <f>IF(SQRT((Coordenadas!$C$47-Coordenadas!$C$144)^2+(Coordenadas!$D$47-Coordenadas!$D$144)^2)&lt;=LEEME!$B$20,EXP(-LEEME!$B$19*SQRT((Coordenadas!$C$47-Coordenadas!$C$144)^2+(Coordenadas!$D$47-Coordenadas!$D$144)^2)),0)</f>
        <v>0.70740107779357742</v>
      </c>
    </row>
    <row r="122" spans="1:3">
      <c r="A122" t="s">
        <v>93</v>
      </c>
      <c r="B122" t="s">
        <v>198</v>
      </c>
      <c r="C122" s="20">
        <f>IF(SQRT((Coordenadas!$C$47-Coordenadas!$C$149)^2+(Coordenadas!$D$47-Coordenadas!$D$149)^2)&lt;=LEEME!$B$20,EXP(-LEEME!$B$19*SQRT((Coordenadas!$C$47-Coordenadas!$C$149)^2+(Coordenadas!$D$47-Coordenadas!$D$149)^2)),0)</f>
        <v>0.69534132005369131</v>
      </c>
    </row>
    <row r="123" spans="1:3">
      <c r="A123" t="s">
        <v>93</v>
      </c>
      <c r="B123" t="s">
        <v>203</v>
      </c>
      <c r="C123" s="20">
        <f>IF(SQRT((Coordenadas!$C$47-Coordenadas!$C$154)^2+(Coordenadas!$D$47-Coordenadas!$D$154)^2)&lt;=LEEME!$B$20,EXP(-LEEME!$B$19*SQRT((Coordenadas!$C$47-Coordenadas!$C$154)^2+(Coordenadas!$D$47-Coordenadas!$D$154)^2)),0)</f>
        <v>0.44483060774221228</v>
      </c>
    </row>
    <row r="124" spans="1:3">
      <c r="A124" t="s">
        <v>93</v>
      </c>
      <c r="B124" t="s">
        <v>209</v>
      </c>
      <c r="C124" s="20">
        <f>IF(SQRT((Coordenadas!$C$47-Coordenadas!$C$160)^2+(Coordenadas!$D$47-Coordenadas!$D$160)^2)&lt;=LEEME!$B$20,EXP(-LEEME!$B$19*SQRT((Coordenadas!$C$47-Coordenadas!$C$160)^2+(Coordenadas!$D$47-Coordenadas!$D$160)^2)),0)</f>
        <v>0.4135612696633571</v>
      </c>
    </row>
    <row r="125" spans="1:3">
      <c r="A125" t="s">
        <v>93</v>
      </c>
      <c r="B125" t="s">
        <v>211</v>
      </c>
      <c r="C125" s="20">
        <f>IF(SQRT((Coordenadas!$C$47-Coordenadas!$C$162)^2+(Coordenadas!$D$47-Coordenadas!$D$162)^2)&lt;=LEEME!$B$20,EXP(-LEEME!$B$19*SQRT((Coordenadas!$C$47-Coordenadas!$C$162)^2+(Coordenadas!$D$47-Coordenadas!$D$162)^2)),0)</f>
        <v>0.3906226409107133</v>
      </c>
    </row>
    <row r="126" spans="1:3">
      <c r="A126" t="s">
        <v>93</v>
      </c>
      <c r="B126" t="s">
        <v>212</v>
      </c>
      <c r="C126" s="20">
        <f>IF(SQRT((Coordenadas!$C$47-Coordenadas!$C$163)^2+(Coordenadas!$D$47-Coordenadas!$D$163)^2)&lt;=LEEME!$B$20,EXP(-LEEME!$B$19*SQRT((Coordenadas!$C$47-Coordenadas!$C$163)^2+(Coordenadas!$D$47-Coordenadas!$D$163)^2)),0)</f>
        <v>0.4992630341965934</v>
      </c>
    </row>
    <row r="127" spans="1:3">
      <c r="A127" t="s">
        <v>94</v>
      </c>
      <c r="B127" t="s">
        <v>193</v>
      </c>
      <c r="C127" s="20">
        <f>IF(SQRT((Coordenadas!$C$48-Coordenadas!$C$144)^2+(Coordenadas!$D$48-Coordenadas!$D$144)^2)&lt;=LEEME!$B$20,EXP(-LEEME!$B$19*SQRT((Coordenadas!$C$48-Coordenadas!$C$144)^2+(Coordenadas!$D$48-Coordenadas!$D$144)^2)),0)</f>
        <v>0.54263950821709261</v>
      </c>
    </row>
    <row r="128" spans="1:3">
      <c r="A128" t="s">
        <v>94</v>
      </c>
      <c r="B128" t="s">
        <v>198</v>
      </c>
      <c r="C128" s="20">
        <f>IF(SQRT((Coordenadas!$C$48-Coordenadas!$C$149)^2+(Coordenadas!$D$48-Coordenadas!$D$149)^2)&lt;=LEEME!$B$20,EXP(-LEEME!$B$19*SQRT((Coordenadas!$C$48-Coordenadas!$C$149)^2+(Coordenadas!$D$48-Coordenadas!$D$149)^2)),0)</f>
        <v>0.88618419075910193</v>
      </c>
    </row>
    <row r="129" spans="1:3">
      <c r="A129" t="s">
        <v>94</v>
      </c>
      <c r="B129" t="s">
        <v>199</v>
      </c>
      <c r="C129" s="20">
        <f>IF(SQRT((Coordenadas!$C$48-Coordenadas!$C$150)^2+(Coordenadas!$D$48-Coordenadas!$D$150)^2)&lt;=LEEME!$B$20,EXP(-LEEME!$B$19*SQRT((Coordenadas!$C$48-Coordenadas!$C$150)^2+(Coordenadas!$D$48-Coordenadas!$D$150)^2)),0)</f>
        <v>0.41453561354124546</v>
      </c>
    </row>
    <row r="130" spans="1:3">
      <c r="A130" t="s">
        <v>94</v>
      </c>
      <c r="B130" t="s">
        <v>203</v>
      </c>
      <c r="C130" s="20">
        <f>IF(SQRT((Coordenadas!$C$48-Coordenadas!$C$154)^2+(Coordenadas!$D$48-Coordenadas!$D$154)^2)&lt;=LEEME!$B$20,EXP(-LEEME!$B$19*SQRT((Coordenadas!$C$48-Coordenadas!$C$154)^2+(Coordenadas!$D$48-Coordenadas!$D$154)^2)),0)</f>
        <v>0.44171816894549881</v>
      </c>
    </row>
    <row r="131" spans="1:3">
      <c r="A131" t="s">
        <v>94</v>
      </c>
      <c r="B131" t="s">
        <v>212</v>
      </c>
      <c r="C131" s="20">
        <f>IF(SQRT((Coordenadas!$C$48-Coordenadas!$C$163)^2+(Coordenadas!$D$48-Coordenadas!$D$163)^2)&lt;=LEEME!$B$20,EXP(-LEEME!$B$19*SQRT((Coordenadas!$C$48-Coordenadas!$C$163)^2+(Coordenadas!$D$48-Coordenadas!$D$163)^2)),0)</f>
        <v>0.38215150169710949</v>
      </c>
    </row>
    <row r="132" spans="1:3">
      <c r="A132" t="s">
        <v>95</v>
      </c>
      <c r="B132" t="s">
        <v>196</v>
      </c>
      <c r="C132" s="20">
        <f>IF(SQRT((Coordenadas!$C$49-Coordenadas!$C$147)^2+(Coordenadas!$D$49-Coordenadas!$D$147)^2)&lt;=LEEME!$B$20,EXP(-LEEME!$B$19*SQRT((Coordenadas!$C$49-Coordenadas!$C$147)^2+(Coordenadas!$D$49-Coordenadas!$D$147)^2)),0)</f>
        <v>0.68667173653927682</v>
      </c>
    </row>
    <row r="133" spans="1:3">
      <c r="A133" t="s">
        <v>95</v>
      </c>
      <c r="B133" t="s">
        <v>210</v>
      </c>
      <c r="C133" s="20">
        <f>IF(SQRT((Coordenadas!$C$49-Coordenadas!$C$161)^2+(Coordenadas!$D$49-Coordenadas!$D$161)^2)&lt;=LEEME!$B$20,EXP(-LEEME!$B$19*SQRT((Coordenadas!$C$49-Coordenadas!$C$161)^2+(Coordenadas!$D$49-Coordenadas!$D$161)^2)),0)</f>
        <v>0.49885016696086526</v>
      </c>
    </row>
    <row r="134" spans="1:3">
      <c r="A134" t="s">
        <v>96</v>
      </c>
      <c r="B134" t="s">
        <v>193</v>
      </c>
      <c r="C134" s="20">
        <f>IF(SQRT((Coordenadas!$C$50-Coordenadas!$C$144)^2+(Coordenadas!$D$50-Coordenadas!$D$144)^2)&lt;=LEEME!$B$20,EXP(-LEEME!$B$19*SQRT((Coordenadas!$C$50-Coordenadas!$C$144)^2+(Coordenadas!$D$50-Coordenadas!$D$144)^2)),0)</f>
        <v>0.54168747136211515</v>
      </c>
    </row>
    <row r="135" spans="1:3">
      <c r="A135" t="s">
        <v>96</v>
      </c>
      <c r="B135" t="s">
        <v>198</v>
      </c>
      <c r="C135" s="20">
        <f>IF(SQRT((Coordenadas!$C$50-Coordenadas!$C$149)^2+(Coordenadas!$D$50-Coordenadas!$D$149)^2)&lt;=LEEME!$B$20,EXP(-LEEME!$B$19*SQRT((Coordenadas!$C$50-Coordenadas!$C$149)^2+(Coordenadas!$D$50-Coordenadas!$D$149)^2)),0)</f>
        <v>0.71088279318061598</v>
      </c>
    </row>
    <row r="136" spans="1:3">
      <c r="A136" t="s">
        <v>96</v>
      </c>
      <c r="B136" t="s">
        <v>211</v>
      </c>
      <c r="C136" s="20">
        <f>IF(SQRT((Coordenadas!$C$50-Coordenadas!$C$162)^2+(Coordenadas!$D$50-Coordenadas!$D$162)^2)&lt;=LEEME!$B$20,EXP(-LEEME!$B$19*SQRT((Coordenadas!$C$50-Coordenadas!$C$162)^2+(Coordenadas!$D$50-Coordenadas!$D$162)^2)),0)</f>
        <v>0.44829258539422084</v>
      </c>
    </row>
    <row r="137" spans="1:3">
      <c r="A137" t="s">
        <v>96</v>
      </c>
      <c r="B137" t="s">
        <v>212</v>
      </c>
      <c r="C137" s="20">
        <f>IF(SQRT((Coordenadas!$C$50-Coordenadas!$C$163)^2+(Coordenadas!$D$50-Coordenadas!$D$163)^2)&lt;=LEEME!$B$20,EXP(-LEEME!$B$19*SQRT((Coordenadas!$C$50-Coordenadas!$C$163)^2+(Coordenadas!$D$50-Coordenadas!$D$163)^2)),0)</f>
        <v>0.38088452545416757</v>
      </c>
    </row>
    <row r="138" spans="1:3">
      <c r="A138" t="s">
        <v>97</v>
      </c>
      <c r="B138" t="s">
        <v>193</v>
      </c>
      <c r="C138" s="20">
        <f>IF(SQRT((Coordenadas!$C$51-Coordenadas!$C$144)^2+(Coordenadas!$D$51-Coordenadas!$D$144)^2)&lt;=LEEME!$B$20,EXP(-LEEME!$B$19*SQRT((Coordenadas!$C$51-Coordenadas!$C$144)^2+(Coordenadas!$D$51-Coordenadas!$D$144)^2)),0)</f>
        <v>0.4566360424343579</v>
      </c>
    </row>
    <row r="139" spans="1:3">
      <c r="A139" t="s">
        <v>97</v>
      </c>
      <c r="B139" t="s">
        <v>198</v>
      </c>
      <c r="C139" s="20">
        <f>IF(SQRT((Coordenadas!$C$51-Coordenadas!$C$149)^2+(Coordenadas!$D$51-Coordenadas!$D$149)^2)&lt;=LEEME!$B$20,EXP(-LEEME!$B$19*SQRT((Coordenadas!$C$51-Coordenadas!$C$149)^2+(Coordenadas!$D$51-Coordenadas!$D$149)^2)),0)</f>
        <v>0.8631736515178654</v>
      </c>
    </row>
    <row r="140" spans="1:3">
      <c r="A140" t="s">
        <v>97</v>
      </c>
      <c r="B140" t="s">
        <v>199</v>
      </c>
      <c r="C140" s="20">
        <f>IF(SQRT((Coordenadas!$C$51-Coordenadas!$C$150)^2+(Coordenadas!$D$51-Coordenadas!$D$150)^2)&lt;=LEEME!$B$20,EXP(-LEEME!$B$19*SQRT((Coordenadas!$C$51-Coordenadas!$C$150)^2+(Coordenadas!$D$51-Coordenadas!$D$150)^2)),0)</f>
        <v>0.45153153876014407</v>
      </c>
    </row>
    <row r="141" spans="1:3">
      <c r="A141" t="s">
        <v>98</v>
      </c>
      <c r="B141" t="s">
        <v>195</v>
      </c>
      <c r="C141" s="20">
        <f>IF(SQRT((Coordenadas!$C$52-Coordenadas!$C$146)^2+(Coordenadas!$D$52-Coordenadas!$D$146)^2)&lt;=LEEME!$B$20,EXP(-LEEME!$B$19*SQRT((Coordenadas!$C$52-Coordenadas!$C$146)^2+(Coordenadas!$D$52-Coordenadas!$D$146)^2)),0)</f>
        <v>0.5182460734791644</v>
      </c>
    </row>
    <row r="142" spans="1:3">
      <c r="A142" t="s">
        <v>98</v>
      </c>
      <c r="B142" t="s">
        <v>204</v>
      </c>
      <c r="C142" s="20">
        <f>IF(SQRT((Coordenadas!$C$52-Coordenadas!$C$155)^2+(Coordenadas!$D$52-Coordenadas!$D$155)^2)&lt;=LEEME!$B$20,EXP(-LEEME!$B$19*SQRT((Coordenadas!$C$52-Coordenadas!$C$155)^2+(Coordenadas!$D$52-Coordenadas!$D$155)^2)),0)</f>
        <v>0.56872512702254174</v>
      </c>
    </row>
    <row r="143" spans="1:3">
      <c r="A143" t="s">
        <v>98</v>
      </c>
      <c r="B143" t="s">
        <v>211</v>
      </c>
      <c r="C143" s="20">
        <f>IF(SQRT((Coordenadas!$C$52-Coordenadas!$C$162)^2+(Coordenadas!$D$52-Coordenadas!$D$162)^2)&lt;=LEEME!$B$20,EXP(-LEEME!$B$19*SQRT((Coordenadas!$C$52-Coordenadas!$C$162)^2+(Coordenadas!$D$52-Coordenadas!$D$162)^2)),0)</f>
        <v>0.59891222666391242</v>
      </c>
    </row>
    <row r="144" spans="1:3">
      <c r="A144" t="s">
        <v>100</v>
      </c>
      <c r="B144" t="s">
        <v>195</v>
      </c>
      <c r="C144" s="20">
        <f>IF(SQRT((Coordenadas!$C$53-Coordenadas!$C$146)^2+(Coordenadas!$D$53-Coordenadas!$D$146)^2)&lt;=LEEME!$B$20,EXP(-LEEME!$B$19*SQRT((Coordenadas!$C$53-Coordenadas!$C$146)^2+(Coordenadas!$D$53-Coordenadas!$D$146)^2)),0)</f>
        <v>0.52743665610145241</v>
      </c>
    </row>
    <row r="145" spans="1:3">
      <c r="A145" t="s">
        <v>100</v>
      </c>
      <c r="B145" t="s">
        <v>202</v>
      </c>
      <c r="C145" s="20">
        <f>IF(SQRT((Coordenadas!$C$53-Coordenadas!$C$153)^2+(Coordenadas!$D$53-Coordenadas!$D$153)^2)&lt;=LEEME!$B$20,EXP(-LEEME!$B$19*SQRT((Coordenadas!$C$53-Coordenadas!$C$153)^2+(Coordenadas!$D$53-Coordenadas!$D$153)^2)),0)</f>
        <v>0.38436942727204193</v>
      </c>
    </row>
    <row r="146" spans="1:3">
      <c r="A146" t="s">
        <v>100</v>
      </c>
      <c r="B146" t="s">
        <v>204</v>
      </c>
      <c r="C146" s="20">
        <f>IF(SQRT((Coordenadas!$C$53-Coordenadas!$C$155)^2+(Coordenadas!$D$53-Coordenadas!$D$155)^2)&lt;=LEEME!$B$20,EXP(-LEEME!$B$19*SQRT((Coordenadas!$C$53-Coordenadas!$C$155)^2+(Coordenadas!$D$53-Coordenadas!$D$155)^2)),0)</f>
        <v>0.74106533863675694</v>
      </c>
    </row>
    <row r="147" spans="1:3">
      <c r="A147" t="s">
        <v>100</v>
      </c>
      <c r="B147" t="s">
        <v>211</v>
      </c>
      <c r="C147" s="20">
        <f>IF(SQRT((Coordenadas!$C$53-Coordenadas!$C$162)^2+(Coordenadas!$D$53-Coordenadas!$D$162)^2)&lt;=LEEME!$B$20,EXP(-LEEME!$B$19*SQRT((Coordenadas!$C$53-Coordenadas!$C$162)^2+(Coordenadas!$D$53-Coordenadas!$D$162)^2)),0)</f>
        <v>0.57632137605575129</v>
      </c>
    </row>
    <row r="148" spans="1:3">
      <c r="A148" t="s">
        <v>100</v>
      </c>
      <c r="B148" t="s">
        <v>212</v>
      </c>
      <c r="C148" s="20">
        <f>IF(SQRT((Coordenadas!$C$53-Coordenadas!$C$163)^2+(Coordenadas!$D$53-Coordenadas!$D$163)^2)&lt;=LEEME!$B$20,EXP(-LEEME!$B$19*SQRT((Coordenadas!$C$53-Coordenadas!$C$163)^2+(Coordenadas!$D$53-Coordenadas!$D$163)^2)),0)</f>
        <v>0.37781236668929952</v>
      </c>
    </row>
    <row r="149" spans="1:3">
      <c r="A149" t="s">
        <v>101</v>
      </c>
      <c r="B149" t="s">
        <v>193</v>
      </c>
      <c r="C149" s="20">
        <f>IF(SQRT((Coordenadas!$C$54-Coordenadas!$C$144)^2+(Coordenadas!$D$54-Coordenadas!$D$144)^2)&lt;=LEEME!$B$20,EXP(-LEEME!$B$19*SQRT((Coordenadas!$C$54-Coordenadas!$C$144)^2+(Coordenadas!$D$54-Coordenadas!$D$144)^2)),0)</f>
        <v>0.3981187760312086</v>
      </c>
    </row>
    <row r="150" spans="1:3">
      <c r="A150" t="s">
        <v>101</v>
      </c>
      <c r="B150" t="s">
        <v>195</v>
      </c>
      <c r="C150" s="20">
        <f>IF(SQRT((Coordenadas!$C$54-Coordenadas!$C$146)^2+(Coordenadas!$D$54-Coordenadas!$D$146)^2)&lt;=LEEME!$B$20,EXP(-LEEME!$B$19*SQRT((Coordenadas!$C$54-Coordenadas!$C$146)^2+(Coordenadas!$D$54-Coordenadas!$D$146)^2)),0)</f>
        <v>0.4461943678337717</v>
      </c>
    </row>
    <row r="151" spans="1:3">
      <c r="A151" t="s">
        <v>101</v>
      </c>
      <c r="B151" t="s">
        <v>204</v>
      </c>
      <c r="C151" s="20">
        <f>IF(SQRT((Coordenadas!$C$54-Coordenadas!$C$155)^2+(Coordenadas!$D$54-Coordenadas!$D$155)^2)&lt;=LEEME!$B$20,EXP(-LEEME!$B$19*SQRT((Coordenadas!$C$54-Coordenadas!$C$155)^2+(Coordenadas!$D$54-Coordenadas!$D$155)^2)),0)</f>
        <v>0.80088650538177975</v>
      </c>
    </row>
    <row r="152" spans="1:3">
      <c r="A152" t="s">
        <v>101</v>
      </c>
      <c r="B152" t="s">
        <v>211</v>
      </c>
      <c r="C152" s="20">
        <f>IF(SQRT((Coordenadas!$C$54-Coordenadas!$C$162)^2+(Coordenadas!$D$54-Coordenadas!$D$162)^2)&lt;=LEEME!$B$20,EXP(-LEEME!$B$19*SQRT((Coordenadas!$C$54-Coordenadas!$C$162)^2+(Coordenadas!$D$54-Coordenadas!$D$162)^2)),0)</f>
        <v>0.66211861486521717</v>
      </c>
    </row>
    <row r="153" spans="1:3">
      <c r="A153" t="s">
        <v>101</v>
      </c>
      <c r="B153" t="s">
        <v>212</v>
      </c>
      <c r="C153" s="20">
        <f>IF(SQRT((Coordenadas!$C$54-Coordenadas!$C$163)^2+(Coordenadas!$D$54-Coordenadas!$D$163)^2)&lt;=LEEME!$B$20,EXP(-LEEME!$B$19*SQRT((Coordenadas!$C$54-Coordenadas!$C$163)^2+(Coordenadas!$D$54-Coordenadas!$D$163)^2)),0)</f>
        <v>0.43473370473833045</v>
      </c>
    </row>
    <row r="154" spans="1:3">
      <c r="A154" t="s">
        <v>102</v>
      </c>
      <c r="B154" t="s">
        <v>195</v>
      </c>
      <c r="C154" s="20">
        <f>IF(SQRT((Coordenadas!$C$55-Coordenadas!$C$146)^2+(Coordenadas!$D$55-Coordenadas!$D$146)^2)&lt;=LEEME!$B$20,EXP(-LEEME!$B$19*SQRT((Coordenadas!$C$55-Coordenadas!$C$146)^2+(Coordenadas!$D$55-Coordenadas!$D$146)^2)),0)</f>
        <v>0.44230694706217843</v>
      </c>
    </row>
    <row r="155" spans="1:3">
      <c r="A155" t="s">
        <v>102</v>
      </c>
      <c r="B155" t="s">
        <v>204</v>
      </c>
      <c r="C155" s="20">
        <f>IF(SQRT((Coordenadas!$C$55-Coordenadas!$C$155)^2+(Coordenadas!$D$55-Coordenadas!$D$155)^2)&lt;=LEEME!$B$20,EXP(-LEEME!$B$19*SQRT((Coordenadas!$C$55-Coordenadas!$C$155)^2+(Coordenadas!$D$55-Coordenadas!$D$155)^2)),0)</f>
        <v>0.57842370355526074</v>
      </c>
    </row>
    <row r="156" spans="1:3">
      <c r="A156" t="s">
        <v>102</v>
      </c>
      <c r="B156" t="s">
        <v>211</v>
      </c>
      <c r="C156" s="20">
        <f>IF(SQRT((Coordenadas!$C$55-Coordenadas!$C$162)^2+(Coordenadas!$D$55-Coordenadas!$D$162)^2)&lt;=LEEME!$B$20,EXP(-LEEME!$B$19*SQRT((Coordenadas!$C$55-Coordenadas!$C$162)^2+(Coordenadas!$D$55-Coordenadas!$D$162)^2)),0)</f>
        <v>0.69923326749739712</v>
      </c>
    </row>
    <row r="157" spans="1:3">
      <c r="A157" t="s">
        <v>103</v>
      </c>
      <c r="B157" t="s">
        <v>193</v>
      </c>
      <c r="C157" s="20">
        <f>IF(SQRT((Coordenadas!$C$56-Coordenadas!$C$144)^2+(Coordenadas!$D$56-Coordenadas!$D$144)^2)&lt;=LEEME!$B$20,EXP(-LEEME!$B$19*SQRT((Coordenadas!$C$56-Coordenadas!$C$144)^2+(Coordenadas!$D$56-Coordenadas!$D$144)^2)),0)</f>
        <v>0.46443113888086535</v>
      </c>
    </row>
    <row r="158" spans="1:3">
      <c r="A158" t="s">
        <v>103</v>
      </c>
      <c r="B158" t="s">
        <v>204</v>
      </c>
      <c r="C158" s="20">
        <f>IF(SQRT((Coordenadas!$C$56-Coordenadas!$C$155)^2+(Coordenadas!$D$56-Coordenadas!$D$155)^2)&lt;=LEEME!$B$20,EXP(-LEEME!$B$19*SQRT((Coordenadas!$C$56-Coordenadas!$C$155)^2+(Coordenadas!$D$56-Coordenadas!$D$155)^2)),0)</f>
        <v>0.49221627498286352</v>
      </c>
    </row>
    <row r="159" spans="1:3">
      <c r="A159" t="s">
        <v>103</v>
      </c>
      <c r="B159" t="s">
        <v>211</v>
      </c>
      <c r="C159" s="20">
        <f>IF(SQRT((Coordenadas!$C$56-Coordenadas!$C$162)^2+(Coordenadas!$D$56-Coordenadas!$D$162)^2)&lt;=LEEME!$B$20,EXP(-LEEME!$B$19*SQRT((Coordenadas!$C$56-Coordenadas!$C$162)^2+(Coordenadas!$D$56-Coordenadas!$D$162)^2)),0)</f>
        <v>0.85970827312498888</v>
      </c>
    </row>
    <row r="160" spans="1:3">
      <c r="A160" t="s">
        <v>103</v>
      </c>
      <c r="B160" t="s">
        <v>212</v>
      </c>
      <c r="C160" s="20">
        <f>IF(SQRT((Coordenadas!$C$56-Coordenadas!$C$163)^2+(Coordenadas!$D$56-Coordenadas!$D$163)^2)&lt;=LEEME!$B$20,EXP(-LEEME!$B$19*SQRT((Coordenadas!$C$56-Coordenadas!$C$163)^2+(Coordenadas!$D$56-Coordenadas!$D$163)^2)),0)</f>
        <v>0.40049474118781697</v>
      </c>
    </row>
    <row r="161" spans="1:3">
      <c r="A161" t="s">
        <v>104</v>
      </c>
      <c r="B161" t="s">
        <v>193</v>
      </c>
      <c r="C161" s="20">
        <f>IF(SQRT((Coordenadas!$C$57-Coordenadas!$C$144)^2+(Coordenadas!$D$57-Coordenadas!$D$144)^2)&lt;=LEEME!$B$20,EXP(-LEEME!$B$19*SQRT((Coordenadas!$C$57-Coordenadas!$C$144)^2+(Coordenadas!$D$57-Coordenadas!$D$144)^2)),0)</f>
        <v>0.37903907746438709</v>
      </c>
    </row>
    <row r="162" spans="1:3">
      <c r="A162" t="s">
        <v>104</v>
      </c>
      <c r="B162" t="s">
        <v>195</v>
      </c>
      <c r="C162" s="20">
        <f>IF(SQRT((Coordenadas!$C$57-Coordenadas!$C$146)^2+(Coordenadas!$D$57-Coordenadas!$D$146)^2)&lt;=LEEME!$B$20,EXP(-LEEME!$B$19*SQRT((Coordenadas!$C$57-Coordenadas!$C$146)^2+(Coordenadas!$D$57-Coordenadas!$D$146)^2)),0)</f>
        <v>0.37507667740686201</v>
      </c>
    </row>
    <row r="163" spans="1:3">
      <c r="A163" t="s">
        <v>104</v>
      </c>
      <c r="B163" t="s">
        <v>204</v>
      </c>
      <c r="C163" s="20">
        <f>IF(SQRT((Coordenadas!$C$57-Coordenadas!$C$155)^2+(Coordenadas!$D$57-Coordenadas!$D$155)^2)&lt;=LEEME!$B$20,EXP(-LEEME!$B$19*SQRT((Coordenadas!$C$57-Coordenadas!$C$155)^2+(Coordenadas!$D$57-Coordenadas!$D$155)^2)),0)</f>
        <v>0.55036098641149156</v>
      </c>
    </row>
    <row r="164" spans="1:3">
      <c r="A164" t="s">
        <v>104</v>
      </c>
      <c r="B164" t="s">
        <v>211</v>
      </c>
      <c r="C164" s="20">
        <f>IF(SQRT((Coordenadas!$C$57-Coordenadas!$C$162)^2+(Coordenadas!$D$57-Coordenadas!$D$162)^2)&lt;=LEEME!$B$20,EXP(-LEEME!$B$19*SQRT((Coordenadas!$C$57-Coordenadas!$C$162)^2+(Coordenadas!$D$57-Coordenadas!$D$162)^2)),0)</f>
        <v>0.80030154258748532</v>
      </c>
    </row>
    <row r="165" spans="1:3">
      <c r="A165" t="s">
        <v>105</v>
      </c>
      <c r="B165" t="s">
        <v>193</v>
      </c>
      <c r="C165" s="20">
        <f>IF(SQRT((Coordenadas!$C$58-Coordenadas!$C$144)^2+(Coordenadas!$D$58-Coordenadas!$D$144)^2)&lt;=LEEME!$B$20,EXP(-LEEME!$B$19*SQRT((Coordenadas!$C$58-Coordenadas!$C$144)^2+(Coordenadas!$D$58-Coordenadas!$D$144)^2)),0)</f>
        <v>0.50721388018456304</v>
      </c>
    </row>
    <row r="166" spans="1:3">
      <c r="A166" t="s">
        <v>105</v>
      </c>
      <c r="B166" t="s">
        <v>204</v>
      </c>
      <c r="C166" s="20">
        <f>IF(SQRT((Coordenadas!$C$58-Coordenadas!$C$155)^2+(Coordenadas!$D$58-Coordenadas!$D$155)^2)&lt;=LEEME!$B$20,EXP(-LEEME!$B$19*SQRT((Coordenadas!$C$58-Coordenadas!$C$155)^2+(Coordenadas!$D$58-Coordenadas!$D$155)^2)),0)</f>
        <v>0.65873586985319887</v>
      </c>
    </row>
    <row r="167" spans="1:3">
      <c r="A167" t="s">
        <v>105</v>
      </c>
      <c r="B167" t="s">
        <v>211</v>
      </c>
      <c r="C167" s="20">
        <f>IF(SQRT((Coordenadas!$C$58-Coordenadas!$C$162)^2+(Coordenadas!$D$58-Coordenadas!$D$162)^2)&lt;=LEEME!$B$20,EXP(-LEEME!$B$19*SQRT((Coordenadas!$C$58-Coordenadas!$C$162)^2+(Coordenadas!$D$58-Coordenadas!$D$162)^2)),0)</f>
        <v>0.85307954226472571</v>
      </c>
    </row>
    <row r="168" spans="1:3">
      <c r="A168" t="s">
        <v>105</v>
      </c>
      <c r="B168" t="s">
        <v>212</v>
      </c>
      <c r="C168" s="20">
        <f>IF(SQRT((Coordenadas!$C$58-Coordenadas!$C$163)^2+(Coordenadas!$D$58-Coordenadas!$D$163)^2)&lt;=LEEME!$B$20,EXP(-LEEME!$B$19*SQRT((Coordenadas!$C$58-Coordenadas!$C$163)^2+(Coordenadas!$D$58-Coordenadas!$D$163)^2)),0)</f>
        <v>0.49250291597894869</v>
      </c>
    </row>
    <row r="169" spans="1:3">
      <c r="A169" t="s">
        <v>106</v>
      </c>
      <c r="B169" t="s">
        <v>193</v>
      </c>
      <c r="C169" s="20">
        <f>IF(SQRT((Coordenadas!$C$59-Coordenadas!$C$144)^2+(Coordenadas!$D$59-Coordenadas!$D$144)^2)&lt;=LEEME!$B$20,EXP(-LEEME!$B$19*SQRT((Coordenadas!$C$59-Coordenadas!$C$144)^2+(Coordenadas!$D$59-Coordenadas!$D$144)^2)),0)</f>
        <v>0.42276883866796888</v>
      </c>
    </row>
    <row r="170" spans="1:3">
      <c r="A170" t="s">
        <v>106</v>
      </c>
      <c r="B170" t="s">
        <v>204</v>
      </c>
      <c r="C170" s="20">
        <f>IF(SQRT((Coordenadas!$C$59-Coordenadas!$C$155)^2+(Coordenadas!$D$59-Coordenadas!$D$155)^2)&lt;=LEEME!$B$20,EXP(-LEEME!$B$19*SQRT((Coordenadas!$C$59-Coordenadas!$C$155)^2+(Coordenadas!$D$59-Coordenadas!$D$155)^2)),0)</f>
        <v>0.53414043708369319</v>
      </c>
    </row>
    <row r="171" spans="1:3">
      <c r="A171" t="s">
        <v>106</v>
      </c>
      <c r="B171" t="s">
        <v>211</v>
      </c>
      <c r="C171" s="20">
        <f>IF(SQRT((Coordenadas!$C$59-Coordenadas!$C$162)^2+(Coordenadas!$D$59-Coordenadas!$D$162)^2)&lt;=LEEME!$B$20,EXP(-LEEME!$B$19*SQRT((Coordenadas!$C$59-Coordenadas!$C$162)^2+(Coordenadas!$D$59-Coordenadas!$D$162)^2)),0)</f>
        <v>0.88897512658032818</v>
      </c>
    </row>
    <row r="172" spans="1:3">
      <c r="A172" t="s">
        <v>106</v>
      </c>
      <c r="B172" t="s">
        <v>212</v>
      </c>
      <c r="C172" s="20">
        <f>IF(SQRT((Coordenadas!$C$59-Coordenadas!$C$163)^2+(Coordenadas!$D$59-Coordenadas!$D$163)^2)&lt;=LEEME!$B$20,EXP(-LEEME!$B$19*SQRT((Coordenadas!$C$59-Coordenadas!$C$163)^2+(Coordenadas!$D$59-Coordenadas!$D$163)^2)),0)</f>
        <v>0.38469130001053015</v>
      </c>
    </row>
    <row r="173" spans="1:3">
      <c r="A173" t="s">
        <v>107</v>
      </c>
      <c r="B173" t="s">
        <v>197</v>
      </c>
      <c r="C173" s="20">
        <f>IF(SQRT((Coordenadas!$C$60-Coordenadas!$C$148)^2+(Coordenadas!$D$60-Coordenadas!$D$148)^2)&lt;=LEEME!$B$20,EXP(-LEEME!$B$19*SQRT((Coordenadas!$C$60-Coordenadas!$C$148)^2+(Coordenadas!$D$60-Coordenadas!$D$148)^2)),0)</f>
        <v>0.37100987452720857</v>
      </c>
    </row>
    <row r="174" spans="1:3">
      <c r="A174" t="s">
        <v>107</v>
      </c>
      <c r="B174" t="s">
        <v>202</v>
      </c>
      <c r="C174" s="20">
        <f>IF(SQRT((Coordenadas!$C$60-Coordenadas!$C$153)^2+(Coordenadas!$D$60-Coordenadas!$D$153)^2)&lt;=LEEME!$B$20,EXP(-LEEME!$B$19*SQRT((Coordenadas!$C$60-Coordenadas!$C$153)^2+(Coordenadas!$D$60-Coordenadas!$D$153)^2)),0)</f>
        <v>0.38133391429539026</v>
      </c>
    </row>
    <row r="175" spans="1:3">
      <c r="A175" t="s">
        <v>107</v>
      </c>
      <c r="B175" t="s">
        <v>204</v>
      </c>
      <c r="C175" s="20">
        <f>IF(SQRT((Coordenadas!$C$60-Coordenadas!$C$155)^2+(Coordenadas!$D$60-Coordenadas!$D$155)^2)&lt;=LEEME!$B$20,EXP(-LEEME!$B$19*SQRT((Coordenadas!$C$60-Coordenadas!$C$155)^2+(Coordenadas!$D$60-Coordenadas!$D$155)^2)),0)</f>
        <v>0.44485120124769229</v>
      </c>
    </row>
    <row r="176" spans="1:3">
      <c r="A176" t="s">
        <v>107</v>
      </c>
      <c r="B176" t="s">
        <v>206</v>
      </c>
      <c r="C176" s="20">
        <f>IF(SQRT((Coordenadas!$C$60-Coordenadas!$C$157)^2+(Coordenadas!$D$60-Coordenadas!$D$157)^2)&lt;=LEEME!$B$20,EXP(-LEEME!$B$19*SQRT((Coordenadas!$C$60-Coordenadas!$C$157)^2+(Coordenadas!$D$60-Coordenadas!$D$157)^2)),0)</f>
        <v>0.96526235989154485</v>
      </c>
    </row>
    <row r="177" spans="1:3">
      <c r="A177" t="s">
        <v>107</v>
      </c>
      <c r="B177" t="s">
        <v>212</v>
      </c>
      <c r="C177" s="20">
        <f>IF(SQRT((Coordenadas!$C$60-Coordenadas!$C$163)^2+(Coordenadas!$D$60-Coordenadas!$D$163)^2)&lt;=LEEME!$B$20,EXP(-LEEME!$B$19*SQRT((Coordenadas!$C$60-Coordenadas!$C$163)^2+(Coordenadas!$D$60-Coordenadas!$D$163)^2)),0)</f>
        <v>0.4915922698200697</v>
      </c>
    </row>
    <row r="178" spans="1:3">
      <c r="A178" t="s">
        <v>108</v>
      </c>
      <c r="B178" t="s">
        <v>197</v>
      </c>
      <c r="C178" s="20">
        <f>IF(SQRT((Coordenadas!$C$61-Coordenadas!$C$148)^2+(Coordenadas!$D$61-Coordenadas!$D$148)^2)&lt;=LEEME!$B$20,EXP(-LEEME!$B$19*SQRT((Coordenadas!$C$61-Coordenadas!$C$148)^2+(Coordenadas!$D$61-Coordenadas!$D$148)^2)),0)</f>
        <v>0.51676325371210785</v>
      </c>
    </row>
    <row r="179" spans="1:3">
      <c r="A179" t="s">
        <v>108</v>
      </c>
      <c r="B179" t="s">
        <v>206</v>
      </c>
      <c r="C179" s="20">
        <f>IF(SQRT((Coordenadas!$C$61-Coordenadas!$C$157)^2+(Coordenadas!$D$61-Coordenadas!$D$157)^2)&lt;=LEEME!$B$20,EXP(-LEEME!$B$19*SQRT((Coordenadas!$C$61-Coordenadas!$C$157)^2+(Coordenadas!$D$61-Coordenadas!$D$157)^2)),0)</f>
        <v>0.7163820953763953</v>
      </c>
    </row>
    <row r="180" spans="1:3">
      <c r="A180" t="s">
        <v>108</v>
      </c>
      <c r="B180" t="s">
        <v>207</v>
      </c>
      <c r="C180" s="20">
        <f>IF(SQRT((Coordenadas!$C$61-Coordenadas!$C$158)^2+(Coordenadas!$D$61-Coordenadas!$D$158)^2)&lt;=LEEME!$B$20,EXP(-LEEME!$B$19*SQRT((Coordenadas!$C$61-Coordenadas!$C$158)^2+(Coordenadas!$D$61-Coordenadas!$D$158)^2)),0)</f>
        <v>0.38687337606717098</v>
      </c>
    </row>
    <row r="181" spans="1:3">
      <c r="A181" t="s">
        <v>108</v>
      </c>
      <c r="B181" t="s">
        <v>212</v>
      </c>
      <c r="C181" s="20">
        <f>IF(SQRT((Coordenadas!$C$61-Coordenadas!$C$163)^2+(Coordenadas!$D$61-Coordenadas!$D$163)^2)&lt;=LEEME!$B$20,EXP(-LEEME!$B$19*SQRT((Coordenadas!$C$61-Coordenadas!$C$163)^2+(Coordenadas!$D$61-Coordenadas!$D$163)^2)),0)</f>
        <v>0.38760809344032909</v>
      </c>
    </row>
    <row r="182" spans="1:3">
      <c r="A182" t="s">
        <v>109</v>
      </c>
      <c r="B182" t="s">
        <v>194</v>
      </c>
      <c r="C182" s="20">
        <f>IF(SQRT((Coordenadas!$C$62-Coordenadas!$C$145)^2+(Coordenadas!$D$62-Coordenadas!$D$145)^2)&lt;=LEEME!$B$20,EXP(-LEEME!$B$19*SQRT((Coordenadas!$C$62-Coordenadas!$C$145)^2+(Coordenadas!$D$62-Coordenadas!$D$145)^2)),0)</f>
        <v>0.39650998614972327</v>
      </c>
    </row>
    <row r="183" spans="1:3">
      <c r="A183" t="s">
        <v>109</v>
      </c>
      <c r="B183" t="s">
        <v>197</v>
      </c>
      <c r="C183" s="20">
        <f>IF(SQRT((Coordenadas!$C$62-Coordenadas!$C$148)^2+(Coordenadas!$D$62-Coordenadas!$D$148)^2)&lt;=LEEME!$B$20,EXP(-LEEME!$B$19*SQRT((Coordenadas!$C$62-Coordenadas!$C$148)^2+(Coordenadas!$D$62-Coordenadas!$D$148)^2)),0)</f>
        <v>0.66435971641101343</v>
      </c>
    </row>
    <row r="184" spans="1:3">
      <c r="A184" t="s">
        <v>109</v>
      </c>
      <c r="B184" t="s">
        <v>206</v>
      </c>
      <c r="C184" s="20">
        <f>IF(SQRT((Coordenadas!$C$62-Coordenadas!$C$157)^2+(Coordenadas!$D$62-Coordenadas!$D$157)^2)&lt;=LEEME!$B$20,EXP(-LEEME!$B$19*SQRT((Coordenadas!$C$62-Coordenadas!$C$157)^2+(Coordenadas!$D$62-Coordenadas!$D$157)^2)),0)</f>
        <v>0.54301711259463958</v>
      </c>
    </row>
    <row r="185" spans="1:3">
      <c r="A185" t="s">
        <v>109</v>
      </c>
      <c r="B185" t="s">
        <v>207</v>
      </c>
      <c r="C185" s="20">
        <f>IF(SQRT((Coordenadas!$C$62-Coordenadas!$C$158)^2+(Coordenadas!$D$62-Coordenadas!$D$158)^2)&lt;=LEEME!$B$20,EXP(-LEEME!$B$19*SQRT((Coordenadas!$C$62-Coordenadas!$C$158)^2+(Coordenadas!$D$62-Coordenadas!$D$158)^2)),0)</f>
        <v>0.40942540235687108</v>
      </c>
    </row>
    <row r="186" spans="1:3">
      <c r="A186" t="s">
        <v>110</v>
      </c>
      <c r="B186" t="s">
        <v>197</v>
      </c>
      <c r="C186" s="20">
        <f>IF(SQRT((Coordenadas!$C$63-Coordenadas!$C$148)^2+(Coordenadas!$D$63-Coordenadas!$D$148)^2)&lt;=LEEME!$B$20,EXP(-LEEME!$B$19*SQRT((Coordenadas!$C$63-Coordenadas!$C$148)^2+(Coordenadas!$D$63-Coordenadas!$D$148)^2)),0)</f>
        <v>0.76953892826180936</v>
      </c>
    </row>
    <row r="187" spans="1:3">
      <c r="A187" t="s">
        <v>110</v>
      </c>
      <c r="B187" t="s">
        <v>206</v>
      </c>
      <c r="C187" s="20">
        <f>IF(SQRT((Coordenadas!$C$63-Coordenadas!$C$157)^2+(Coordenadas!$D$63-Coordenadas!$D$157)^2)&lt;=LEEME!$B$20,EXP(-LEEME!$B$19*SQRT((Coordenadas!$C$63-Coordenadas!$C$157)^2+(Coordenadas!$D$63-Coordenadas!$D$157)^2)),0)</f>
        <v>0.47466262454968822</v>
      </c>
    </row>
    <row r="188" spans="1:3">
      <c r="A188" t="s">
        <v>110</v>
      </c>
      <c r="B188" t="s">
        <v>207</v>
      </c>
      <c r="C188" s="20">
        <f>IF(SQRT((Coordenadas!$C$63-Coordenadas!$C$158)^2+(Coordenadas!$D$63-Coordenadas!$D$158)^2)&lt;=LEEME!$B$20,EXP(-LEEME!$B$19*SQRT((Coordenadas!$C$63-Coordenadas!$C$158)^2+(Coordenadas!$D$63-Coordenadas!$D$158)^2)),0)</f>
        <v>0.51800967727448333</v>
      </c>
    </row>
    <row r="189" spans="1:3">
      <c r="A189" t="s">
        <v>111</v>
      </c>
      <c r="B189" t="s">
        <v>194</v>
      </c>
      <c r="C189" s="20">
        <f>IF(SQRT((Coordenadas!$C$64-Coordenadas!$C$145)^2+(Coordenadas!$D$64-Coordenadas!$D$145)^2)&lt;=LEEME!$B$20,EXP(-LEEME!$B$19*SQRT((Coordenadas!$C$64-Coordenadas!$C$145)^2+(Coordenadas!$D$64-Coordenadas!$D$145)^2)),0)</f>
        <v>0.42727669931182594</v>
      </c>
    </row>
    <row r="190" spans="1:3">
      <c r="A190" t="s">
        <v>111</v>
      </c>
      <c r="B190" t="s">
        <v>197</v>
      </c>
      <c r="C190" s="20">
        <f>IF(SQRT((Coordenadas!$C$64-Coordenadas!$C$148)^2+(Coordenadas!$D$64-Coordenadas!$D$148)^2)&lt;=LEEME!$B$20,EXP(-LEEME!$B$19*SQRT((Coordenadas!$C$64-Coordenadas!$C$148)^2+(Coordenadas!$D$64-Coordenadas!$D$148)^2)),0)</f>
        <v>0.89747811953603596</v>
      </c>
    </row>
    <row r="191" spans="1:3">
      <c r="A191" t="s">
        <v>111</v>
      </c>
      <c r="B191" t="s">
        <v>207</v>
      </c>
      <c r="C191" s="20">
        <f>IF(SQRT((Coordenadas!$C$64-Coordenadas!$C$158)^2+(Coordenadas!$D$64-Coordenadas!$D$158)^2)&lt;=LEEME!$B$20,EXP(-LEEME!$B$19*SQRT((Coordenadas!$C$64-Coordenadas!$C$158)^2+(Coordenadas!$D$64-Coordenadas!$D$158)^2)),0)</f>
        <v>0.43802262876334441</v>
      </c>
    </row>
    <row r="192" spans="1:3">
      <c r="A192" t="s">
        <v>112</v>
      </c>
      <c r="B192" t="s">
        <v>197</v>
      </c>
      <c r="C192" s="20">
        <f>IF(SQRT((Coordenadas!$C$65-Coordenadas!$C$148)^2+(Coordenadas!$D$65-Coordenadas!$D$148)^2)&lt;=LEEME!$B$20,EXP(-LEEME!$B$19*SQRT((Coordenadas!$C$65-Coordenadas!$C$148)^2+(Coordenadas!$D$65-Coordenadas!$D$148)^2)),0)</f>
        <v>0.86186150569548503</v>
      </c>
    </row>
    <row r="193" spans="1:3">
      <c r="A193" t="s">
        <v>112</v>
      </c>
      <c r="B193" t="s">
        <v>207</v>
      </c>
      <c r="C193" s="20">
        <f>IF(SQRT((Coordenadas!$C$65-Coordenadas!$C$158)^2+(Coordenadas!$D$65-Coordenadas!$D$158)^2)&lt;=LEEME!$B$20,EXP(-LEEME!$B$19*SQRT((Coordenadas!$C$65-Coordenadas!$C$158)^2+(Coordenadas!$D$65-Coordenadas!$D$158)^2)),0)</f>
        <v>0.52389123113014857</v>
      </c>
    </row>
    <row r="194" spans="1:3">
      <c r="A194" t="s">
        <v>113</v>
      </c>
      <c r="B194" t="s">
        <v>197</v>
      </c>
      <c r="C194" s="20">
        <f>IF(SQRT((Coordenadas!$C$66-Coordenadas!$C$148)^2+(Coordenadas!$D$66-Coordenadas!$D$148)^2)&lt;=LEEME!$B$20,EXP(-LEEME!$B$19*SQRT((Coordenadas!$C$66-Coordenadas!$C$148)^2+(Coordenadas!$D$66-Coordenadas!$D$148)^2)),0)</f>
        <v>0.55601360250254861</v>
      </c>
    </row>
    <row r="195" spans="1:3">
      <c r="A195" t="s">
        <v>113</v>
      </c>
      <c r="B195" t="s">
        <v>206</v>
      </c>
      <c r="C195" s="20">
        <f>IF(SQRT((Coordenadas!$C$66-Coordenadas!$C$157)^2+(Coordenadas!$D$66-Coordenadas!$D$157)^2)&lt;=LEEME!$B$20,EXP(-LEEME!$B$19*SQRT((Coordenadas!$C$66-Coordenadas!$C$157)^2+(Coordenadas!$D$66-Coordenadas!$D$157)^2)),0)</f>
        <v>0.63766357857903178</v>
      </c>
    </row>
    <row r="196" spans="1:3">
      <c r="A196" t="s">
        <v>113</v>
      </c>
      <c r="B196" t="s">
        <v>207</v>
      </c>
      <c r="C196" s="20">
        <f>IF(SQRT((Coordenadas!$C$66-Coordenadas!$C$158)^2+(Coordenadas!$D$66-Coordenadas!$D$158)^2)&lt;=LEEME!$B$20,EXP(-LEEME!$B$19*SQRT((Coordenadas!$C$66-Coordenadas!$C$158)^2+(Coordenadas!$D$66-Coordenadas!$D$158)^2)),0)</f>
        <v>0.47930168984699928</v>
      </c>
    </row>
    <row r="197" spans="1:3">
      <c r="A197" t="s">
        <v>113</v>
      </c>
      <c r="B197" t="s">
        <v>209</v>
      </c>
      <c r="C197" s="20">
        <f>IF(SQRT((Coordenadas!$C$66-Coordenadas!$C$160)^2+(Coordenadas!$D$66-Coordenadas!$D$160)^2)&lt;=LEEME!$B$20,EXP(-LEEME!$B$19*SQRT((Coordenadas!$C$66-Coordenadas!$C$160)^2+(Coordenadas!$D$66-Coordenadas!$D$160)^2)),0)</f>
        <v>0.39537215269382842</v>
      </c>
    </row>
    <row r="198" spans="1:3">
      <c r="A198" t="s">
        <v>113</v>
      </c>
      <c r="B198" t="s">
        <v>212</v>
      </c>
      <c r="C198" s="20">
        <f>IF(SQRT((Coordenadas!$C$66-Coordenadas!$C$163)^2+(Coordenadas!$D$66-Coordenadas!$D$163)^2)&lt;=LEEME!$B$20,EXP(-LEEME!$B$19*SQRT((Coordenadas!$C$66-Coordenadas!$C$163)^2+(Coordenadas!$D$66-Coordenadas!$D$163)^2)),0)</f>
        <v>0.39811877603120843</v>
      </c>
    </row>
    <row r="199" spans="1:3">
      <c r="A199" t="s">
        <v>114</v>
      </c>
      <c r="B199" t="s">
        <v>194</v>
      </c>
      <c r="C199" s="20">
        <f>IF(SQRT((Coordenadas!$C$67-Coordenadas!$C$145)^2+(Coordenadas!$D$67-Coordenadas!$D$145)^2)&lt;=LEEME!$B$20,EXP(-LEEME!$B$19*SQRT((Coordenadas!$C$67-Coordenadas!$C$145)^2+(Coordenadas!$D$67-Coordenadas!$D$145)^2)),0)</f>
        <v>0.39959416366144968</v>
      </c>
    </row>
    <row r="200" spans="1:3">
      <c r="A200" t="s">
        <v>114</v>
      </c>
      <c r="B200" t="s">
        <v>197</v>
      </c>
      <c r="C200" s="20">
        <f>IF(SQRT((Coordenadas!$C$67-Coordenadas!$C$148)^2+(Coordenadas!$D$67-Coordenadas!$D$148)^2)&lt;=LEEME!$B$20,EXP(-LEEME!$B$19*SQRT((Coordenadas!$C$67-Coordenadas!$C$148)^2+(Coordenadas!$D$67-Coordenadas!$D$148)^2)),0)</f>
        <v>0.90304726000651847</v>
      </c>
    </row>
    <row r="201" spans="1:3">
      <c r="A201" t="s">
        <v>114</v>
      </c>
      <c r="B201" t="s">
        <v>206</v>
      </c>
      <c r="C201" s="20">
        <f>IF(SQRT((Coordenadas!$C$67-Coordenadas!$C$157)^2+(Coordenadas!$D$67-Coordenadas!$D$157)^2)&lt;=LEEME!$B$20,EXP(-LEEME!$B$19*SQRT((Coordenadas!$C$67-Coordenadas!$C$157)^2+(Coordenadas!$D$67-Coordenadas!$D$157)^2)),0)</f>
        <v>0.40991315559822661</v>
      </c>
    </row>
    <row r="202" spans="1:3">
      <c r="A202" t="s">
        <v>114</v>
      </c>
      <c r="B202" t="s">
        <v>207</v>
      </c>
      <c r="C202" s="20">
        <f>IF(SQRT((Coordenadas!$C$67-Coordenadas!$C$158)^2+(Coordenadas!$D$67-Coordenadas!$D$158)^2)&lt;=LEEME!$B$20,EXP(-LEEME!$B$19*SQRT((Coordenadas!$C$67-Coordenadas!$C$158)^2+(Coordenadas!$D$67-Coordenadas!$D$158)^2)),0)</f>
        <v>0.4710404076939807</v>
      </c>
    </row>
    <row r="203" spans="1:3">
      <c r="A203" t="s">
        <v>115</v>
      </c>
      <c r="B203" t="s">
        <v>197</v>
      </c>
      <c r="C203" s="20">
        <f>IF(SQRT((Coordenadas!$C$68-Coordenadas!$C$148)^2+(Coordenadas!$D$68-Coordenadas!$D$148)^2)&lt;=LEEME!$B$20,EXP(-LEEME!$B$19*SQRT((Coordenadas!$C$68-Coordenadas!$C$148)^2+(Coordenadas!$D$68-Coordenadas!$D$148)^2)),0)</f>
        <v>0.39621017809459858</v>
      </c>
    </row>
    <row r="204" spans="1:3">
      <c r="A204" t="s">
        <v>115</v>
      </c>
      <c r="B204" t="s">
        <v>202</v>
      </c>
      <c r="C204" s="20">
        <f>IF(SQRT((Coordenadas!$C$68-Coordenadas!$C$153)^2+(Coordenadas!$D$68-Coordenadas!$D$153)^2)&lt;=LEEME!$B$20,EXP(-LEEME!$B$19*SQRT((Coordenadas!$C$68-Coordenadas!$C$153)^2+(Coordenadas!$D$68-Coordenadas!$D$153)^2)),0)</f>
        <v>0.45123362084360008</v>
      </c>
    </row>
    <row r="205" spans="1:3">
      <c r="A205" t="s">
        <v>115</v>
      </c>
      <c r="B205" t="s">
        <v>204</v>
      </c>
      <c r="C205" s="20">
        <f>IF(SQRT((Coordenadas!$C$68-Coordenadas!$C$155)^2+(Coordenadas!$D$68-Coordenadas!$D$155)^2)&lt;=LEEME!$B$20,EXP(-LEEME!$B$19*SQRT((Coordenadas!$C$68-Coordenadas!$C$155)^2+(Coordenadas!$D$68-Coordenadas!$D$155)^2)),0)</f>
        <v>0.37177854104617414</v>
      </c>
    </row>
    <row r="206" spans="1:3">
      <c r="A206" t="s">
        <v>115</v>
      </c>
      <c r="B206" t="s">
        <v>206</v>
      </c>
      <c r="C206" s="20">
        <f>IF(SQRT((Coordenadas!$C$68-Coordenadas!$C$157)^2+(Coordenadas!$D$68-Coordenadas!$D$157)^2)&lt;=LEEME!$B$20,EXP(-LEEME!$B$19*SQRT((Coordenadas!$C$68-Coordenadas!$C$157)^2+(Coordenadas!$D$68-Coordenadas!$D$157)^2)),0)</f>
        <v>0.69918441356478356</v>
      </c>
    </row>
    <row r="207" spans="1:3">
      <c r="A207" t="s">
        <v>116</v>
      </c>
      <c r="B207" t="s">
        <v>194</v>
      </c>
      <c r="C207" s="20">
        <f>IF(SQRT((Coordenadas!$C$69-Coordenadas!$C$145)^2+(Coordenadas!$D$69-Coordenadas!$D$145)^2)&lt;=LEEME!$B$20,EXP(-LEEME!$B$19*SQRT((Coordenadas!$C$69-Coordenadas!$C$145)^2+(Coordenadas!$D$69-Coordenadas!$D$145)^2)),0)</f>
        <v>0.52195544252702641</v>
      </c>
    </row>
    <row r="208" spans="1:3">
      <c r="A208" t="s">
        <v>116</v>
      </c>
      <c r="B208" t="s">
        <v>197</v>
      </c>
      <c r="C208" s="20">
        <f>IF(SQRT((Coordenadas!$C$69-Coordenadas!$C$148)^2+(Coordenadas!$D$69-Coordenadas!$D$148)^2)&lt;=LEEME!$B$20,EXP(-LEEME!$B$19*SQRT((Coordenadas!$C$69-Coordenadas!$C$148)^2+(Coordenadas!$D$69-Coordenadas!$D$148)^2)),0)</f>
        <v>0.65954631922929463</v>
      </c>
    </row>
    <row r="209" spans="1:3">
      <c r="A209" t="s">
        <v>116</v>
      </c>
      <c r="B209" t="s">
        <v>206</v>
      </c>
      <c r="C209" s="20">
        <f>IF(SQRT((Coordenadas!$C$69-Coordenadas!$C$157)^2+(Coordenadas!$D$69-Coordenadas!$D$157)^2)&lt;=LEEME!$B$20,EXP(-LEEME!$B$19*SQRT((Coordenadas!$C$69-Coordenadas!$C$157)^2+(Coordenadas!$D$69-Coordenadas!$D$157)^2)),0)</f>
        <v>0.43371216999962581</v>
      </c>
    </row>
    <row r="210" spans="1:3">
      <c r="A210" t="s">
        <v>117</v>
      </c>
      <c r="B210" t="s">
        <v>194</v>
      </c>
      <c r="C210" s="20">
        <f>IF(SQRT((Coordenadas!$C$70-Coordenadas!$C$145)^2+(Coordenadas!$D$70-Coordenadas!$D$145)^2)&lt;=LEEME!$B$20,EXP(-LEEME!$B$19*SQRT((Coordenadas!$C$70-Coordenadas!$C$145)^2+(Coordenadas!$D$70-Coordenadas!$D$145)^2)),0)</f>
        <v>0.43395243834518205</v>
      </c>
    </row>
    <row r="211" spans="1:3">
      <c r="A211" t="s">
        <v>117</v>
      </c>
      <c r="B211" t="s">
        <v>197</v>
      </c>
      <c r="C211" s="20">
        <f>IF(SQRT((Coordenadas!$C$70-Coordenadas!$C$148)^2+(Coordenadas!$D$70-Coordenadas!$D$148)^2)&lt;=LEEME!$B$20,EXP(-LEEME!$B$19*SQRT((Coordenadas!$C$70-Coordenadas!$C$148)^2+(Coordenadas!$D$70-Coordenadas!$D$148)^2)),0)</f>
        <v>0.52989376534309129</v>
      </c>
    </row>
    <row r="212" spans="1:3">
      <c r="A212" t="s">
        <v>117</v>
      </c>
      <c r="B212" t="s">
        <v>206</v>
      </c>
      <c r="C212" s="20">
        <f>IF(SQRT((Coordenadas!$C$70-Coordenadas!$C$157)^2+(Coordenadas!$D$70-Coordenadas!$D$157)^2)&lt;=LEEME!$B$20,EXP(-LEEME!$B$19*SQRT((Coordenadas!$C$70-Coordenadas!$C$157)^2+(Coordenadas!$D$70-Coordenadas!$D$157)^2)),0)</f>
        <v>0.56756948854896805</v>
      </c>
    </row>
    <row r="213" spans="1:3">
      <c r="A213" t="s">
        <v>118</v>
      </c>
      <c r="B213" t="s">
        <v>194</v>
      </c>
      <c r="C213" s="20">
        <f>IF(SQRT((Coordenadas!$C$71-Coordenadas!$C$145)^2+(Coordenadas!$D$71-Coordenadas!$D$145)^2)&lt;=LEEME!$B$20,EXP(-LEEME!$B$19*SQRT((Coordenadas!$C$71-Coordenadas!$C$145)^2+(Coordenadas!$D$71-Coordenadas!$D$145)^2)),0)</f>
        <v>0.54876590687184945</v>
      </c>
    </row>
    <row r="214" spans="1:3">
      <c r="A214" t="s">
        <v>118</v>
      </c>
      <c r="B214" t="s">
        <v>197</v>
      </c>
      <c r="C214" s="20">
        <f>IF(SQRT((Coordenadas!$C$71-Coordenadas!$C$148)^2+(Coordenadas!$D$71-Coordenadas!$D$148)^2)&lt;=LEEME!$B$20,EXP(-LEEME!$B$19*SQRT((Coordenadas!$C$71-Coordenadas!$C$148)^2+(Coordenadas!$D$71-Coordenadas!$D$148)^2)),0)</f>
        <v>0.71318895787379355</v>
      </c>
    </row>
    <row r="215" spans="1:3">
      <c r="A215" t="s">
        <v>119</v>
      </c>
      <c r="B215" t="s">
        <v>194</v>
      </c>
      <c r="C215" s="20">
        <f>IF(SQRT((Coordenadas!$C$72-Coordenadas!$C$145)^2+(Coordenadas!$D$72-Coordenadas!$D$145)^2)&lt;=LEEME!$B$20,EXP(-LEEME!$B$19*SQRT((Coordenadas!$C$72-Coordenadas!$C$145)^2+(Coordenadas!$D$72-Coordenadas!$D$145)^2)),0)</f>
        <v>0.47696889893470124</v>
      </c>
    </row>
    <row r="216" spans="1:3">
      <c r="A216" t="s">
        <v>119</v>
      </c>
      <c r="B216" t="s">
        <v>197</v>
      </c>
      <c r="C216" s="20">
        <f>IF(SQRT((Coordenadas!$C$72-Coordenadas!$C$148)^2+(Coordenadas!$D$72-Coordenadas!$D$148)^2)&lt;=LEEME!$B$20,EXP(-LEEME!$B$19*SQRT((Coordenadas!$C$72-Coordenadas!$C$148)^2+(Coordenadas!$D$72-Coordenadas!$D$148)^2)),0)</f>
        <v>0.36874599505977368</v>
      </c>
    </row>
    <row r="217" spans="1:3">
      <c r="A217" t="s">
        <v>119</v>
      </c>
      <c r="B217" t="s">
        <v>202</v>
      </c>
      <c r="C217" s="20">
        <f>IF(SQRT((Coordenadas!$C$72-Coordenadas!$C$153)^2+(Coordenadas!$D$72-Coordenadas!$D$153)^2)&lt;=LEEME!$B$20,EXP(-LEEME!$B$19*SQRT((Coordenadas!$C$72-Coordenadas!$C$153)^2+(Coordenadas!$D$72-Coordenadas!$D$153)^2)),0)</f>
        <v>0.45881046192897434</v>
      </c>
    </row>
    <row r="218" spans="1:3">
      <c r="A218" t="s">
        <v>119</v>
      </c>
      <c r="B218" t="s">
        <v>206</v>
      </c>
      <c r="C218" s="20">
        <f>IF(SQRT((Coordenadas!$C$72-Coordenadas!$C$157)^2+(Coordenadas!$D$72-Coordenadas!$D$157)^2)&lt;=LEEME!$B$20,EXP(-LEEME!$B$19*SQRT((Coordenadas!$C$72-Coordenadas!$C$157)^2+(Coordenadas!$D$72-Coordenadas!$D$157)^2)),0)</f>
        <v>0.44435754419165996</v>
      </c>
    </row>
    <row r="219" spans="1:3">
      <c r="A219" t="s">
        <v>120</v>
      </c>
      <c r="B219" t="s">
        <v>194</v>
      </c>
      <c r="C219" s="20">
        <f>IF(SQRT((Coordenadas!$C$73-Coordenadas!$C$145)^2+(Coordenadas!$D$73-Coordenadas!$D$145)^2)&lt;=LEEME!$B$20,EXP(-LEEME!$B$19*SQRT((Coordenadas!$C$73-Coordenadas!$C$145)^2+(Coordenadas!$D$73-Coordenadas!$D$145)^2)),0)</f>
        <v>0.63152395288319829</v>
      </c>
    </row>
    <row r="220" spans="1:3">
      <c r="A220" t="s">
        <v>120</v>
      </c>
      <c r="B220" t="s">
        <v>197</v>
      </c>
      <c r="C220" s="20">
        <f>IF(SQRT((Coordenadas!$C$73-Coordenadas!$C$148)^2+(Coordenadas!$D$73-Coordenadas!$D$148)^2)&lt;=LEEME!$B$20,EXP(-LEEME!$B$19*SQRT((Coordenadas!$C$73-Coordenadas!$C$148)^2+(Coordenadas!$D$73-Coordenadas!$D$148)^2)),0)</f>
        <v>0.41132595844139092</v>
      </c>
    </row>
    <row r="221" spans="1:3">
      <c r="A221" t="s">
        <v>120</v>
      </c>
      <c r="B221" t="s">
        <v>205</v>
      </c>
      <c r="C221" s="20">
        <f>IF(SQRT((Coordenadas!$C$73-Coordenadas!$C$156)^2+(Coordenadas!$D$73-Coordenadas!$D$156)^2)&lt;=LEEME!$B$20,EXP(-LEEME!$B$19*SQRT((Coordenadas!$C$73-Coordenadas!$C$156)^2+(Coordenadas!$D$73-Coordenadas!$D$156)^2)),0)</f>
        <v>0.37797254891545901</v>
      </c>
    </row>
    <row r="222" spans="1:3">
      <c r="A222" t="s">
        <v>120</v>
      </c>
      <c r="B222" t="s">
        <v>206</v>
      </c>
      <c r="C222" s="20">
        <f>IF(SQRT((Coordenadas!$C$73-Coordenadas!$C$157)^2+(Coordenadas!$D$73-Coordenadas!$D$157)^2)&lt;=LEEME!$B$20,EXP(-LEEME!$B$19*SQRT((Coordenadas!$C$73-Coordenadas!$C$157)^2+(Coordenadas!$D$73-Coordenadas!$D$157)^2)),0)</f>
        <v>0.36822465183316322</v>
      </c>
    </row>
    <row r="223" spans="1:3">
      <c r="A223" t="s">
        <v>121</v>
      </c>
      <c r="B223" t="s">
        <v>194</v>
      </c>
      <c r="C223" s="20">
        <f>IF(SQRT((Coordenadas!$C$74-Coordenadas!$C$145)^2+(Coordenadas!$D$74-Coordenadas!$D$145)^2)&lt;=LEEME!$B$20,EXP(-LEEME!$B$19*SQRT((Coordenadas!$C$74-Coordenadas!$C$145)^2+(Coordenadas!$D$74-Coordenadas!$D$145)^2)),0)</f>
        <v>0.62059634423787591</v>
      </c>
    </row>
    <row r="224" spans="1:3">
      <c r="A224" t="s">
        <v>121</v>
      </c>
      <c r="B224" t="s">
        <v>197</v>
      </c>
      <c r="C224" s="20">
        <f>IF(SQRT((Coordenadas!$C$74-Coordenadas!$C$148)^2+(Coordenadas!$D$74-Coordenadas!$D$148)^2)&lt;=LEEME!$B$20,EXP(-LEEME!$B$19*SQRT((Coordenadas!$C$74-Coordenadas!$C$148)^2+(Coordenadas!$D$74-Coordenadas!$D$148)^2)),0)</f>
        <v>0.54283933013842089</v>
      </c>
    </row>
    <row r="225" spans="1:3">
      <c r="A225" t="s">
        <v>121</v>
      </c>
      <c r="B225" t="s">
        <v>206</v>
      </c>
      <c r="C225" s="20">
        <f>IF(SQRT((Coordenadas!$C$74-Coordenadas!$C$157)^2+(Coordenadas!$D$74-Coordenadas!$D$157)^2)&lt;=LEEME!$B$20,EXP(-LEEME!$B$19*SQRT((Coordenadas!$C$74-Coordenadas!$C$157)^2+(Coordenadas!$D$74-Coordenadas!$D$157)^2)),0)</f>
        <v>0.39416697472156759</v>
      </c>
    </row>
    <row r="226" spans="1:3">
      <c r="A226" t="s">
        <v>122</v>
      </c>
      <c r="B226" t="s">
        <v>194</v>
      </c>
      <c r="C226" s="20">
        <f>IF(SQRT((Coordenadas!$C$75-Coordenadas!$C$145)^2+(Coordenadas!$D$75-Coordenadas!$D$145)^2)&lt;=LEEME!$B$20,EXP(-LEEME!$B$19*SQRT((Coordenadas!$C$75-Coordenadas!$C$145)^2+(Coordenadas!$D$75-Coordenadas!$D$145)^2)),0)</f>
        <v>0.4847927305942844</v>
      </c>
    </row>
    <row r="227" spans="1:3">
      <c r="A227" t="s">
        <v>122</v>
      </c>
      <c r="B227" t="s">
        <v>197</v>
      </c>
      <c r="C227" s="20">
        <f>IF(SQRT((Coordenadas!$C$75-Coordenadas!$C$148)^2+(Coordenadas!$D$75-Coordenadas!$D$148)^2)&lt;=LEEME!$B$20,EXP(-LEEME!$B$19*SQRT((Coordenadas!$C$75-Coordenadas!$C$148)^2+(Coordenadas!$D$75-Coordenadas!$D$148)^2)),0)</f>
        <v>0.45585840216741574</v>
      </c>
    </row>
    <row r="228" spans="1:3">
      <c r="A228" t="s">
        <v>122</v>
      </c>
      <c r="B228" t="s">
        <v>202</v>
      </c>
      <c r="C228" s="20">
        <f>IF(SQRT((Coordenadas!$C$75-Coordenadas!$C$153)^2+(Coordenadas!$D$75-Coordenadas!$D$153)^2)&lt;=LEEME!$B$20,EXP(-LEEME!$B$19*SQRT((Coordenadas!$C$75-Coordenadas!$C$153)^2+(Coordenadas!$D$75-Coordenadas!$D$153)^2)),0)</f>
        <v>0.39321146414094199</v>
      </c>
    </row>
    <row r="229" spans="1:3">
      <c r="A229" t="s">
        <v>122</v>
      </c>
      <c r="B229" t="s">
        <v>206</v>
      </c>
      <c r="C229" s="20">
        <f>IF(SQRT((Coordenadas!$C$75-Coordenadas!$C$157)^2+(Coordenadas!$D$75-Coordenadas!$D$157)^2)&lt;=LEEME!$B$20,EXP(-LEEME!$B$19*SQRT((Coordenadas!$C$75-Coordenadas!$C$157)^2+(Coordenadas!$D$75-Coordenadas!$D$157)^2)),0)</f>
        <v>0.4991372907474374</v>
      </c>
    </row>
    <row r="230" spans="1:3">
      <c r="A230" t="s">
        <v>123</v>
      </c>
      <c r="B230" t="s">
        <v>194</v>
      </c>
      <c r="C230" s="20">
        <f>IF(SQRT((Coordenadas!$C$76-Coordenadas!$C$145)^2+(Coordenadas!$D$76-Coordenadas!$D$145)^2)&lt;=LEEME!$B$20,EXP(-LEEME!$B$19*SQRT((Coordenadas!$C$76-Coordenadas!$C$145)^2+(Coordenadas!$D$76-Coordenadas!$D$145)^2)),0)</f>
        <v>0.5448931569700074</v>
      </c>
    </row>
    <row r="231" spans="1:3">
      <c r="A231" t="s">
        <v>123</v>
      </c>
      <c r="B231" t="s">
        <v>197</v>
      </c>
      <c r="C231" s="20">
        <f>IF(SQRT((Coordenadas!$C$76-Coordenadas!$C$148)^2+(Coordenadas!$D$76-Coordenadas!$D$148)^2)&lt;=LEEME!$B$20,EXP(-LEEME!$B$19*SQRT((Coordenadas!$C$76-Coordenadas!$C$148)^2+(Coordenadas!$D$76-Coordenadas!$D$148)^2)),0)</f>
        <v>0.38327217361966348</v>
      </c>
    </row>
    <row r="232" spans="1:3">
      <c r="A232" t="s">
        <v>123</v>
      </c>
      <c r="B232" t="s">
        <v>202</v>
      </c>
      <c r="C232" s="20">
        <f>IF(SQRT((Coordenadas!$C$76-Coordenadas!$C$153)^2+(Coordenadas!$D$76-Coordenadas!$D$153)^2)&lt;=LEEME!$B$20,EXP(-LEEME!$B$19*SQRT((Coordenadas!$C$76-Coordenadas!$C$153)^2+(Coordenadas!$D$76-Coordenadas!$D$153)^2)),0)</f>
        <v>0.40851631127524068</v>
      </c>
    </row>
    <row r="233" spans="1:3">
      <c r="A233" t="s">
        <v>123</v>
      </c>
      <c r="B233" t="s">
        <v>206</v>
      </c>
      <c r="C233" s="20">
        <f>IF(SQRT((Coordenadas!$C$76-Coordenadas!$C$157)^2+(Coordenadas!$D$76-Coordenadas!$D$157)^2)&lt;=LEEME!$B$20,EXP(-LEEME!$B$19*SQRT((Coordenadas!$C$76-Coordenadas!$C$157)^2+(Coordenadas!$D$76-Coordenadas!$D$157)^2)),0)</f>
        <v>0.40220931954644823</v>
      </c>
    </row>
    <row r="234" spans="1:3">
      <c r="A234" t="s">
        <v>124</v>
      </c>
      <c r="B234" t="s">
        <v>194</v>
      </c>
      <c r="C234" s="20">
        <f>IF(SQRT((Coordenadas!$C$77-Coordenadas!$C$145)^2+(Coordenadas!$D$77-Coordenadas!$D$145)^2)&lt;=LEEME!$B$20,EXP(-LEEME!$B$19*SQRT((Coordenadas!$C$77-Coordenadas!$C$145)^2+(Coordenadas!$D$77-Coordenadas!$D$145)^2)),0)</f>
        <v>0.70834869958778557</v>
      </c>
    </row>
    <row r="235" spans="1:3">
      <c r="A235" t="s">
        <v>124</v>
      </c>
      <c r="B235" t="s">
        <v>197</v>
      </c>
      <c r="C235" s="20">
        <f>IF(SQRT((Coordenadas!$C$77-Coordenadas!$C$148)^2+(Coordenadas!$D$77-Coordenadas!$D$148)^2)&lt;=LEEME!$B$20,EXP(-LEEME!$B$19*SQRT((Coordenadas!$C$77-Coordenadas!$C$148)^2+(Coordenadas!$D$77-Coordenadas!$D$148)^2)),0)</f>
        <v>0.43381603394268831</v>
      </c>
    </row>
    <row r="236" spans="1:3">
      <c r="A236" t="s">
        <v>124</v>
      </c>
      <c r="B236" t="s">
        <v>205</v>
      </c>
      <c r="C236" s="20">
        <f>IF(SQRT((Coordenadas!$C$77-Coordenadas!$C$156)^2+(Coordenadas!$D$77-Coordenadas!$D$156)^2)&lt;=LEEME!$B$20,EXP(-LEEME!$B$19*SQRT((Coordenadas!$C$77-Coordenadas!$C$156)^2+(Coordenadas!$D$77-Coordenadas!$D$156)^2)),0)</f>
        <v>0.38719956366799863</v>
      </c>
    </row>
    <row r="237" spans="1:3">
      <c r="A237" t="s">
        <v>125</v>
      </c>
      <c r="B237" t="s">
        <v>202</v>
      </c>
      <c r="C237" s="20">
        <f>IF(SQRT((Coordenadas!$C$78-Coordenadas!$C$153)^2+(Coordenadas!$D$78-Coordenadas!$D$153)^2)&lt;=LEEME!$B$20,EXP(-LEEME!$B$19*SQRT((Coordenadas!$C$78-Coordenadas!$C$153)^2+(Coordenadas!$D$78-Coordenadas!$D$153)^2)),0)</f>
        <v>0.67606126211065798</v>
      </c>
    </row>
    <row r="238" spans="1:3">
      <c r="A238" t="s">
        <v>125</v>
      </c>
      <c r="B238" t="s">
        <v>204</v>
      </c>
      <c r="C238" s="20">
        <f>IF(SQRT((Coordenadas!$C$78-Coordenadas!$C$155)^2+(Coordenadas!$D$78-Coordenadas!$D$155)^2)&lt;=LEEME!$B$20,EXP(-LEEME!$B$19*SQRT((Coordenadas!$C$78-Coordenadas!$C$155)^2+(Coordenadas!$D$78-Coordenadas!$D$155)^2)),0)</f>
        <v>0.38288790045692717</v>
      </c>
    </row>
    <row r="239" spans="1:3">
      <c r="A239" t="s">
        <v>125</v>
      </c>
      <c r="B239" t="s">
        <v>206</v>
      </c>
      <c r="C239" s="20">
        <f>IF(SQRT((Coordenadas!$C$78-Coordenadas!$C$157)^2+(Coordenadas!$D$78-Coordenadas!$D$157)^2)&lt;=LEEME!$B$20,EXP(-LEEME!$B$19*SQRT((Coordenadas!$C$78-Coordenadas!$C$157)^2+(Coordenadas!$D$78-Coordenadas!$D$157)^2)),0)</f>
        <v>0.50276073668064158</v>
      </c>
    </row>
    <row r="240" spans="1:3">
      <c r="A240" t="s">
        <v>126</v>
      </c>
      <c r="B240" t="s">
        <v>194</v>
      </c>
      <c r="C240" s="20">
        <f>IF(SQRT((Coordenadas!$C$79-Coordenadas!$C$145)^2+(Coordenadas!$D$79-Coordenadas!$D$145)^2)&lt;=LEEME!$B$20,EXP(-LEEME!$B$19*SQRT((Coordenadas!$C$79-Coordenadas!$C$145)^2+(Coordenadas!$D$79-Coordenadas!$D$145)^2)),0)</f>
        <v>0.41250443217901439</v>
      </c>
    </row>
    <row r="241" spans="1:3">
      <c r="A241" t="s">
        <v>126</v>
      </c>
      <c r="B241" t="s">
        <v>202</v>
      </c>
      <c r="C241" s="20">
        <f>IF(SQRT((Coordenadas!$C$79-Coordenadas!$C$153)^2+(Coordenadas!$D$79-Coordenadas!$D$153)^2)&lt;=LEEME!$B$20,EXP(-LEEME!$B$19*SQRT((Coordenadas!$C$79-Coordenadas!$C$153)^2+(Coordenadas!$D$79-Coordenadas!$D$153)^2)),0)</f>
        <v>0.54876590687184934</v>
      </c>
    </row>
    <row r="242" spans="1:3">
      <c r="A242" t="s">
        <v>126</v>
      </c>
      <c r="B242" t="s">
        <v>206</v>
      </c>
      <c r="C242" s="20">
        <f>IF(SQRT((Coordenadas!$C$79-Coordenadas!$C$157)^2+(Coordenadas!$D$79-Coordenadas!$D$157)^2)&lt;=LEEME!$B$20,EXP(-LEEME!$B$19*SQRT((Coordenadas!$C$79-Coordenadas!$C$157)^2+(Coordenadas!$D$79-Coordenadas!$D$157)^2)),0)</f>
        <v>0.42159383055623534</v>
      </c>
    </row>
    <row r="243" spans="1:3">
      <c r="A243" t="s">
        <v>127</v>
      </c>
      <c r="B243" t="s">
        <v>194</v>
      </c>
      <c r="C243" s="20">
        <f>IF(SQRT((Coordenadas!$C$80-Coordenadas!$C$145)^2+(Coordenadas!$D$80-Coordenadas!$D$145)^2)&lt;=LEEME!$B$20,EXP(-LEEME!$B$19*SQRT((Coordenadas!$C$80-Coordenadas!$C$145)^2+(Coordenadas!$D$80-Coordenadas!$D$145)^2)),0)</f>
        <v>0.37529195131282295</v>
      </c>
    </row>
    <row r="244" spans="1:3">
      <c r="A244" t="s">
        <v>127</v>
      </c>
      <c r="B244" t="s">
        <v>202</v>
      </c>
      <c r="C244" s="20">
        <f>IF(SQRT((Coordenadas!$C$80-Coordenadas!$C$153)^2+(Coordenadas!$D$80-Coordenadas!$D$153)^2)&lt;=LEEME!$B$20,EXP(-LEEME!$B$19*SQRT((Coordenadas!$C$80-Coordenadas!$C$153)^2+(Coordenadas!$D$80-Coordenadas!$D$153)^2)),0)</f>
        <v>0.50784061394603863</v>
      </c>
    </row>
    <row r="245" spans="1:3">
      <c r="A245" t="s">
        <v>127</v>
      </c>
      <c r="B245" t="s">
        <v>206</v>
      </c>
      <c r="C245" s="20">
        <f>IF(SQRT((Coordenadas!$C$80-Coordenadas!$C$157)^2+(Coordenadas!$D$80-Coordenadas!$D$157)^2)&lt;=LEEME!$B$20,EXP(-LEEME!$B$19*SQRT((Coordenadas!$C$80-Coordenadas!$C$157)^2+(Coordenadas!$D$80-Coordenadas!$D$157)^2)),0)</f>
        <v>0.56992531992089979</v>
      </c>
    </row>
    <row r="246" spans="1:3">
      <c r="A246" t="s">
        <v>128</v>
      </c>
      <c r="B246" t="s">
        <v>194</v>
      </c>
      <c r="C246" s="20">
        <f>IF(SQRT((Coordenadas!$C$81-Coordenadas!$C$145)^2+(Coordenadas!$D$81-Coordenadas!$D$145)^2)&lt;=LEEME!$B$20,EXP(-LEEME!$B$19*SQRT((Coordenadas!$C$81-Coordenadas!$C$145)^2+(Coordenadas!$D$81-Coordenadas!$D$145)^2)),0)</f>
        <v>0.38537711504286598</v>
      </c>
    </row>
    <row r="247" spans="1:3">
      <c r="A247" t="s">
        <v>128</v>
      </c>
      <c r="B247" t="s">
        <v>202</v>
      </c>
      <c r="C247" s="20">
        <f>IF(SQRT((Coordenadas!$C$81-Coordenadas!$C$153)^2+(Coordenadas!$D$81-Coordenadas!$D$153)^2)&lt;=LEEME!$B$20,EXP(-LEEME!$B$19*SQRT((Coordenadas!$C$81-Coordenadas!$C$153)^2+(Coordenadas!$D$81-Coordenadas!$D$153)^2)),0)</f>
        <v>0.55602544375286578</v>
      </c>
    </row>
    <row r="248" spans="1:3">
      <c r="A248" t="s">
        <v>128</v>
      </c>
      <c r="B248" t="s">
        <v>206</v>
      </c>
      <c r="C248" s="20">
        <f>IF(SQRT((Coordenadas!$C$81-Coordenadas!$C$157)^2+(Coordenadas!$D$81-Coordenadas!$D$157)^2)&lt;=LEEME!$B$20,EXP(-LEEME!$B$19*SQRT((Coordenadas!$C$81-Coordenadas!$C$157)^2+(Coordenadas!$D$81-Coordenadas!$D$157)^2)),0)</f>
        <v>0.49078045681870647</v>
      </c>
    </row>
    <row r="249" spans="1:3">
      <c r="A249" t="s">
        <v>129</v>
      </c>
      <c r="B249" t="s">
        <v>202</v>
      </c>
      <c r="C249" s="20">
        <f>IF(SQRT((Coordenadas!$C$82-Coordenadas!$C$153)^2+(Coordenadas!$D$82-Coordenadas!$D$153)^2)&lt;=LEEME!$B$20,EXP(-LEEME!$B$19*SQRT((Coordenadas!$C$82-Coordenadas!$C$153)^2+(Coordenadas!$D$82-Coordenadas!$D$153)^2)),0)</f>
        <v>0.73185722959867805</v>
      </c>
    </row>
    <row r="250" spans="1:3">
      <c r="A250" t="s">
        <v>130</v>
      </c>
      <c r="B250" t="s">
        <v>194</v>
      </c>
      <c r="C250" s="20">
        <f>IF(SQRT((Coordenadas!$C$83-Coordenadas!$C$145)^2+(Coordenadas!$D$83-Coordenadas!$D$145)^2)&lt;=LEEME!$B$20,EXP(-LEEME!$B$19*SQRT((Coordenadas!$C$83-Coordenadas!$C$145)^2+(Coordenadas!$D$83-Coordenadas!$D$145)^2)),0)</f>
        <v>0.63376936391682659</v>
      </c>
    </row>
    <row r="251" spans="1:3">
      <c r="A251" t="s">
        <v>130</v>
      </c>
      <c r="B251" t="s">
        <v>205</v>
      </c>
      <c r="C251" s="20">
        <f>IF(SQRT((Coordenadas!$C$83-Coordenadas!$C$156)^2+(Coordenadas!$D$83-Coordenadas!$D$156)^2)&lt;=LEEME!$B$20,EXP(-LEEME!$B$19*SQRT((Coordenadas!$C$83-Coordenadas!$C$156)^2+(Coordenadas!$D$83-Coordenadas!$D$156)^2)),0)</f>
        <v>0.50028983113821435</v>
      </c>
    </row>
    <row r="252" spans="1:3">
      <c r="A252" t="s">
        <v>131</v>
      </c>
      <c r="B252" t="s">
        <v>194</v>
      </c>
      <c r="C252" s="20">
        <f>IF(SQRT((Coordenadas!$C$84-Coordenadas!$C$145)^2+(Coordenadas!$D$84-Coordenadas!$D$145)^2)&lt;=LEEME!$B$20,EXP(-LEEME!$B$19*SQRT((Coordenadas!$C$84-Coordenadas!$C$145)^2+(Coordenadas!$D$84-Coordenadas!$D$145)^2)),0)</f>
        <v>0.48194200023442985</v>
      </c>
    </row>
    <row r="253" spans="1:3">
      <c r="A253" t="s">
        <v>131</v>
      </c>
      <c r="B253" t="s">
        <v>202</v>
      </c>
      <c r="C253" s="20">
        <f>IF(SQRT((Coordenadas!$C$84-Coordenadas!$C$153)^2+(Coordenadas!$D$84-Coordenadas!$D$153)^2)&lt;=LEEME!$B$20,EXP(-LEEME!$B$19*SQRT((Coordenadas!$C$84-Coordenadas!$C$153)^2+(Coordenadas!$D$84-Coordenadas!$D$153)^2)),0)</f>
        <v>0.44667181953583418</v>
      </c>
    </row>
    <row r="254" spans="1:3">
      <c r="A254" t="s">
        <v>131</v>
      </c>
      <c r="B254" t="s">
        <v>205</v>
      </c>
      <c r="C254" s="20">
        <f>IF(SQRT((Coordenadas!$C$84-Coordenadas!$C$156)^2+(Coordenadas!$D$84-Coordenadas!$D$156)^2)&lt;=LEEME!$B$20,EXP(-LEEME!$B$19*SQRT((Coordenadas!$C$84-Coordenadas!$C$156)^2+(Coordenadas!$D$84-Coordenadas!$D$156)^2)),0)</f>
        <v>0.43732740549340526</v>
      </c>
    </row>
    <row r="255" spans="1:3">
      <c r="A255" t="s">
        <v>132</v>
      </c>
      <c r="B255" t="s">
        <v>194</v>
      </c>
      <c r="C255" s="20">
        <f>IF(SQRT((Coordenadas!$C$85-Coordenadas!$C$145)^2+(Coordenadas!$D$85-Coordenadas!$D$145)^2)&lt;=LEEME!$B$20,EXP(-LEEME!$B$19*SQRT((Coordenadas!$C$85-Coordenadas!$C$145)^2+(Coordenadas!$D$85-Coordenadas!$D$145)^2)),0)</f>
        <v>0.38090425614813378</v>
      </c>
    </row>
    <row r="256" spans="1:3">
      <c r="A256" t="s">
        <v>132</v>
      </c>
      <c r="B256" t="s">
        <v>202</v>
      </c>
      <c r="C256" s="20">
        <f>IF(SQRT((Coordenadas!$C$85-Coordenadas!$C$153)^2+(Coordenadas!$D$85-Coordenadas!$D$153)^2)&lt;=LEEME!$B$20,EXP(-LEEME!$B$19*SQRT((Coordenadas!$C$85-Coordenadas!$C$153)^2+(Coordenadas!$D$85-Coordenadas!$D$153)^2)),0)</f>
        <v>0.58196735278387646</v>
      </c>
    </row>
    <row r="257" spans="1:3">
      <c r="A257" t="s">
        <v>133</v>
      </c>
      <c r="B257" t="s">
        <v>194</v>
      </c>
      <c r="C257" s="20">
        <f>IF(SQRT((Coordenadas!$C$86-Coordenadas!$C$145)^2+(Coordenadas!$D$86-Coordenadas!$D$145)^2)&lt;=LEEME!$B$20,EXP(-LEEME!$B$19*SQRT((Coordenadas!$C$86-Coordenadas!$C$145)^2+(Coordenadas!$D$86-Coordenadas!$D$145)^2)),0)</f>
        <v>0.79294441438085184</v>
      </c>
    </row>
    <row r="258" spans="1:3">
      <c r="A258" t="s">
        <v>133</v>
      </c>
      <c r="B258" t="s">
        <v>205</v>
      </c>
      <c r="C258" s="20">
        <f>IF(SQRT((Coordenadas!$C$86-Coordenadas!$C$156)^2+(Coordenadas!$D$86-Coordenadas!$D$156)^2)&lt;=LEEME!$B$20,EXP(-LEEME!$B$19*SQRT((Coordenadas!$C$86-Coordenadas!$C$156)^2+(Coordenadas!$D$86-Coordenadas!$D$156)^2)),0)</f>
        <v>0.52956028569162272</v>
      </c>
    </row>
    <row r="259" spans="1:3">
      <c r="A259" t="s">
        <v>134</v>
      </c>
      <c r="B259" t="s">
        <v>194</v>
      </c>
      <c r="C259" s="20">
        <f>IF(SQRT((Coordenadas!$C$87-Coordenadas!$C$145)^2+(Coordenadas!$D$87-Coordenadas!$D$145)^2)&lt;=LEEME!$B$20,EXP(-LEEME!$B$19*SQRT((Coordenadas!$C$87-Coordenadas!$C$145)^2+(Coordenadas!$D$87-Coordenadas!$D$145)^2)),0)</f>
        <v>0.51167039413041993</v>
      </c>
    </row>
    <row r="260" spans="1:3">
      <c r="A260" t="s">
        <v>134</v>
      </c>
      <c r="B260" t="s">
        <v>202</v>
      </c>
      <c r="C260" s="20">
        <f>IF(SQRT((Coordenadas!$C$87-Coordenadas!$C$153)^2+(Coordenadas!$D$87-Coordenadas!$D$153)^2)&lt;=LEEME!$B$20,EXP(-LEEME!$B$19*SQRT((Coordenadas!$C$87-Coordenadas!$C$153)^2+(Coordenadas!$D$87-Coordenadas!$D$153)^2)),0)</f>
        <v>0.44182631911128756</v>
      </c>
    </row>
    <row r="261" spans="1:3">
      <c r="A261" t="s">
        <v>134</v>
      </c>
      <c r="B261" t="s">
        <v>205</v>
      </c>
      <c r="C261" s="20">
        <f>IF(SQRT((Coordenadas!$C$87-Coordenadas!$C$156)^2+(Coordenadas!$D$87-Coordenadas!$D$156)^2)&lt;=LEEME!$B$20,EXP(-LEEME!$B$19*SQRT((Coordenadas!$C$87-Coordenadas!$C$156)^2+(Coordenadas!$D$87-Coordenadas!$D$156)^2)),0)</f>
        <v>0.40359989465005502</v>
      </c>
    </row>
    <row r="262" spans="1:3">
      <c r="A262" t="s">
        <v>135</v>
      </c>
      <c r="B262" t="s">
        <v>193</v>
      </c>
      <c r="C262" s="20">
        <f>IF(SQRT((Coordenadas!$C$88-Coordenadas!$C$144)^2+(Coordenadas!$D$88-Coordenadas!$D$144)^2)&lt;=LEEME!$B$20,EXP(-LEEME!$B$19*SQRT((Coordenadas!$C$88-Coordenadas!$C$144)^2+(Coordenadas!$D$88-Coordenadas!$D$144)^2)),0)</f>
        <v>0.39774091789409288</v>
      </c>
    </row>
    <row r="263" spans="1:3">
      <c r="A263" t="s">
        <v>135</v>
      </c>
      <c r="B263" t="s">
        <v>198</v>
      </c>
      <c r="C263" s="20">
        <f>IF(SQRT((Coordenadas!$C$88-Coordenadas!$C$149)^2+(Coordenadas!$D$88-Coordenadas!$D$149)^2)&lt;=LEEME!$B$20,EXP(-LEEME!$B$19*SQRT((Coordenadas!$C$88-Coordenadas!$C$149)^2+(Coordenadas!$D$88-Coordenadas!$D$149)^2)),0)</f>
        <v>0.70468808971871333</v>
      </c>
    </row>
    <row r="264" spans="1:3">
      <c r="A264" t="s">
        <v>135</v>
      </c>
      <c r="B264" t="s">
        <v>199</v>
      </c>
      <c r="C264" s="20">
        <f>IF(SQRT((Coordenadas!$C$88-Coordenadas!$C$150)^2+(Coordenadas!$D$88-Coordenadas!$D$150)^2)&lt;=LEEME!$B$20,EXP(-LEEME!$B$19*SQRT((Coordenadas!$C$88-Coordenadas!$C$150)^2+(Coordenadas!$D$88-Coordenadas!$D$150)^2)),0)</f>
        <v>0.55044164208280777</v>
      </c>
    </row>
    <row r="265" spans="1:3">
      <c r="A265" t="s">
        <v>135</v>
      </c>
      <c r="B265" t="s">
        <v>203</v>
      </c>
      <c r="C265" s="20">
        <f>IF(SQRT((Coordenadas!$C$88-Coordenadas!$C$154)^2+(Coordenadas!$D$88-Coordenadas!$D$154)^2)&lt;=LEEME!$B$20,EXP(-LEEME!$B$19*SQRT((Coordenadas!$C$88-Coordenadas!$C$154)^2+(Coordenadas!$D$88-Coordenadas!$D$154)^2)),0)</f>
        <v>0.48183473685243661</v>
      </c>
    </row>
    <row r="266" spans="1:3">
      <c r="A266" t="s">
        <v>135</v>
      </c>
      <c r="B266" t="s">
        <v>208</v>
      </c>
      <c r="C266" s="20">
        <f>IF(SQRT((Coordenadas!$C$88-Coordenadas!$C$159)^2+(Coordenadas!$D$88-Coordenadas!$D$159)^2)&lt;=LEEME!$B$20,EXP(-LEEME!$B$19*SQRT((Coordenadas!$C$88-Coordenadas!$C$159)^2+(Coordenadas!$D$88-Coordenadas!$D$159)^2)),0)</f>
        <v>0.45266340739022826</v>
      </c>
    </row>
    <row r="267" spans="1:3">
      <c r="A267" t="s">
        <v>136</v>
      </c>
      <c r="B267" t="s">
        <v>193</v>
      </c>
      <c r="C267" s="20">
        <f>IF(SQRT((Coordenadas!$C$89-Coordenadas!$C$144)^2+(Coordenadas!$D$89-Coordenadas!$D$144)^2)&lt;=LEEME!$B$20,EXP(-LEEME!$B$19*SQRT((Coordenadas!$C$89-Coordenadas!$C$144)^2+(Coordenadas!$D$89-Coordenadas!$D$144)^2)),0)</f>
        <v>0.39617273524340596</v>
      </c>
    </row>
    <row r="268" spans="1:3">
      <c r="A268" t="s">
        <v>136</v>
      </c>
      <c r="B268" t="s">
        <v>198</v>
      </c>
      <c r="C268" s="20">
        <f>IF(SQRT((Coordenadas!$C$89-Coordenadas!$C$149)^2+(Coordenadas!$D$89-Coordenadas!$D$149)^2)&lt;=LEEME!$B$20,EXP(-LEEME!$B$19*SQRT((Coordenadas!$C$89-Coordenadas!$C$149)^2+(Coordenadas!$D$89-Coordenadas!$D$149)^2)),0)</f>
        <v>0.4854046335077733</v>
      </c>
    </row>
    <row r="269" spans="1:3">
      <c r="A269" t="s">
        <v>136</v>
      </c>
      <c r="B269" t="s">
        <v>199</v>
      </c>
      <c r="C269" s="20">
        <f>IF(SQRT((Coordenadas!$C$89-Coordenadas!$C$150)^2+(Coordenadas!$D$89-Coordenadas!$D$150)^2)&lt;=LEEME!$B$20,EXP(-LEEME!$B$19*SQRT((Coordenadas!$C$89-Coordenadas!$C$150)^2+(Coordenadas!$D$89-Coordenadas!$D$150)^2)),0)</f>
        <v>0.37286668429940895</v>
      </c>
    </row>
    <row r="270" spans="1:3">
      <c r="A270" t="s">
        <v>136</v>
      </c>
      <c r="B270" t="s">
        <v>203</v>
      </c>
      <c r="C270" s="20">
        <f>IF(SQRT((Coordenadas!$C$89-Coordenadas!$C$154)^2+(Coordenadas!$D$89-Coordenadas!$D$154)^2)&lt;=LEEME!$B$20,EXP(-LEEME!$B$19*SQRT((Coordenadas!$C$89-Coordenadas!$C$154)^2+(Coordenadas!$D$89-Coordenadas!$D$154)^2)),0)</f>
        <v>0.79209238961561923</v>
      </c>
    </row>
    <row r="271" spans="1:3">
      <c r="A271" t="s">
        <v>136</v>
      </c>
      <c r="B271" t="s">
        <v>208</v>
      </c>
      <c r="C271" s="20">
        <f>IF(SQRT((Coordenadas!$C$89-Coordenadas!$C$159)^2+(Coordenadas!$D$89-Coordenadas!$D$159)^2)&lt;=LEEME!$B$20,EXP(-LEEME!$B$19*SQRT((Coordenadas!$C$89-Coordenadas!$C$159)^2+(Coordenadas!$D$89-Coordenadas!$D$159)^2)),0)</f>
        <v>0.54178689711801953</v>
      </c>
    </row>
    <row r="272" spans="1:3">
      <c r="A272" t="s">
        <v>136</v>
      </c>
      <c r="B272" t="s">
        <v>209</v>
      </c>
      <c r="C272" s="20">
        <f>IF(SQRT((Coordenadas!$C$89-Coordenadas!$C$160)^2+(Coordenadas!$D$89-Coordenadas!$D$160)^2)&lt;=LEEME!$B$20,EXP(-LEEME!$B$19*SQRT((Coordenadas!$C$89-Coordenadas!$C$160)^2+(Coordenadas!$D$89-Coordenadas!$D$160)^2)),0)</f>
        <v>0.46219543770187344</v>
      </c>
    </row>
    <row r="273" spans="1:3">
      <c r="A273" t="s">
        <v>137</v>
      </c>
      <c r="B273" t="s">
        <v>198</v>
      </c>
      <c r="C273" s="20">
        <f>IF(SQRT((Coordenadas!$C$90-Coordenadas!$C$149)^2+(Coordenadas!$D$90-Coordenadas!$D$149)^2)&lt;=LEEME!$B$20,EXP(-LEEME!$B$19*SQRT((Coordenadas!$C$90-Coordenadas!$C$149)^2+(Coordenadas!$D$90-Coordenadas!$D$149)^2)),0)</f>
        <v>0.73115531963806679</v>
      </c>
    </row>
    <row r="274" spans="1:3">
      <c r="A274" t="s">
        <v>137</v>
      </c>
      <c r="B274" t="s">
        <v>199</v>
      </c>
      <c r="C274" s="20">
        <f>IF(SQRT((Coordenadas!$C$90-Coordenadas!$C$150)^2+(Coordenadas!$D$90-Coordenadas!$D$150)^2)&lt;=LEEME!$B$20,EXP(-LEEME!$B$19*SQRT((Coordenadas!$C$90-Coordenadas!$C$150)^2+(Coordenadas!$D$90-Coordenadas!$D$150)^2)),0)</f>
        <v>0.59309640859648749</v>
      </c>
    </row>
    <row r="275" spans="1:3">
      <c r="A275" t="s">
        <v>138</v>
      </c>
      <c r="B275" t="s">
        <v>193</v>
      </c>
      <c r="C275" s="20">
        <f>IF(SQRT((Coordenadas!$C$91-Coordenadas!$C$144)^2+(Coordenadas!$D$91-Coordenadas!$D$144)^2)&lt;=LEEME!$B$20,EXP(-LEEME!$B$19*SQRT((Coordenadas!$C$91-Coordenadas!$C$144)^2+(Coordenadas!$D$91-Coordenadas!$D$144)^2)),0)</f>
        <v>0.42428470710489191</v>
      </c>
    </row>
    <row r="276" spans="1:3">
      <c r="A276" t="s">
        <v>138</v>
      </c>
      <c r="B276" t="s">
        <v>198</v>
      </c>
      <c r="C276" s="20">
        <f>IF(SQRT((Coordenadas!$C$91-Coordenadas!$C$149)^2+(Coordenadas!$D$91-Coordenadas!$D$149)^2)&lt;=LEEME!$B$20,EXP(-LEEME!$B$19*SQRT((Coordenadas!$C$91-Coordenadas!$C$149)^2+(Coordenadas!$D$91-Coordenadas!$D$149)^2)),0)</f>
        <v>0.62947353200546341</v>
      </c>
    </row>
    <row r="277" spans="1:3">
      <c r="A277" t="s">
        <v>138</v>
      </c>
      <c r="B277" t="s">
        <v>199</v>
      </c>
      <c r="C277" s="20">
        <f>IF(SQRT((Coordenadas!$C$91-Coordenadas!$C$150)^2+(Coordenadas!$D$91-Coordenadas!$D$150)^2)&lt;=LEEME!$B$20,EXP(-LEEME!$B$19*SQRT((Coordenadas!$C$91-Coordenadas!$C$150)^2+(Coordenadas!$D$91-Coordenadas!$D$150)^2)),0)</f>
        <v>0.46298300477126558</v>
      </c>
    </row>
    <row r="278" spans="1:3">
      <c r="A278" t="s">
        <v>138</v>
      </c>
      <c r="B278" t="s">
        <v>203</v>
      </c>
      <c r="C278" s="20">
        <f>IF(SQRT((Coordenadas!$C$91-Coordenadas!$C$154)^2+(Coordenadas!$D$91-Coordenadas!$D$154)^2)&lt;=LEEME!$B$20,EXP(-LEEME!$B$19*SQRT((Coordenadas!$C$91-Coordenadas!$C$154)^2+(Coordenadas!$D$91-Coordenadas!$D$154)^2)),0)</f>
        <v>0.59866411682785003</v>
      </c>
    </row>
    <row r="279" spans="1:3">
      <c r="A279" t="s">
        <v>138</v>
      </c>
      <c r="B279" t="s">
        <v>208</v>
      </c>
      <c r="C279" s="20">
        <f>IF(SQRT((Coordenadas!$C$91-Coordenadas!$C$159)^2+(Coordenadas!$D$91-Coordenadas!$D$159)^2)&lt;=LEEME!$B$20,EXP(-LEEME!$B$19*SQRT((Coordenadas!$C$91-Coordenadas!$C$159)^2+(Coordenadas!$D$91-Coordenadas!$D$159)^2)),0)</f>
        <v>0.49351370742294087</v>
      </c>
    </row>
    <row r="280" spans="1:3">
      <c r="A280" t="s">
        <v>138</v>
      </c>
      <c r="B280" t="s">
        <v>209</v>
      </c>
      <c r="C280" s="20">
        <f>IF(SQRT((Coordenadas!$C$91-Coordenadas!$C$160)^2+(Coordenadas!$D$91-Coordenadas!$D$160)^2)&lt;=LEEME!$B$20,EXP(-LEEME!$B$19*SQRT((Coordenadas!$C$91-Coordenadas!$C$160)^2+(Coordenadas!$D$91-Coordenadas!$D$160)^2)),0)</f>
        <v>0.38330714660645504</v>
      </c>
    </row>
    <row r="281" spans="1:3">
      <c r="A281" t="s">
        <v>139</v>
      </c>
      <c r="B281" t="s">
        <v>193</v>
      </c>
      <c r="C281" s="20">
        <f>IF(SQRT((Coordenadas!$C$92-Coordenadas!$C$144)^2+(Coordenadas!$D$92-Coordenadas!$D$144)^2)&lt;=LEEME!$B$20,EXP(-LEEME!$B$19*SQRT((Coordenadas!$C$92-Coordenadas!$C$144)^2+(Coordenadas!$D$92-Coordenadas!$D$144)^2)),0)</f>
        <v>0.39195709209785373</v>
      </c>
    </row>
    <row r="282" spans="1:3">
      <c r="A282" t="s">
        <v>139</v>
      </c>
      <c r="B282" t="s">
        <v>198</v>
      </c>
      <c r="C282" s="20">
        <f>IF(SQRT((Coordenadas!$C$92-Coordenadas!$C$149)^2+(Coordenadas!$D$92-Coordenadas!$D$149)^2)&lt;=LEEME!$B$20,EXP(-LEEME!$B$19*SQRT((Coordenadas!$C$92-Coordenadas!$C$149)^2+(Coordenadas!$D$92-Coordenadas!$D$149)^2)),0)</f>
        <v>0.75294034873072535</v>
      </c>
    </row>
    <row r="283" spans="1:3">
      <c r="A283" t="s">
        <v>139</v>
      </c>
      <c r="B283" t="s">
        <v>199</v>
      </c>
      <c r="C283" s="20">
        <f>IF(SQRT((Coordenadas!$C$92-Coordenadas!$C$150)^2+(Coordenadas!$D$92-Coordenadas!$D$150)^2)&lt;=LEEME!$B$20,EXP(-LEEME!$B$19*SQRT((Coordenadas!$C$92-Coordenadas!$C$150)^2+(Coordenadas!$D$92-Coordenadas!$D$150)^2)),0)</f>
        <v>0.57448642529138449</v>
      </c>
    </row>
    <row r="284" spans="1:3">
      <c r="A284" t="s">
        <v>139</v>
      </c>
      <c r="B284" t="s">
        <v>203</v>
      </c>
      <c r="C284" s="20">
        <f>IF(SQRT((Coordenadas!$C$92-Coordenadas!$C$154)^2+(Coordenadas!$D$92-Coordenadas!$D$154)^2)&lt;=LEEME!$B$20,EXP(-LEEME!$B$19*SQRT((Coordenadas!$C$92-Coordenadas!$C$154)^2+(Coordenadas!$D$92-Coordenadas!$D$154)^2)),0)</f>
        <v>0.42104546816209887</v>
      </c>
    </row>
    <row r="285" spans="1:3">
      <c r="A285" t="s">
        <v>139</v>
      </c>
      <c r="B285" t="s">
        <v>208</v>
      </c>
      <c r="C285" s="20">
        <f>IF(SQRT((Coordenadas!$C$92-Coordenadas!$C$159)^2+(Coordenadas!$D$92-Coordenadas!$D$159)^2)&lt;=LEEME!$B$20,EXP(-LEEME!$B$19*SQRT((Coordenadas!$C$92-Coordenadas!$C$159)^2+(Coordenadas!$D$92-Coordenadas!$D$159)^2)),0)</f>
        <v>0.40319997271086916</v>
      </c>
    </row>
    <row r="286" spans="1:3">
      <c r="A286" t="s">
        <v>140</v>
      </c>
      <c r="B286" t="s">
        <v>198</v>
      </c>
      <c r="C286" s="20">
        <f>IF(SQRT((Coordenadas!$C$93-Coordenadas!$C$149)^2+(Coordenadas!$D$93-Coordenadas!$D$149)^2)&lt;=LEEME!$B$20,EXP(-LEEME!$B$19*SQRT((Coordenadas!$C$93-Coordenadas!$C$149)^2+(Coordenadas!$D$93-Coordenadas!$D$149)^2)),0)</f>
        <v>0.44394709666006776</v>
      </c>
    </row>
    <row r="287" spans="1:3">
      <c r="A287" t="s">
        <v>140</v>
      </c>
      <c r="B287" t="s">
        <v>199</v>
      </c>
      <c r="C287" s="20">
        <f>IF(SQRT((Coordenadas!$C$93-Coordenadas!$C$150)^2+(Coordenadas!$D$93-Coordenadas!$D$150)^2)&lt;=LEEME!$B$20,EXP(-LEEME!$B$19*SQRT((Coordenadas!$C$93-Coordenadas!$C$150)^2+(Coordenadas!$D$93-Coordenadas!$D$150)^2)),0)</f>
        <v>0.4284168795774565</v>
      </c>
    </row>
    <row r="288" spans="1:3">
      <c r="A288" t="s">
        <v>140</v>
      </c>
      <c r="B288" t="s">
        <v>203</v>
      </c>
      <c r="C288" s="20">
        <f>IF(SQRT((Coordenadas!$C$93-Coordenadas!$C$154)^2+(Coordenadas!$D$93-Coordenadas!$D$154)^2)&lt;=LEEME!$B$20,EXP(-LEEME!$B$19*SQRT((Coordenadas!$C$93-Coordenadas!$C$154)^2+(Coordenadas!$D$93-Coordenadas!$D$154)^2)),0)</f>
        <v>0.67259585637634101</v>
      </c>
    </row>
    <row r="289" spans="1:3">
      <c r="A289" t="s">
        <v>140</v>
      </c>
      <c r="B289" t="s">
        <v>208</v>
      </c>
      <c r="C289" s="20">
        <f>IF(SQRT((Coordenadas!$C$93-Coordenadas!$C$159)^2+(Coordenadas!$D$93-Coordenadas!$D$159)^2)&lt;=LEEME!$B$20,EXP(-LEEME!$B$19*SQRT((Coordenadas!$C$93-Coordenadas!$C$159)^2+(Coordenadas!$D$93-Coordenadas!$D$159)^2)),0)</f>
        <v>0.68198120226481573</v>
      </c>
    </row>
    <row r="290" spans="1:3">
      <c r="A290" t="s">
        <v>140</v>
      </c>
      <c r="B290" t="s">
        <v>209</v>
      </c>
      <c r="C290" s="20">
        <f>IF(SQRT((Coordenadas!$C$93-Coordenadas!$C$160)^2+(Coordenadas!$D$93-Coordenadas!$D$160)^2)&lt;=LEEME!$B$20,EXP(-LEEME!$B$19*SQRT((Coordenadas!$C$93-Coordenadas!$C$160)^2+(Coordenadas!$D$93-Coordenadas!$D$160)^2)),0)</f>
        <v>0.37097713663875015</v>
      </c>
    </row>
    <row r="291" spans="1:3">
      <c r="A291" t="s">
        <v>141</v>
      </c>
      <c r="B291" t="s">
        <v>198</v>
      </c>
      <c r="C291" s="20">
        <f>IF(SQRT((Coordenadas!$C$94-Coordenadas!$C$149)^2+(Coordenadas!$D$94-Coordenadas!$D$149)^2)&lt;=LEEME!$B$20,EXP(-LEEME!$B$19*SQRT((Coordenadas!$C$94-Coordenadas!$C$149)^2+(Coordenadas!$D$94-Coordenadas!$D$149)^2)),0)</f>
        <v>0.5109367396502984</v>
      </c>
    </row>
    <row r="292" spans="1:3">
      <c r="A292" t="s">
        <v>141</v>
      </c>
      <c r="B292" t="s">
        <v>199</v>
      </c>
      <c r="C292" s="20">
        <f>IF(SQRT((Coordenadas!$C$94-Coordenadas!$C$150)^2+(Coordenadas!$D$94-Coordenadas!$D$150)^2)&lt;=LEEME!$B$20,EXP(-LEEME!$B$19*SQRT((Coordenadas!$C$94-Coordenadas!$C$150)^2+(Coordenadas!$D$94-Coordenadas!$D$150)^2)),0)</f>
        <v>0.6202551648721929</v>
      </c>
    </row>
    <row r="293" spans="1:3">
      <c r="A293" t="s">
        <v>141</v>
      </c>
      <c r="B293" t="s">
        <v>203</v>
      </c>
      <c r="C293" s="20">
        <f>IF(SQRT((Coordenadas!$C$94-Coordenadas!$C$154)^2+(Coordenadas!$D$94-Coordenadas!$D$154)^2)&lt;=LEEME!$B$20,EXP(-LEEME!$B$19*SQRT((Coordenadas!$C$94-Coordenadas!$C$154)^2+(Coordenadas!$D$94-Coordenadas!$D$154)^2)),0)</f>
        <v>0.47827779386556757</v>
      </c>
    </row>
    <row r="294" spans="1:3">
      <c r="A294" t="s">
        <v>141</v>
      </c>
      <c r="B294" t="s">
        <v>208</v>
      </c>
      <c r="C294" s="20">
        <f>IF(SQRT((Coordenadas!$C$94-Coordenadas!$C$159)^2+(Coordenadas!$D$94-Coordenadas!$D$159)^2)&lt;=LEEME!$B$20,EXP(-LEEME!$B$19*SQRT((Coordenadas!$C$94-Coordenadas!$C$159)^2+(Coordenadas!$D$94-Coordenadas!$D$159)^2)),0)</f>
        <v>0.59763115854930049</v>
      </c>
    </row>
    <row r="295" spans="1:3">
      <c r="A295" t="s">
        <v>142</v>
      </c>
      <c r="B295" t="s">
        <v>198</v>
      </c>
      <c r="C295" s="20">
        <f>IF(SQRT((Coordenadas!$C$95-Coordenadas!$C$149)^2+(Coordenadas!$D$95-Coordenadas!$D$149)^2)&lt;=LEEME!$B$20,EXP(-LEEME!$B$19*SQRT((Coordenadas!$C$95-Coordenadas!$C$149)^2+(Coordenadas!$D$95-Coordenadas!$D$149)^2)),0)</f>
        <v>0.40788419165268802</v>
      </c>
    </row>
    <row r="296" spans="1:3">
      <c r="A296" t="s">
        <v>142</v>
      </c>
      <c r="B296" t="s">
        <v>199</v>
      </c>
      <c r="C296" s="20">
        <f>IF(SQRT((Coordenadas!$C$95-Coordenadas!$C$150)^2+(Coordenadas!$D$95-Coordenadas!$D$150)^2)&lt;=LEEME!$B$20,EXP(-LEEME!$B$19*SQRT((Coordenadas!$C$95-Coordenadas!$C$150)^2+(Coordenadas!$D$95-Coordenadas!$D$150)^2)),0)</f>
        <v>0.83423037178562343</v>
      </c>
    </row>
    <row r="297" spans="1:3">
      <c r="A297" t="s">
        <v>142</v>
      </c>
      <c r="B297" t="s">
        <v>208</v>
      </c>
      <c r="C297" s="20">
        <f>IF(SQRT((Coordenadas!$C$95-Coordenadas!$C$159)^2+(Coordenadas!$D$95-Coordenadas!$D$159)^2)&lt;=LEEME!$B$20,EXP(-LEEME!$B$19*SQRT((Coordenadas!$C$95-Coordenadas!$C$159)^2+(Coordenadas!$D$95-Coordenadas!$D$159)^2)),0)</f>
        <v>0.48509426112768883</v>
      </c>
    </row>
    <row r="298" spans="1:3">
      <c r="A298" t="s">
        <v>143</v>
      </c>
      <c r="B298" t="s">
        <v>198</v>
      </c>
      <c r="C298" s="20">
        <f>IF(SQRT((Coordenadas!$C$96-Coordenadas!$C$149)^2+(Coordenadas!$D$96-Coordenadas!$D$149)^2)&lt;=LEEME!$B$20,EXP(-LEEME!$B$19*SQRT((Coordenadas!$C$96-Coordenadas!$C$149)^2+(Coordenadas!$D$96-Coordenadas!$D$149)^2)),0)</f>
        <v>0.37767656238610131</v>
      </c>
    </row>
    <row r="299" spans="1:3">
      <c r="A299" t="s">
        <v>143</v>
      </c>
      <c r="B299" t="s">
        <v>199</v>
      </c>
      <c r="C299" s="20">
        <f>IF(SQRT((Coordenadas!$C$96-Coordenadas!$C$150)^2+(Coordenadas!$D$96-Coordenadas!$D$150)^2)&lt;=LEEME!$B$20,EXP(-LEEME!$B$19*SQRT((Coordenadas!$C$96-Coordenadas!$C$150)^2+(Coordenadas!$D$96-Coordenadas!$D$150)^2)),0)</f>
        <v>0.58792587428964094</v>
      </c>
    </row>
    <row r="300" spans="1:3">
      <c r="A300" t="s">
        <v>143</v>
      </c>
      <c r="B300" t="s">
        <v>203</v>
      </c>
      <c r="C300" s="20">
        <f>IF(SQRT((Coordenadas!$C$96-Coordenadas!$C$154)^2+(Coordenadas!$D$96-Coordenadas!$D$154)^2)&lt;=LEEME!$B$20,EXP(-LEEME!$B$19*SQRT((Coordenadas!$C$96-Coordenadas!$C$154)^2+(Coordenadas!$D$96-Coordenadas!$D$154)^2)),0)</f>
        <v>0.41553853055404821</v>
      </c>
    </row>
    <row r="301" spans="1:3">
      <c r="A301" t="s">
        <v>143</v>
      </c>
      <c r="B301" t="s">
        <v>208</v>
      </c>
      <c r="C301" s="20">
        <f>IF(SQRT((Coordenadas!$C$96-Coordenadas!$C$159)^2+(Coordenadas!$D$96-Coordenadas!$D$159)^2)&lt;=LEEME!$B$20,EXP(-LEEME!$B$19*SQRT((Coordenadas!$C$96-Coordenadas!$C$159)^2+(Coordenadas!$D$96-Coordenadas!$D$159)^2)),0)</f>
        <v>0.69982052760238622</v>
      </c>
    </row>
    <row r="302" spans="1:3">
      <c r="A302" t="s">
        <v>144</v>
      </c>
      <c r="B302" t="s">
        <v>198</v>
      </c>
      <c r="C302" s="20">
        <f>IF(SQRT((Coordenadas!$C$97-Coordenadas!$C$149)^2+(Coordenadas!$D$97-Coordenadas!$D$149)^2)&lt;=LEEME!$B$20,EXP(-LEEME!$B$19*SQRT((Coordenadas!$C$97-Coordenadas!$C$149)^2+(Coordenadas!$D$97-Coordenadas!$D$149)^2)),0)</f>
        <v>0.58139032981485195</v>
      </c>
    </row>
    <row r="303" spans="1:3">
      <c r="A303" t="s">
        <v>144</v>
      </c>
      <c r="B303" t="s">
        <v>199</v>
      </c>
      <c r="C303" s="20">
        <f>IF(SQRT((Coordenadas!$C$97-Coordenadas!$C$150)^2+(Coordenadas!$D$97-Coordenadas!$D$150)^2)&lt;=LEEME!$B$20,EXP(-LEEME!$B$19*SQRT((Coordenadas!$C$97-Coordenadas!$C$150)^2+(Coordenadas!$D$97-Coordenadas!$D$150)^2)),0)</f>
        <v>0.74733082710582421</v>
      </c>
    </row>
    <row r="304" spans="1:3">
      <c r="A304" t="s">
        <v>144</v>
      </c>
      <c r="B304" t="s">
        <v>208</v>
      </c>
      <c r="C304" s="20">
        <f>IF(SQRT((Coordenadas!$C$97-Coordenadas!$C$159)^2+(Coordenadas!$D$97-Coordenadas!$D$159)^2)&lt;=LEEME!$B$20,EXP(-LEEME!$B$19*SQRT((Coordenadas!$C$97-Coordenadas!$C$159)^2+(Coordenadas!$D$97-Coordenadas!$D$159)^2)),0)</f>
        <v>0.37806969609229424</v>
      </c>
    </row>
    <row r="305" spans="1:3">
      <c r="A305" t="s">
        <v>144</v>
      </c>
      <c r="B305" t="s">
        <v>210</v>
      </c>
      <c r="C305" s="20">
        <f>IF(SQRT((Coordenadas!$C$97-Coordenadas!$C$161)^2+(Coordenadas!$D$97-Coordenadas!$D$161)^2)&lt;=LEEME!$B$20,EXP(-LEEME!$B$19*SQRT((Coordenadas!$C$97-Coordenadas!$C$161)^2+(Coordenadas!$D$97-Coordenadas!$D$161)^2)),0)</f>
        <v>0.39133039738920988</v>
      </c>
    </row>
    <row r="306" spans="1:3">
      <c r="A306" t="s">
        <v>145</v>
      </c>
      <c r="B306" t="s">
        <v>198</v>
      </c>
      <c r="C306" s="20">
        <f>IF(SQRT((Coordenadas!$C$98-Coordenadas!$C$149)^2+(Coordenadas!$D$98-Coordenadas!$D$149)^2)&lt;=LEEME!$B$20,EXP(-LEEME!$B$19*SQRT((Coordenadas!$C$98-Coordenadas!$C$149)^2+(Coordenadas!$D$98-Coordenadas!$D$149)^2)),0)</f>
        <v>0.54317279828487453</v>
      </c>
    </row>
    <row r="307" spans="1:3">
      <c r="A307" t="s">
        <v>145</v>
      </c>
      <c r="B307" t="s">
        <v>199</v>
      </c>
      <c r="C307" s="20">
        <f>IF(SQRT((Coordenadas!$C$98-Coordenadas!$C$150)^2+(Coordenadas!$D$98-Coordenadas!$D$150)^2)&lt;=LEEME!$B$20,EXP(-LEEME!$B$19*SQRT((Coordenadas!$C$98-Coordenadas!$C$150)^2+(Coordenadas!$D$98-Coordenadas!$D$150)^2)),0)</f>
        <v>0.803893244148284</v>
      </c>
    </row>
    <row r="308" spans="1:3">
      <c r="A308" t="s">
        <v>145</v>
      </c>
      <c r="B308" t="s">
        <v>208</v>
      </c>
      <c r="C308" s="20">
        <f>IF(SQRT((Coordenadas!$C$98-Coordenadas!$C$159)^2+(Coordenadas!$D$98-Coordenadas!$D$159)^2)&lt;=LEEME!$B$20,EXP(-LEEME!$B$19*SQRT((Coordenadas!$C$98-Coordenadas!$C$159)^2+(Coordenadas!$D$98-Coordenadas!$D$159)^2)),0)</f>
        <v>0.43922014608136367</v>
      </c>
    </row>
    <row r="309" spans="1:3">
      <c r="A309" t="s">
        <v>146</v>
      </c>
      <c r="B309" t="s">
        <v>199</v>
      </c>
      <c r="C309" s="20">
        <f>IF(SQRT((Coordenadas!$C$99-Coordenadas!$C$150)^2+(Coordenadas!$D$99-Coordenadas!$D$150)^2)&lt;=LEEME!$B$20,EXP(-LEEME!$B$19*SQRT((Coordenadas!$C$99-Coordenadas!$C$150)^2+(Coordenadas!$D$99-Coordenadas!$D$150)^2)),0)</f>
        <v>0.77045957139537347</v>
      </c>
    </row>
    <row r="310" spans="1:3">
      <c r="A310" t="s">
        <v>146</v>
      </c>
      <c r="B310" t="s">
        <v>208</v>
      </c>
      <c r="C310" s="20">
        <f>IF(SQRT((Coordenadas!$C$99-Coordenadas!$C$159)^2+(Coordenadas!$D$99-Coordenadas!$D$159)^2)&lt;=LEEME!$B$20,EXP(-LEEME!$B$19*SQRT((Coordenadas!$C$99-Coordenadas!$C$159)^2+(Coordenadas!$D$99-Coordenadas!$D$159)^2)),0)</f>
        <v>0.38785875564225542</v>
      </c>
    </row>
    <row r="311" spans="1:3">
      <c r="A311" t="s">
        <v>146</v>
      </c>
      <c r="B311" t="s">
        <v>210</v>
      </c>
      <c r="C311" s="20">
        <f>IF(SQRT((Coordenadas!$C$99-Coordenadas!$C$161)^2+(Coordenadas!$D$99-Coordenadas!$D$161)^2)&lt;=LEEME!$B$20,EXP(-LEEME!$B$19*SQRT((Coordenadas!$C$99-Coordenadas!$C$161)^2+(Coordenadas!$D$99-Coordenadas!$D$161)^2)),0)</f>
        <v>0.37500497485521911</v>
      </c>
    </row>
    <row r="312" spans="1:3">
      <c r="A312" t="s">
        <v>147</v>
      </c>
      <c r="B312" t="s">
        <v>198</v>
      </c>
      <c r="C312" s="20">
        <f>IF(SQRT((Coordenadas!$C$100-Coordenadas!$C$149)^2+(Coordenadas!$D$100-Coordenadas!$D$149)^2)&lt;=LEEME!$B$20,EXP(-LEEME!$B$19*SQRT((Coordenadas!$C$100-Coordenadas!$C$149)^2+(Coordenadas!$D$100-Coordenadas!$D$149)^2)),0)</f>
        <v>0.41018913766208637</v>
      </c>
    </row>
    <row r="313" spans="1:3">
      <c r="A313" t="s">
        <v>147</v>
      </c>
      <c r="B313" t="s">
        <v>199</v>
      </c>
      <c r="C313" s="20">
        <f>IF(SQRT((Coordenadas!$C$100-Coordenadas!$C$150)^2+(Coordenadas!$D$100-Coordenadas!$D$150)^2)&lt;=LEEME!$B$20,EXP(-LEEME!$B$19*SQRT((Coordenadas!$C$100-Coordenadas!$C$150)^2+(Coordenadas!$D$100-Coordenadas!$D$150)^2)),0)</f>
        <v>0.92712791968189956</v>
      </c>
    </row>
    <row r="314" spans="1:3">
      <c r="A314" t="s">
        <v>147</v>
      </c>
      <c r="B314" t="s">
        <v>208</v>
      </c>
      <c r="C314" s="20">
        <f>IF(SQRT((Coordenadas!$C$100-Coordenadas!$C$159)^2+(Coordenadas!$D$100-Coordenadas!$D$159)^2)&lt;=LEEME!$B$20,EXP(-LEEME!$B$19*SQRT((Coordenadas!$C$100-Coordenadas!$C$159)^2+(Coordenadas!$D$100-Coordenadas!$D$159)^2)),0)</f>
        <v>0.41605972856926393</v>
      </c>
    </row>
    <row r="315" spans="1:3">
      <c r="A315" t="s">
        <v>147</v>
      </c>
      <c r="B315" t="s">
        <v>210</v>
      </c>
      <c r="C315" s="20">
        <f>IF(SQRT((Coordenadas!$C$100-Coordenadas!$C$161)^2+(Coordenadas!$D$100-Coordenadas!$D$161)^2)&lt;=LEEME!$B$20,EXP(-LEEME!$B$19*SQRT((Coordenadas!$C$100-Coordenadas!$C$161)^2+(Coordenadas!$D$100-Coordenadas!$D$161)^2)),0)</f>
        <v>0.37732780519666809</v>
      </c>
    </row>
    <row r="316" spans="1:3">
      <c r="A316" t="s">
        <v>148</v>
      </c>
      <c r="B316" t="s">
        <v>193</v>
      </c>
      <c r="C316" s="20">
        <f>IF(SQRT((Coordenadas!$C$101-Coordenadas!$C$144)^2+(Coordenadas!$D$101-Coordenadas!$D$144)^2)&lt;=LEEME!$B$20,EXP(-LEEME!$B$19*SQRT((Coordenadas!$C$101-Coordenadas!$C$144)^2+(Coordenadas!$D$101-Coordenadas!$D$144)^2)),0)</f>
        <v>0.9020569344845073</v>
      </c>
    </row>
    <row r="317" spans="1:3">
      <c r="A317" t="s">
        <v>148</v>
      </c>
      <c r="B317" t="s">
        <v>198</v>
      </c>
      <c r="C317" s="20">
        <f>IF(SQRT((Coordenadas!$C$101-Coordenadas!$C$149)^2+(Coordenadas!$D$101-Coordenadas!$D$149)^2)&lt;=LEEME!$B$20,EXP(-LEEME!$B$19*SQRT((Coordenadas!$C$101-Coordenadas!$C$149)^2+(Coordenadas!$D$101-Coordenadas!$D$149)^2)),0)</f>
        <v>0.49544457234611183</v>
      </c>
    </row>
    <row r="318" spans="1:3">
      <c r="A318" t="s">
        <v>148</v>
      </c>
      <c r="B318" t="s">
        <v>203</v>
      </c>
      <c r="C318" s="20">
        <f>IF(SQRT((Coordenadas!$C$101-Coordenadas!$C$154)^2+(Coordenadas!$D$101-Coordenadas!$D$154)^2)&lt;=LEEME!$B$20,EXP(-LEEME!$B$19*SQRT((Coordenadas!$C$101-Coordenadas!$C$154)^2+(Coordenadas!$D$101-Coordenadas!$D$154)^2)),0)</f>
        <v>0.41379560419800177</v>
      </c>
    </row>
    <row r="319" spans="1:3">
      <c r="A319" t="s">
        <v>148</v>
      </c>
      <c r="B319" t="s">
        <v>204</v>
      </c>
      <c r="C319" s="20">
        <f>IF(SQRT((Coordenadas!$C$101-Coordenadas!$C$155)^2+(Coordenadas!$D$101-Coordenadas!$D$155)^2)&lt;=LEEME!$B$20,EXP(-LEEME!$B$19*SQRT((Coordenadas!$C$101-Coordenadas!$C$155)^2+(Coordenadas!$D$101-Coordenadas!$D$155)^2)),0)</f>
        <v>0.39478188229837802</v>
      </c>
    </row>
    <row r="320" spans="1:3">
      <c r="A320" t="s">
        <v>148</v>
      </c>
      <c r="B320" t="s">
        <v>209</v>
      </c>
      <c r="C320" s="20">
        <f>IF(SQRT((Coordenadas!$C$101-Coordenadas!$C$160)^2+(Coordenadas!$D$101-Coordenadas!$D$160)^2)&lt;=LEEME!$B$20,EXP(-LEEME!$B$19*SQRT((Coordenadas!$C$101-Coordenadas!$C$160)^2+(Coordenadas!$D$101-Coordenadas!$D$160)^2)),0)</f>
        <v>0.49306869139523984</v>
      </c>
    </row>
    <row r="321" spans="1:3">
      <c r="A321" t="s">
        <v>148</v>
      </c>
      <c r="B321" t="s">
        <v>211</v>
      </c>
      <c r="C321" s="20">
        <f>IF(SQRT((Coordenadas!$C$101-Coordenadas!$C$162)^2+(Coordenadas!$D$101-Coordenadas!$D$162)^2)&lt;=LEEME!$B$20,EXP(-LEEME!$B$19*SQRT((Coordenadas!$C$101-Coordenadas!$C$162)^2+(Coordenadas!$D$101-Coordenadas!$D$162)^2)),0)</f>
        <v>0.42668090067943515</v>
      </c>
    </row>
    <row r="322" spans="1:3">
      <c r="A322" t="s">
        <v>148</v>
      </c>
      <c r="B322" t="s">
        <v>212</v>
      </c>
      <c r="C322" s="20">
        <f>IF(SQRT((Coordenadas!$C$101-Coordenadas!$C$163)^2+(Coordenadas!$D$101-Coordenadas!$D$163)^2)&lt;=LEEME!$B$20,EXP(-LEEME!$B$19*SQRT((Coordenadas!$C$101-Coordenadas!$C$163)^2+(Coordenadas!$D$101-Coordenadas!$D$163)^2)),0)</f>
        <v>0.69952666347032055</v>
      </c>
    </row>
    <row r="323" spans="1:3">
      <c r="A323" t="s">
        <v>149</v>
      </c>
      <c r="B323" t="s">
        <v>193</v>
      </c>
      <c r="C323" s="20">
        <f>IF(SQRT((Coordenadas!$C$102-Coordenadas!$C$144)^2+(Coordenadas!$D$102-Coordenadas!$D$144)^2)&lt;=LEEME!$B$20,EXP(-LEEME!$B$19*SQRT((Coordenadas!$C$102-Coordenadas!$C$144)^2+(Coordenadas!$D$102-Coordenadas!$D$144)^2)),0)</f>
        <v>0.69823434055330147</v>
      </c>
    </row>
    <row r="324" spans="1:3">
      <c r="A324" t="s">
        <v>149</v>
      </c>
      <c r="B324" t="s">
        <v>198</v>
      </c>
      <c r="C324" s="20">
        <f>IF(SQRT((Coordenadas!$C$102-Coordenadas!$C$149)^2+(Coordenadas!$D$102-Coordenadas!$D$149)^2)&lt;=LEEME!$B$20,EXP(-LEEME!$B$19*SQRT((Coordenadas!$C$102-Coordenadas!$C$149)^2+(Coordenadas!$D$102-Coordenadas!$D$149)^2)),0)</f>
        <v>0.54222937124056991</v>
      </c>
    </row>
    <row r="325" spans="1:3">
      <c r="A325" t="s">
        <v>149</v>
      </c>
      <c r="B325" t="s">
        <v>203</v>
      </c>
      <c r="C325" s="20">
        <f>IF(SQRT((Coordenadas!$C$102-Coordenadas!$C$154)^2+(Coordenadas!$D$102-Coordenadas!$D$154)^2)&lt;=LEEME!$B$20,EXP(-LEEME!$B$19*SQRT((Coordenadas!$C$102-Coordenadas!$C$154)^2+(Coordenadas!$D$102-Coordenadas!$D$154)^2)),0)</f>
        <v>0.54034441571286829</v>
      </c>
    </row>
    <row r="326" spans="1:3">
      <c r="A326" t="s">
        <v>149</v>
      </c>
      <c r="B326" t="s">
        <v>209</v>
      </c>
      <c r="C326" s="20">
        <f>IF(SQRT((Coordenadas!$C$102-Coordenadas!$C$160)^2+(Coordenadas!$D$102-Coordenadas!$D$160)^2)&lt;=LEEME!$B$20,EXP(-LEEME!$B$19*SQRT((Coordenadas!$C$102-Coordenadas!$C$160)^2+(Coordenadas!$D$102-Coordenadas!$D$160)^2)),0)</f>
        <v>0.556025443752866</v>
      </c>
    </row>
    <row r="327" spans="1:3">
      <c r="A327" t="s">
        <v>149</v>
      </c>
      <c r="B327" t="s">
        <v>212</v>
      </c>
      <c r="C327" s="20">
        <f>IF(SQRT((Coordenadas!$C$102-Coordenadas!$C$163)^2+(Coordenadas!$D$102-Coordenadas!$D$163)^2)&lt;=LEEME!$B$20,EXP(-LEEME!$B$19*SQRT((Coordenadas!$C$102-Coordenadas!$C$163)^2+(Coordenadas!$D$102-Coordenadas!$D$163)^2)),0)</f>
        <v>0.55970538878560883</v>
      </c>
    </row>
    <row r="328" spans="1:3">
      <c r="A328" t="s">
        <v>150</v>
      </c>
      <c r="B328" t="s">
        <v>193</v>
      </c>
      <c r="C328" s="20">
        <f>IF(SQRT((Coordenadas!$C$103-Coordenadas!$C$144)^2+(Coordenadas!$D$103-Coordenadas!$D$144)^2)&lt;=LEEME!$B$20,EXP(-LEEME!$B$19*SQRT((Coordenadas!$C$103-Coordenadas!$C$144)^2+(Coordenadas!$D$103-Coordenadas!$D$144)^2)),0)</f>
        <v>0.55175964685515233</v>
      </c>
    </row>
    <row r="329" spans="1:3">
      <c r="A329" t="s">
        <v>150</v>
      </c>
      <c r="B329" t="s">
        <v>198</v>
      </c>
      <c r="C329" s="20">
        <f>IF(SQRT((Coordenadas!$C$103-Coordenadas!$C$149)^2+(Coordenadas!$D$103-Coordenadas!$D$149)^2)&lt;=LEEME!$B$20,EXP(-LEEME!$B$19*SQRT((Coordenadas!$C$103-Coordenadas!$C$149)^2+(Coordenadas!$D$103-Coordenadas!$D$149)^2)),0)</f>
        <v>0.62079156491912857</v>
      </c>
    </row>
    <row r="330" spans="1:3">
      <c r="A330" t="s">
        <v>150</v>
      </c>
      <c r="B330" t="s">
        <v>203</v>
      </c>
      <c r="C330" s="20">
        <f>IF(SQRT((Coordenadas!$C$103-Coordenadas!$C$154)^2+(Coordenadas!$D$103-Coordenadas!$D$154)^2)&lt;=LEEME!$B$20,EXP(-LEEME!$B$19*SQRT((Coordenadas!$C$103-Coordenadas!$C$154)^2+(Coordenadas!$D$103-Coordenadas!$D$154)^2)),0)</f>
        <v>0.62103585848849507</v>
      </c>
    </row>
    <row r="331" spans="1:3">
      <c r="A331" t="s">
        <v>150</v>
      </c>
      <c r="B331" t="s">
        <v>208</v>
      </c>
      <c r="C331" s="20">
        <f>IF(SQRT((Coordenadas!$C$103-Coordenadas!$C$159)^2+(Coordenadas!$D$103-Coordenadas!$D$159)^2)&lt;=LEEME!$B$20,EXP(-LEEME!$B$19*SQRT((Coordenadas!$C$103-Coordenadas!$C$159)^2+(Coordenadas!$D$103-Coordenadas!$D$159)^2)),0)</f>
        <v>0.3943999814463347</v>
      </c>
    </row>
    <row r="332" spans="1:3">
      <c r="A332" t="s">
        <v>150</v>
      </c>
      <c r="B332" t="s">
        <v>209</v>
      </c>
      <c r="C332" s="20">
        <f>IF(SQRT((Coordenadas!$C$103-Coordenadas!$C$160)^2+(Coordenadas!$D$103-Coordenadas!$D$160)^2)&lt;=LEEME!$B$20,EXP(-LEEME!$B$19*SQRT((Coordenadas!$C$103-Coordenadas!$C$160)^2+(Coordenadas!$D$103-Coordenadas!$D$160)^2)),0)</f>
        <v>0.48272757004418665</v>
      </c>
    </row>
    <row r="333" spans="1:3">
      <c r="A333" t="s">
        <v>150</v>
      </c>
      <c r="B333" t="s">
        <v>212</v>
      </c>
      <c r="C333" s="20">
        <f>IF(SQRT((Coordenadas!$C$103-Coordenadas!$C$163)^2+(Coordenadas!$D$103-Coordenadas!$D$163)^2)&lt;=LEEME!$B$20,EXP(-LEEME!$B$19*SQRT((Coordenadas!$C$103-Coordenadas!$C$163)^2+(Coordenadas!$D$103-Coordenadas!$D$163)^2)),0)</f>
        <v>0.42315593180276045</v>
      </c>
    </row>
    <row r="334" spans="1:3">
      <c r="A334" t="s">
        <v>151</v>
      </c>
      <c r="B334" t="s">
        <v>195</v>
      </c>
      <c r="C334" s="20">
        <f>IF(SQRT((Coordenadas!$C$104-Coordenadas!$C$146)^2+(Coordenadas!$D$104-Coordenadas!$D$146)^2)&lt;=LEEME!$B$20,EXP(-LEEME!$B$19*SQRT((Coordenadas!$C$104-Coordenadas!$C$146)^2+(Coordenadas!$D$104-Coordenadas!$D$146)^2)),0)</f>
        <v>0.81420097297146532</v>
      </c>
    </row>
    <row r="335" spans="1:3">
      <c r="A335" t="s">
        <v>151</v>
      </c>
      <c r="B335" t="s">
        <v>202</v>
      </c>
      <c r="C335" s="20">
        <f>IF(SQRT((Coordenadas!$C$104-Coordenadas!$C$153)^2+(Coordenadas!$D$104-Coordenadas!$D$153)^2)&lt;=LEEME!$B$20,EXP(-LEEME!$B$19*SQRT((Coordenadas!$C$104-Coordenadas!$C$153)^2+(Coordenadas!$D$104-Coordenadas!$D$153)^2)),0)</f>
        <v>0.36911135260737671</v>
      </c>
    </row>
    <row r="336" spans="1:3">
      <c r="A336" t="s">
        <v>152</v>
      </c>
      <c r="B336" t="s">
        <v>195</v>
      </c>
      <c r="C336" s="20">
        <f>IF(SQRT((Coordenadas!$C$105-Coordenadas!$C$146)^2+(Coordenadas!$D$105-Coordenadas!$D$146)^2)&lt;=LEEME!$B$20,EXP(-LEEME!$B$19*SQRT((Coordenadas!$C$105-Coordenadas!$C$146)^2+(Coordenadas!$D$105-Coordenadas!$D$146)^2)),0)</f>
        <v>0.55099556282687723</v>
      </c>
    </row>
    <row r="337" spans="1:3">
      <c r="A337" t="s">
        <v>152</v>
      </c>
      <c r="B337" t="s">
        <v>202</v>
      </c>
      <c r="C337" s="20">
        <f>IF(SQRT((Coordenadas!$C$105-Coordenadas!$C$153)^2+(Coordenadas!$D$105-Coordenadas!$D$153)^2)&lt;=LEEME!$B$20,EXP(-LEEME!$B$19*SQRT((Coordenadas!$C$105-Coordenadas!$C$153)^2+(Coordenadas!$D$105-Coordenadas!$D$153)^2)),0)</f>
        <v>0.74554414055523666</v>
      </c>
    </row>
    <row r="338" spans="1:3">
      <c r="A338" t="s">
        <v>152</v>
      </c>
      <c r="B338" t="s">
        <v>204</v>
      </c>
      <c r="C338" s="20">
        <f>IF(SQRT((Coordenadas!$C$105-Coordenadas!$C$155)^2+(Coordenadas!$D$105-Coordenadas!$D$155)^2)&lt;=LEEME!$B$20,EXP(-LEEME!$B$19*SQRT((Coordenadas!$C$105-Coordenadas!$C$155)^2+(Coordenadas!$D$105-Coordenadas!$D$155)^2)),0)</f>
        <v>0.49865300280437813</v>
      </c>
    </row>
    <row r="339" spans="1:3">
      <c r="A339" t="s">
        <v>152</v>
      </c>
      <c r="B339" t="s">
        <v>206</v>
      </c>
      <c r="C339" s="20">
        <f>IF(SQRT((Coordenadas!$C$105-Coordenadas!$C$157)^2+(Coordenadas!$D$105-Coordenadas!$D$157)^2)&lt;=LEEME!$B$20,EXP(-LEEME!$B$19*SQRT((Coordenadas!$C$105-Coordenadas!$C$157)^2+(Coordenadas!$D$105-Coordenadas!$D$157)^2)),0)</f>
        <v>0.382887900456927</v>
      </c>
    </row>
    <row r="340" spans="1:3">
      <c r="A340" t="s">
        <v>153</v>
      </c>
      <c r="B340" t="s">
        <v>195</v>
      </c>
      <c r="C340" s="20">
        <f>IF(SQRT((Coordenadas!$C$106-Coordenadas!$C$146)^2+(Coordenadas!$D$106-Coordenadas!$D$146)^2)&lt;=LEEME!$B$20,EXP(-LEEME!$B$19*SQRT((Coordenadas!$C$106-Coordenadas!$C$146)^2+(Coordenadas!$D$106-Coordenadas!$D$146)^2)),0)</f>
        <v>0.45332126068741035</v>
      </c>
    </row>
    <row r="341" spans="1:3">
      <c r="A341" t="s">
        <v>153</v>
      </c>
      <c r="B341" t="s">
        <v>202</v>
      </c>
      <c r="C341" s="20">
        <f>IF(SQRT((Coordenadas!$C$106-Coordenadas!$C$153)^2+(Coordenadas!$D$106-Coordenadas!$D$153)^2)&lt;=LEEME!$B$20,EXP(-LEEME!$B$19*SQRT((Coordenadas!$C$106-Coordenadas!$C$153)^2+(Coordenadas!$D$106-Coordenadas!$D$153)^2)),0)</f>
        <v>0.61303313836359186</v>
      </c>
    </row>
    <row r="342" spans="1:3">
      <c r="A342" t="s">
        <v>153</v>
      </c>
      <c r="B342" t="s">
        <v>204</v>
      </c>
      <c r="C342" s="20">
        <f>IF(SQRT((Coordenadas!$C$106-Coordenadas!$C$155)^2+(Coordenadas!$D$106-Coordenadas!$D$155)^2)&lt;=LEEME!$B$20,EXP(-LEEME!$B$19*SQRT((Coordenadas!$C$106-Coordenadas!$C$155)^2+(Coordenadas!$D$106-Coordenadas!$D$155)^2)),0)</f>
        <v>0.6209706844125662</v>
      </c>
    </row>
    <row r="343" spans="1:3">
      <c r="A343" t="s">
        <v>153</v>
      </c>
      <c r="B343" t="s">
        <v>206</v>
      </c>
      <c r="C343" s="20">
        <f>IF(SQRT((Coordenadas!$C$106-Coordenadas!$C$157)^2+(Coordenadas!$D$106-Coordenadas!$D$157)^2)&lt;=LEEME!$B$20,EXP(-LEEME!$B$19*SQRT((Coordenadas!$C$106-Coordenadas!$C$157)^2+(Coordenadas!$D$106-Coordenadas!$D$157)^2)),0)</f>
        <v>0.50181245503964178</v>
      </c>
    </row>
    <row r="344" spans="1:3">
      <c r="A344" t="s">
        <v>153</v>
      </c>
      <c r="B344" t="s">
        <v>212</v>
      </c>
      <c r="C344" s="20">
        <f>IF(SQRT((Coordenadas!$C$106-Coordenadas!$C$163)^2+(Coordenadas!$D$106-Coordenadas!$D$163)^2)&lt;=LEEME!$B$20,EXP(-LEEME!$B$19*SQRT((Coordenadas!$C$106-Coordenadas!$C$163)^2+(Coordenadas!$D$106-Coordenadas!$D$163)^2)),0)</f>
        <v>0.3785464503197119</v>
      </c>
    </row>
    <row r="345" spans="1:3">
      <c r="A345" t="s">
        <v>154</v>
      </c>
      <c r="B345" t="s">
        <v>195</v>
      </c>
      <c r="C345" s="20">
        <f>IF(SQRT((Coordenadas!$C$107-Coordenadas!$C$146)^2+(Coordenadas!$D$107-Coordenadas!$D$146)^2)&lt;=LEEME!$B$20,EXP(-LEEME!$B$19*SQRT((Coordenadas!$C$107-Coordenadas!$C$146)^2+(Coordenadas!$D$107-Coordenadas!$D$146)^2)),0)</f>
        <v>0.74529043426460606</v>
      </c>
    </row>
    <row r="346" spans="1:3">
      <c r="A346" t="s">
        <v>154</v>
      </c>
      <c r="B346" t="s">
        <v>204</v>
      </c>
      <c r="C346" s="20">
        <f>IF(SQRT((Coordenadas!$C$107-Coordenadas!$C$155)^2+(Coordenadas!$D$107-Coordenadas!$D$155)^2)&lt;=LEEME!$B$20,EXP(-LEEME!$B$19*SQRT((Coordenadas!$C$107-Coordenadas!$C$155)^2+(Coordenadas!$D$107-Coordenadas!$D$155)^2)),0)</f>
        <v>0.42183193309947431</v>
      </c>
    </row>
    <row r="347" spans="1:3">
      <c r="A347" t="s">
        <v>154</v>
      </c>
      <c r="B347" t="s">
        <v>211</v>
      </c>
      <c r="C347" s="20">
        <f>IF(SQRT((Coordenadas!$C$107-Coordenadas!$C$162)^2+(Coordenadas!$D$107-Coordenadas!$D$162)^2)&lt;=LEEME!$B$20,EXP(-LEEME!$B$19*SQRT((Coordenadas!$C$107-Coordenadas!$C$162)^2+(Coordenadas!$D$107-Coordenadas!$D$162)^2)),0)</f>
        <v>0.3793323441303767</v>
      </c>
    </row>
    <row r="348" spans="1:3">
      <c r="A348" t="s">
        <v>155</v>
      </c>
      <c r="B348" t="s">
        <v>195</v>
      </c>
      <c r="C348" s="20">
        <f>IF(SQRT((Coordenadas!$C$108-Coordenadas!$C$146)^2+(Coordenadas!$D$108-Coordenadas!$D$146)^2)&lt;=LEEME!$B$20,EXP(-LEEME!$B$19*SQRT((Coordenadas!$C$108-Coordenadas!$C$146)^2+(Coordenadas!$D$108-Coordenadas!$D$146)^2)),0)</f>
        <v>0.85970827312498888</v>
      </c>
    </row>
    <row r="349" spans="1:3">
      <c r="A349" t="s">
        <v>155</v>
      </c>
      <c r="B349" t="s">
        <v>202</v>
      </c>
      <c r="C349" s="20">
        <f>IF(SQRT((Coordenadas!$C$108-Coordenadas!$C$153)^2+(Coordenadas!$D$108-Coordenadas!$D$153)^2)&lt;=LEEME!$B$20,EXP(-LEEME!$B$19*SQRT((Coordenadas!$C$108-Coordenadas!$C$153)^2+(Coordenadas!$D$108-Coordenadas!$D$153)^2)),0)</f>
        <v>0.4865073369820721</v>
      </c>
    </row>
    <row r="350" spans="1:3">
      <c r="A350" t="s">
        <v>155</v>
      </c>
      <c r="B350" t="s">
        <v>204</v>
      </c>
      <c r="C350" s="20">
        <f>IF(SQRT((Coordenadas!$C$108-Coordenadas!$C$155)^2+(Coordenadas!$D$108-Coordenadas!$D$155)^2)&lt;=LEEME!$B$20,EXP(-LEEME!$B$19*SQRT((Coordenadas!$C$108-Coordenadas!$C$155)^2+(Coordenadas!$D$108-Coordenadas!$D$155)^2)),0)</f>
        <v>0.47506114228221896</v>
      </c>
    </row>
    <row r="351" spans="1:3">
      <c r="A351" t="s">
        <v>156</v>
      </c>
      <c r="B351" t="s">
        <v>195</v>
      </c>
      <c r="C351" s="20">
        <f>IF(SQRT((Coordenadas!$C$109-Coordenadas!$C$146)^2+(Coordenadas!$D$109-Coordenadas!$D$146)^2)&lt;=LEEME!$B$20,EXP(-LEEME!$B$19*SQRT((Coordenadas!$C$109-Coordenadas!$C$146)^2+(Coordenadas!$D$109-Coordenadas!$D$146)^2)),0)</f>
        <v>0.7482313179301201</v>
      </c>
    </row>
    <row r="352" spans="1:3">
      <c r="A352" t="s">
        <v>156</v>
      </c>
      <c r="B352" t="s">
        <v>202</v>
      </c>
      <c r="C352" s="20">
        <f>IF(SQRT((Coordenadas!$C$109-Coordenadas!$C$153)^2+(Coordenadas!$D$109-Coordenadas!$D$153)^2)&lt;=LEEME!$B$20,EXP(-LEEME!$B$19*SQRT((Coordenadas!$C$109-Coordenadas!$C$153)^2+(Coordenadas!$D$109-Coordenadas!$D$153)^2)),0)</f>
        <v>0.4722563638724015</v>
      </c>
    </row>
    <row r="353" spans="1:3">
      <c r="A353" t="s">
        <v>156</v>
      </c>
      <c r="B353" t="s">
        <v>204</v>
      </c>
      <c r="C353" s="20">
        <f>IF(SQRT((Coordenadas!$C$109-Coordenadas!$C$155)^2+(Coordenadas!$D$109-Coordenadas!$D$155)^2)&lt;=LEEME!$B$20,EXP(-LEEME!$B$19*SQRT((Coordenadas!$C$109-Coordenadas!$C$155)^2+(Coordenadas!$D$109-Coordenadas!$D$155)^2)),0)</f>
        <v>0.55235202502602654</v>
      </c>
    </row>
    <row r="354" spans="1:3">
      <c r="A354" t="s">
        <v>156</v>
      </c>
      <c r="B354" t="s">
        <v>211</v>
      </c>
      <c r="C354" s="20">
        <f>IF(SQRT((Coordenadas!$C$109-Coordenadas!$C$162)^2+(Coordenadas!$D$109-Coordenadas!$D$162)^2)&lt;=LEEME!$B$20,EXP(-LEEME!$B$19*SQRT((Coordenadas!$C$109-Coordenadas!$C$162)^2+(Coordenadas!$D$109-Coordenadas!$D$162)^2)),0)</f>
        <v>0.40611281125089194</v>
      </c>
    </row>
    <row r="355" spans="1:3">
      <c r="A355" t="s">
        <v>157</v>
      </c>
      <c r="B355" t="s">
        <v>195</v>
      </c>
      <c r="C355" s="20">
        <f>IF(SQRT((Coordenadas!$C$110-Coordenadas!$C$146)^2+(Coordenadas!$D$110-Coordenadas!$D$146)^2)&lt;=LEEME!$B$20,EXP(-LEEME!$B$19*SQRT((Coordenadas!$C$110-Coordenadas!$C$146)^2+(Coordenadas!$D$110-Coordenadas!$D$146)^2)),0)</f>
        <v>0.65269594918740481</v>
      </c>
    </row>
    <row r="356" spans="1:3">
      <c r="A356" t="s">
        <v>157</v>
      </c>
      <c r="B356" t="s">
        <v>202</v>
      </c>
      <c r="C356" s="20">
        <f>IF(SQRT((Coordenadas!$C$110-Coordenadas!$C$153)^2+(Coordenadas!$D$110-Coordenadas!$D$153)^2)&lt;=LEEME!$B$20,EXP(-LEEME!$B$19*SQRT((Coordenadas!$C$110-Coordenadas!$C$153)^2+(Coordenadas!$D$110-Coordenadas!$D$153)^2)),0)</f>
        <v>0.39171138970543784</v>
      </c>
    </row>
    <row r="357" spans="1:3">
      <c r="A357" t="s">
        <v>157</v>
      </c>
      <c r="B357" t="s">
        <v>204</v>
      </c>
      <c r="C357" s="20">
        <f>IF(SQRT((Coordenadas!$C$110-Coordenadas!$C$155)^2+(Coordenadas!$D$110-Coordenadas!$D$155)^2)&lt;=LEEME!$B$20,EXP(-LEEME!$B$19*SQRT((Coordenadas!$C$110-Coordenadas!$C$155)^2+(Coordenadas!$D$110-Coordenadas!$D$155)^2)),0)</f>
        <v>0.59026368071301993</v>
      </c>
    </row>
    <row r="358" spans="1:3">
      <c r="A358" t="s">
        <v>157</v>
      </c>
      <c r="B358" t="s">
        <v>211</v>
      </c>
      <c r="C358" s="20">
        <f>IF(SQRT((Coordenadas!$C$110-Coordenadas!$C$162)^2+(Coordenadas!$D$110-Coordenadas!$D$162)^2)&lt;=LEEME!$B$20,EXP(-LEEME!$B$19*SQRT((Coordenadas!$C$110-Coordenadas!$C$162)^2+(Coordenadas!$D$110-Coordenadas!$D$162)^2)),0)</f>
        <v>0.48833866917197305</v>
      </c>
    </row>
    <row r="359" spans="1:3">
      <c r="A359" t="s">
        <v>158</v>
      </c>
      <c r="B359" t="s">
        <v>195</v>
      </c>
      <c r="C359" s="20">
        <f>IF(SQRT((Coordenadas!$C$111-Coordenadas!$C$146)^2+(Coordenadas!$D$111-Coordenadas!$D$146)^2)&lt;=LEEME!$B$20,EXP(-LEEME!$B$19*SQRT((Coordenadas!$C$111-Coordenadas!$C$146)^2+(Coordenadas!$D$111-Coordenadas!$D$146)^2)),0)</f>
        <v>0.56373499543745154</v>
      </c>
    </row>
    <row r="360" spans="1:3">
      <c r="A360" t="s">
        <v>158</v>
      </c>
      <c r="B360" t="s">
        <v>202</v>
      </c>
      <c r="C360" s="20">
        <f>IF(SQRT((Coordenadas!$C$111-Coordenadas!$C$153)^2+(Coordenadas!$D$111-Coordenadas!$D$153)^2)&lt;=LEEME!$B$20,EXP(-LEEME!$B$19*SQRT((Coordenadas!$C$111-Coordenadas!$C$153)^2+(Coordenadas!$D$111-Coordenadas!$D$153)^2)),0)</f>
        <v>0.52909224226356277</v>
      </c>
    </row>
    <row r="361" spans="1:3">
      <c r="A361" t="s">
        <v>158</v>
      </c>
      <c r="B361" t="s">
        <v>204</v>
      </c>
      <c r="C361" s="20">
        <f>IF(SQRT((Coordenadas!$C$111-Coordenadas!$C$155)^2+(Coordenadas!$D$111-Coordenadas!$D$155)^2)&lt;=LEEME!$B$20,EXP(-LEEME!$B$19*SQRT((Coordenadas!$C$111-Coordenadas!$C$155)^2+(Coordenadas!$D$111-Coordenadas!$D$155)^2)),0)</f>
        <v>0.68793184924484596</v>
      </c>
    </row>
    <row r="362" spans="1:3">
      <c r="A362" t="s">
        <v>158</v>
      </c>
      <c r="B362" t="s">
        <v>206</v>
      </c>
      <c r="C362" s="20">
        <f>IF(SQRT((Coordenadas!$C$111-Coordenadas!$C$157)^2+(Coordenadas!$D$111-Coordenadas!$D$157)^2)&lt;=LEEME!$B$20,EXP(-LEEME!$B$19*SQRT((Coordenadas!$C$111-Coordenadas!$C$157)^2+(Coordenadas!$D$111-Coordenadas!$D$157)^2)),0)</f>
        <v>0.39829176064881344</v>
      </c>
    </row>
    <row r="363" spans="1:3">
      <c r="A363" t="s">
        <v>158</v>
      </c>
      <c r="B363" t="s">
        <v>211</v>
      </c>
      <c r="C363" s="20">
        <f>IF(SQRT((Coordenadas!$C$111-Coordenadas!$C$162)^2+(Coordenadas!$D$111-Coordenadas!$D$162)^2)&lt;=LEEME!$B$20,EXP(-LEEME!$B$19*SQRT((Coordenadas!$C$111-Coordenadas!$C$162)^2+(Coordenadas!$D$111-Coordenadas!$D$162)^2)),0)</f>
        <v>0.4295573582107392</v>
      </c>
    </row>
    <row r="364" spans="1:3">
      <c r="A364" t="s">
        <v>159</v>
      </c>
      <c r="B364" t="s">
        <v>195</v>
      </c>
      <c r="C364" s="20">
        <f>IF(SQRT((Coordenadas!$C$112-Coordenadas!$C$146)^2+(Coordenadas!$D$112-Coordenadas!$D$146)^2)&lt;=LEEME!$B$20,EXP(-LEEME!$B$19*SQRT((Coordenadas!$C$112-Coordenadas!$C$146)^2+(Coordenadas!$D$112-Coordenadas!$D$146)^2)),0)</f>
        <v>0.82560594870676718</v>
      </c>
    </row>
    <row r="365" spans="1:3">
      <c r="A365" t="s">
        <v>159</v>
      </c>
      <c r="B365" t="s">
        <v>202</v>
      </c>
      <c r="C365" s="20">
        <f>IF(SQRT((Coordenadas!$C$112-Coordenadas!$C$153)^2+(Coordenadas!$D$112-Coordenadas!$D$153)^2)&lt;=LEEME!$B$20,EXP(-LEEME!$B$19*SQRT((Coordenadas!$C$112-Coordenadas!$C$153)^2+(Coordenadas!$D$112-Coordenadas!$D$153)^2)),0)</f>
        <v>0.39833503130649228</v>
      </c>
    </row>
    <row r="366" spans="1:3">
      <c r="A366" t="s">
        <v>159</v>
      </c>
      <c r="B366" t="s">
        <v>204</v>
      </c>
      <c r="C366" s="20">
        <f>IF(SQRT((Coordenadas!$C$112-Coordenadas!$C$155)^2+(Coordenadas!$D$112-Coordenadas!$D$155)^2)&lt;=LEEME!$B$20,EXP(-LEEME!$B$19*SQRT((Coordenadas!$C$112-Coordenadas!$C$155)^2+(Coordenadas!$D$112-Coordenadas!$D$155)^2)),0)</f>
        <v>0.46100122904472762</v>
      </c>
    </row>
    <row r="367" spans="1:3">
      <c r="A367" t="s">
        <v>159</v>
      </c>
      <c r="B367" t="s">
        <v>211</v>
      </c>
      <c r="C367" s="20">
        <f>IF(SQRT((Coordenadas!$C$112-Coordenadas!$C$162)^2+(Coordenadas!$D$112-Coordenadas!$D$162)^2)&lt;=LEEME!$B$20,EXP(-LEEME!$B$19*SQRT((Coordenadas!$C$112-Coordenadas!$C$162)^2+(Coordenadas!$D$112-Coordenadas!$D$162)^2)),0)</f>
        <v>0.3806085140418714</v>
      </c>
    </row>
    <row r="368" spans="1:3">
      <c r="A368" t="s">
        <v>160</v>
      </c>
      <c r="B368" t="s">
        <v>195</v>
      </c>
      <c r="C368" s="20">
        <f>IF(SQRT((Coordenadas!$C$113-Coordenadas!$C$146)^2+(Coordenadas!$D$113-Coordenadas!$D$146)^2)&lt;=LEEME!$B$20,EXP(-LEEME!$B$19*SQRT((Coordenadas!$C$113-Coordenadas!$C$146)^2+(Coordenadas!$D$113-Coordenadas!$D$146)^2)),0)</f>
        <v>0.75403847511667721</v>
      </c>
    </row>
    <row r="369" spans="1:3">
      <c r="A369" t="s">
        <v>160</v>
      </c>
      <c r="B369" t="s">
        <v>202</v>
      </c>
      <c r="C369" s="20">
        <f>IF(SQRT((Coordenadas!$C$113-Coordenadas!$C$153)^2+(Coordenadas!$D$113-Coordenadas!$D$153)^2)&lt;=LEEME!$B$20,EXP(-LEEME!$B$19*SQRT((Coordenadas!$C$113-Coordenadas!$C$153)^2+(Coordenadas!$D$113-Coordenadas!$D$153)^2)),0)</f>
        <v>0.58300471456567926</v>
      </c>
    </row>
    <row r="370" spans="1:3">
      <c r="A370" t="s">
        <v>160</v>
      </c>
      <c r="B370" t="s">
        <v>204</v>
      </c>
      <c r="C370" s="20">
        <f>IF(SQRT((Coordenadas!$C$113-Coordenadas!$C$155)^2+(Coordenadas!$D$113-Coordenadas!$D$155)^2)&lt;=LEEME!$B$20,EXP(-LEEME!$B$19*SQRT((Coordenadas!$C$113-Coordenadas!$C$155)^2+(Coordenadas!$D$113-Coordenadas!$D$155)^2)),0)</f>
        <v>0.41886729559721431</v>
      </c>
    </row>
    <row r="371" spans="1:3">
      <c r="A371" t="s">
        <v>161</v>
      </c>
      <c r="B371" t="s">
        <v>193</v>
      </c>
      <c r="C371" s="20">
        <f>IF(SQRT((Coordenadas!$C$114-Coordenadas!$C$144)^2+(Coordenadas!$D$114-Coordenadas!$D$144)^2)&lt;=LEEME!$B$20,EXP(-LEEME!$B$19*SQRT((Coordenadas!$C$114-Coordenadas!$C$144)^2+(Coordenadas!$D$114-Coordenadas!$D$144)^2)),0)</f>
        <v>0.38968995576351173</v>
      </c>
    </row>
    <row r="372" spans="1:3">
      <c r="A372" t="s">
        <v>161</v>
      </c>
      <c r="B372" t="s">
        <v>195</v>
      </c>
      <c r="C372" s="20">
        <f>IF(SQRT((Coordenadas!$C$114-Coordenadas!$C$146)^2+(Coordenadas!$D$114-Coordenadas!$D$146)^2)&lt;=LEEME!$B$20,EXP(-LEEME!$B$19*SQRT((Coordenadas!$C$114-Coordenadas!$C$146)^2+(Coordenadas!$D$114-Coordenadas!$D$146)^2)),0)</f>
        <v>0.44253073388486902</v>
      </c>
    </row>
    <row r="373" spans="1:3">
      <c r="A373" t="s">
        <v>161</v>
      </c>
      <c r="B373" t="s">
        <v>202</v>
      </c>
      <c r="C373" s="20">
        <f>IF(SQRT((Coordenadas!$C$114-Coordenadas!$C$153)^2+(Coordenadas!$D$114-Coordenadas!$D$153)^2)&lt;=LEEME!$B$20,EXP(-LEEME!$B$19*SQRT((Coordenadas!$C$114-Coordenadas!$C$153)^2+(Coordenadas!$D$114-Coordenadas!$D$153)^2)),0)</f>
        <v>0.41904788375031177</v>
      </c>
    </row>
    <row r="374" spans="1:3">
      <c r="A374" t="s">
        <v>161</v>
      </c>
      <c r="B374" t="s">
        <v>204</v>
      </c>
      <c r="C374" s="20">
        <f>IF(SQRT((Coordenadas!$C$114-Coordenadas!$C$155)^2+(Coordenadas!$D$114-Coordenadas!$D$155)^2)&lt;=LEEME!$B$20,EXP(-LEEME!$B$19*SQRT((Coordenadas!$C$114-Coordenadas!$C$155)^2+(Coordenadas!$D$114-Coordenadas!$D$155)^2)),0)</f>
        <v>0.91851228440145738</v>
      </c>
    </row>
    <row r="375" spans="1:3">
      <c r="A375" t="s">
        <v>161</v>
      </c>
      <c r="B375" t="s">
        <v>206</v>
      </c>
      <c r="C375" s="20">
        <f>IF(SQRT((Coordenadas!$C$114-Coordenadas!$C$157)^2+(Coordenadas!$D$114-Coordenadas!$D$157)^2)&lt;=LEEME!$B$20,EXP(-LEEME!$B$19*SQRT((Coordenadas!$C$114-Coordenadas!$C$157)^2+(Coordenadas!$D$114-Coordenadas!$D$157)^2)),0)</f>
        <v>0.44461107614017131</v>
      </c>
    </row>
    <row r="376" spans="1:3">
      <c r="A376" t="s">
        <v>161</v>
      </c>
      <c r="B376" t="s">
        <v>211</v>
      </c>
      <c r="C376" s="20">
        <f>IF(SQRT((Coordenadas!$C$114-Coordenadas!$C$162)^2+(Coordenadas!$D$114-Coordenadas!$D$162)^2)&lt;=LEEME!$B$20,EXP(-LEEME!$B$19*SQRT((Coordenadas!$C$114-Coordenadas!$C$162)^2+(Coordenadas!$D$114-Coordenadas!$D$162)^2)),0)</f>
        <v>0.53577592184242007</v>
      </c>
    </row>
    <row r="377" spans="1:3">
      <c r="A377" t="s">
        <v>161</v>
      </c>
      <c r="B377" t="s">
        <v>212</v>
      </c>
      <c r="C377" s="20">
        <f>IF(SQRT((Coordenadas!$C$114-Coordenadas!$C$163)^2+(Coordenadas!$D$114-Coordenadas!$D$163)^2)&lt;=LEEME!$B$20,EXP(-LEEME!$B$19*SQRT((Coordenadas!$C$114-Coordenadas!$C$163)^2+(Coordenadas!$D$114-Coordenadas!$D$163)^2)),0)</f>
        <v>0.46859156835856697</v>
      </c>
    </row>
    <row r="378" spans="1:3">
      <c r="A378" t="s">
        <v>162</v>
      </c>
      <c r="B378" t="s">
        <v>195</v>
      </c>
      <c r="C378" s="20">
        <f>IF(SQRT((Coordenadas!$C$115-Coordenadas!$C$146)^2+(Coordenadas!$D$115-Coordenadas!$D$146)^2)&lt;=LEEME!$B$20,EXP(-LEEME!$B$19*SQRT((Coordenadas!$C$115-Coordenadas!$C$146)^2+(Coordenadas!$D$115-Coordenadas!$D$146)^2)),0)</f>
        <v>0.42225390338259122</v>
      </c>
    </row>
    <row r="379" spans="1:3">
      <c r="A379" t="s">
        <v>162</v>
      </c>
      <c r="B379" t="s">
        <v>202</v>
      </c>
      <c r="C379" s="20">
        <f>IF(SQRT((Coordenadas!$C$115-Coordenadas!$C$153)^2+(Coordenadas!$D$115-Coordenadas!$D$153)^2)&lt;=LEEME!$B$20,EXP(-LEEME!$B$19*SQRT((Coordenadas!$C$115-Coordenadas!$C$153)^2+(Coordenadas!$D$115-Coordenadas!$D$153)^2)),0)</f>
        <v>0.48711595442570615</v>
      </c>
    </row>
    <row r="380" spans="1:3">
      <c r="A380" t="s">
        <v>162</v>
      </c>
      <c r="B380" t="s">
        <v>204</v>
      </c>
      <c r="C380" s="20">
        <f>IF(SQRT((Coordenadas!$C$115-Coordenadas!$C$155)^2+(Coordenadas!$D$115-Coordenadas!$D$155)^2)&lt;=LEEME!$B$20,EXP(-LEEME!$B$19*SQRT((Coordenadas!$C$115-Coordenadas!$C$155)^2+(Coordenadas!$D$115-Coordenadas!$D$155)^2)),0)</f>
        <v>0.76950221275562403</v>
      </c>
    </row>
    <row r="381" spans="1:3">
      <c r="A381" t="s">
        <v>162</v>
      </c>
      <c r="B381" t="s">
        <v>206</v>
      </c>
      <c r="C381" s="20">
        <f>IF(SQRT((Coordenadas!$C$115-Coordenadas!$C$157)^2+(Coordenadas!$D$115-Coordenadas!$D$157)^2)&lt;=LEEME!$B$20,EXP(-LEEME!$B$19*SQRT((Coordenadas!$C$115-Coordenadas!$C$157)^2+(Coordenadas!$D$115-Coordenadas!$D$157)^2)),0)</f>
        <v>0.52191530671183228</v>
      </c>
    </row>
    <row r="382" spans="1:3">
      <c r="A382" t="s">
        <v>162</v>
      </c>
      <c r="B382" t="s">
        <v>211</v>
      </c>
      <c r="C382" s="20">
        <f>IF(SQRT((Coordenadas!$C$115-Coordenadas!$C$162)^2+(Coordenadas!$D$115-Coordenadas!$D$162)^2)&lt;=LEEME!$B$20,EXP(-LEEME!$B$19*SQRT((Coordenadas!$C$115-Coordenadas!$C$162)^2+(Coordenadas!$D$115-Coordenadas!$D$162)^2)),0)</f>
        <v>0.43998903136243772</v>
      </c>
    </row>
    <row r="383" spans="1:3">
      <c r="A383" t="s">
        <v>162</v>
      </c>
      <c r="B383" t="s">
        <v>212</v>
      </c>
      <c r="C383" s="20">
        <f>IF(SQRT((Coordenadas!$C$115-Coordenadas!$C$163)^2+(Coordenadas!$D$115-Coordenadas!$D$163)^2)&lt;=LEEME!$B$20,EXP(-LEEME!$B$19*SQRT((Coordenadas!$C$115-Coordenadas!$C$163)^2+(Coordenadas!$D$115-Coordenadas!$D$163)^2)),0)</f>
        <v>0.46267511194009431</v>
      </c>
    </row>
    <row r="384" spans="1:3">
      <c r="A384" t="s">
        <v>163</v>
      </c>
      <c r="B384" t="s">
        <v>193</v>
      </c>
      <c r="C384" s="20">
        <f>IF(SQRT((Coordenadas!$C$116-Coordenadas!$C$144)^2+(Coordenadas!$D$116-Coordenadas!$D$144)^2)&lt;=LEEME!$B$20,EXP(-LEEME!$B$19*SQRT((Coordenadas!$C$116-Coordenadas!$C$144)^2+(Coordenadas!$D$116-Coordenadas!$D$144)^2)),0)</f>
        <v>0.58992806227891914</v>
      </c>
    </row>
    <row r="385" spans="1:3">
      <c r="A385" t="s">
        <v>163</v>
      </c>
      <c r="B385" t="s">
        <v>204</v>
      </c>
      <c r="C385" s="20">
        <f>IF(SQRT((Coordenadas!$C$116-Coordenadas!$C$155)^2+(Coordenadas!$D$116-Coordenadas!$D$155)^2)&lt;=LEEME!$B$20,EXP(-LEEME!$B$19*SQRT((Coordenadas!$C$116-Coordenadas!$C$155)^2+(Coordenadas!$D$116-Coordenadas!$D$155)^2)),0)</f>
        <v>0.70446172311119293</v>
      </c>
    </row>
    <row r="386" spans="1:3">
      <c r="A386" t="s">
        <v>163</v>
      </c>
      <c r="B386" t="s">
        <v>206</v>
      </c>
      <c r="C386" s="20">
        <f>IF(SQRT((Coordenadas!$C$116-Coordenadas!$C$157)^2+(Coordenadas!$D$116-Coordenadas!$D$157)^2)&lt;=LEEME!$B$20,EXP(-LEEME!$B$19*SQRT((Coordenadas!$C$116-Coordenadas!$C$157)^2+(Coordenadas!$D$116-Coordenadas!$D$157)^2)),0)</f>
        <v>0.40974660723504636</v>
      </c>
    </row>
    <row r="387" spans="1:3">
      <c r="A387" t="s">
        <v>163</v>
      </c>
      <c r="B387" t="s">
        <v>211</v>
      </c>
      <c r="C387" s="20">
        <f>IF(SQRT((Coordenadas!$C$116-Coordenadas!$C$162)^2+(Coordenadas!$D$116-Coordenadas!$D$162)^2)&lt;=LEEME!$B$20,EXP(-LEEME!$B$19*SQRT((Coordenadas!$C$116-Coordenadas!$C$162)^2+(Coordenadas!$D$116-Coordenadas!$D$162)^2)),0)</f>
        <v>0.67063451662370288</v>
      </c>
    </row>
    <row r="388" spans="1:3">
      <c r="A388" t="s">
        <v>163</v>
      </c>
      <c r="B388" t="s">
        <v>212</v>
      </c>
      <c r="C388" s="20">
        <f>IF(SQRT((Coordenadas!$C$116-Coordenadas!$C$163)^2+(Coordenadas!$D$116-Coordenadas!$D$163)^2)&lt;=LEEME!$B$20,EXP(-LEEME!$B$19*SQRT((Coordenadas!$C$116-Coordenadas!$C$163)^2+(Coordenadas!$D$116-Coordenadas!$D$163)^2)),0)</f>
        <v>0.62570163170121851</v>
      </c>
    </row>
    <row r="389" spans="1:3">
      <c r="A389" t="s">
        <v>164</v>
      </c>
      <c r="B389" t="s">
        <v>202</v>
      </c>
      <c r="C389" s="20">
        <f>IF(SQRT((Coordenadas!$C$117-Coordenadas!$C$153)^2+(Coordenadas!$D$117-Coordenadas!$D$153)^2)&lt;=LEEME!$B$20,EXP(-LEEME!$B$19*SQRT((Coordenadas!$C$117-Coordenadas!$C$153)^2+(Coordenadas!$D$117-Coordenadas!$D$153)^2)),0)</f>
        <v>0.46942007394227253</v>
      </c>
    </row>
    <row r="390" spans="1:3">
      <c r="A390" t="s">
        <v>164</v>
      </c>
      <c r="B390" t="s">
        <v>204</v>
      </c>
      <c r="C390" s="20">
        <f>IF(SQRT((Coordenadas!$C$117-Coordenadas!$C$155)^2+(Coordenadas!$D$117-Coordenadas!$D$155)^2)&lt;=LEEME!$B$20,EXP(-LEEME!$B$19*SQRT((Coordenadas!$C$117-Coordenadas!$C$155)^2+(Coordenadas!$D$117-Coordenadas!$D$155)^2)),0)</f>
        <v>0.63798270695884007</v>
      </c>
    </row>
    <row r="391" spans="1:3">
      <c r="A391" t="s">
        <v>164</v>
      </c>
      <c r="B391" t="s">
        <v>206</v>
      </c>
      <c r="C391" s="20">
        <f>IF(SQRT((Coordenadas!$C$117-Coordenadas!$C$157)^2+(Coordenadas!$D$117-Coordenadas!$D$157)^2)&lt;=LEEME!$B$20,EXP(-LEEME!$B$19*SQRT((Coordenadas!$C$117-Coordenadas!$C$157)^2+(Coordenadas!$D$117-Coordenadas!$D$157)^2)),0)</f>
        <v>0.66771932858107663</v>
      </c>
    </row>
    <row r="392" spans="1:3">
      <c r="A392" t="s">
        <v>164</v>
      </c>
      <c r="B392" t="s">
        <v>211</v>
      </c>
      <c r="C392" s="20">
        <f>IF(SQRT((Coordenadas!$C$117-Coordenadas!$C$162)^2+(Coordenadas!$D$117-Coordenadas!$D$162)^2)&lt;=LEEME!$B$20,EXP(-LEEME!$B$19*SQRT((Coordenadas!$C$117-Coordenadas!$C$162)^2+(Coordenadas!$D$117-Coordenadas!$D$162)^2)),0)</f>
        <v>0.37445140832627755</v>
      </c>
    </row>
    <row r="393" spans="1:3">
      <c r="A393" t="s">
        <v>164</v>
      </c>
      <c r="B393" t="s">
        <v>212</v>
      </c>
      <c r="C393" s="20">
        <f>IF(SQRT((Coordenadas!$C$117-Coordenadas!$C$163)^2+(Coordenadas!$D$117-Coordenadas!$D$163)^2)&lt;=LEEME!$B$20,EXP(-LEEME!$B$19*SQRT((Coordenadas!$C$117-Coordenadas!$C$163)^2+(Coordenadas!$D$117-Coordenadas!$D$163)^2)),0)</f>
        <v>0.50375934269568912</v>
      </c>
    </row>
    <row r="394" spans="1:3">
      <c r="A394" t="s">
        <v>165</v>
      </c>
      <c r="B394" t="s">
        <v>193</v>
      </c>
      <c r="C394" s="20">
        <f>IF(SQRT((Coordenadas!$C$118-Coordenadas!$C$144)^2+(Coordenadas!$D$118-Coordenadas!$D$144)^2)&lt;=LEEME!$B$20,EXP(-LEEME!$B$19*SQRT((Coordenadas!$C$118-Coordenadas!$C$144)^2+(Coordenadas!$D$118-Coordenadas!$D$144)^2)),0)</f>
        <v>0.45553225566629429</v>
      </c>
    </row>
    <row r="395" spans="1:3">
      <c r="A395" t="s">
        <v>165</v>
      </c>
      <c r="B395" t="s">
        <v>202</v>
      </c>
      <c r="C395" s="20">
        <f>IF(SQRT((Coordenadas!$C$118-Coordenadas!$C$153)^2+(Coordenadas!$D$118-Coordenadas!$D$153)^2)&lt;=LEEME!$B$20,EXP(-LEEME!$B$19*SQRT((Coordenadas!$C$118-Coordenadas!$C$153)^2+(Coordenadas!$D$118-Coordenadas!$D$153)^2)),0)</f>
        <v>0.38702110988335597</v>
      </c>
    </row>
    <row r="396" spans="1:3">
      <c r="A396" t="s">
        <v>165</v>
      </c>
      <c r="B396" t="s">
        <v>204</v>
      </c>
      <c r="C396" s="20">
        <f>IF(SQRT((Coordenadas!$C$118-Coordenadas!$C$155)^2+(Coordenadas!$D$118-Coordenadas!$D$155)^2)&lt;=LEEME!$B$20,EXP(-LEEME!$B$19*SQRT((Coordenadas!$C$118-Coordenadas!$C$155)^2+(Coordenadas!$D$118-Coordenadas!$D$155)^2)),0)</f>
        <v>0.81549435380528079</v>
      </c>
    </row>
    <row r="397" spans="1:3">
      <c r="A397" t="s">
        <v>165</v>
      </c>
      <c r="B397" t="s">
        <v>206</v>
      </c>
      <c r="C397" s="20">
        <f>IF(SQRT((Coordenadas!$C$118-Coordenadas!$C$157)^2+(Coordenadas!$D$118-Coordenadas!$D$157)^2)&lt;=LEEME!$B$20,EXP(-LEEME!$B$19*SQRT((Coordenadas!$C$118-Coordenadas!$C$157)^2+(Coordenadas!$D$118-Coordenadas!$D$157)^2)),0)</f>
        <v>0.53937014333971189</v>
      </c>
    </row>
    <row r="398" spans="1:3">
      <c r="A398" t="s">
        <v>165</v>
      </c>
      <c r="B398" t="s">
        <v>211</v>
      </c>
      <c r="C398" s="20">
        <f>IF(SQRT((Coordenadas!$C$118-Coordenadas!$C$162)^2+(Coordenadas!$D$118-Coordenadas!$D$162)^2)&lt;=LEEME!$B$20,EXP(-LEEME!$B$19*SQRT((Coordenadas!$C$118-Coordenadas!$C$162)^2+(Coordenadas!$D$118-Coordenadas!$D$162)^2)),0)</f>
        <v>0.50259629653516591</v>
      </c>
    </row>
    <row r="399" spans="1:3">
      <c r="A399" t="s">
        <v>165</v>
      </c>
      <c r="B399" t="s">
        <v>212</v>
      </c>
      <c r="C399" s="20">
        <f>IF(SQRT((Coordenadas!$C$118-Coordenadas!$C$163)^2+(Coordenadas!$D$118-Coordenadas!$D$163)^2)&lt;=LEEME!$B$20,EXP(-LEEME!$B$19*SQRT((Coordenadas!$C$118-Coordenadas!$C$163)^2+(Coordenadas!$D$118-Coordenadas!$D$163)^2)),0)</f>
        <v>0.57946974642305771</v>
      </c>
    </row>
    <row r="400" spans="1:3">
      <c r="A400" t="s">
        <v>166</v>
      </c>
      <c r="B400" t="s">
        <v>193</v>
      </c>
      <c r="C400" s="20">
        <f>IF(SQRT((Coordenadas!$C$119-Coordenadas!$C$144)^2+(Coordenadas!$D$119-Coordenadas!$D$144)^2)&lt;=LEEME!$B$20,EXP(-LEEME!$B$19*SQRT((Coordenadas!$C$119-Coordenadas!$C$144)^2+(Coordenadas!$D$119-Coordenadas!$D$144)^2)),0)</f>
        <v>0.50720454043957075</v>
      </c>
    </row>
    <row r="401" spans="1:3">
      <c r="A401" t="s">
        <v>166</v>
      </c>
      <c r="B401" t="s">
        <v>204</v>
      </c>
      <c r="C401" s="20">
        <f>IF(SQRT((Coordenadas!$C$119-Coordenadas!$C$155)^2+(Coordenadas!$D$119-Coordenadas!$D$155)^2)&lt;=LEEME!$B$20,EXP(-LEEME!$B$19*SQRT((Coordenadas!$C$119-Coordenadas!$C$155)^2+(Coordenadas!$D$119-Coordenadas!$D$155)^2)),0)</f>
        <v>0.59399245380767496</v>
      </c>
    </row>
    <row r="402" spans="1:3">
      <c r="A402" t="s">
        <v>166</v>
      </c>
      <c r="B402" t="s">
        <v>206</v>
      </c>
      <c r="C402" s="20">
        <f>IF(SQRT((Coordenadas!$C$119-Coordenadas!$C$157)^2+(Coordenadas!$D$119-Coordenadas!$D$157)^2)&lt;=LEEME!$B$20,EXP(-LEEME!$B$19*SQRT((Coordenadas!$C$119-Coordenadas!$C$157)^2+(Coordenadas!$D$119-Coordenadas!$D$157)^2)),0)</f>
        <v>0.66564337255855244</v>
      </c>
    </row>
    <row r="403" spans="1:3">
      <c r="A403" t="s">
        <v>166</v>
      </c>
      <c r="B403" t="s">
        <v>209</v>
      </c>
      <c r="C403" s="20">
        <f>IF(SQRT((Coordenadas!$C$119-Coordenadas!$C$160)^2+(Coordenadas!$D$119-Coordenadas!$D$160)^2)&lt;=LEEME!$B$20,EXP(-LEEME!$B$19*SQRT((Coordenadas!$C$119-Coordenadas!$C$160)^2+(Coordenadas!$D$119-Coordenadas!$D$160)^2)),0)</f>
        <v>0.385493346116415</v>
      </c>
    </row>
    <row r="404" spans="1:3">
      <c r="A404" t="s">
        <v>166</v>
      </c>
      <c r="B404" t="s">
        <v>211</v>
      </c>
      <c r="C404" s="20">
        <f>IF(SQRT((Coordenadas!$C$119-Coordenadas!$C$162)^2+(Coordenadas!$D$119-Coordenadas!$D$162)^2)&lt;=LEEME!$B$20,EXP(-LEEME!$B$19*SQRT((Coordenadas!$C$119-Coordenadas!$C$162)^2+(Coordenadas!$D$119-Coordenadas!$D$162)^2)),0)</f>
        <v>0.40961461916410563</v>
      </c>
    </row>
    <row r="405" spans="1:3">
      <c r="A405" t="s">
        <v>166</v>
      </c>
      <c r="B405" t="s">
        <v>212</v>
      </c>
      <c r="C405" s="20">
        <f>IF(SQRT((Coordenadas!$C$119-Coordenadas!$C$163)^2+(Coordenadas!$D$119-Coordenadas!$D$163)^2)&lt;=LEEME!$B$20,EXP(-LEEME!$B$19*SQRT((Coordenadas!$C$119-Coordenadas!$C$163)^2+(Coordenadas!$D$119-Coordenadas!$D$163)^2)),0)</f>
        <v>0.71403493029172604</v>
      </c>
    </row>
    <row r="406" spans="1:3">
      <c r="A406" t="s">
        <v>167</v>
      </c>
      <c r="B406" t="s">
        <v>193</v>
      </c>
      <c r="C406" s="20">
        <f>IF(SQRT((Coordenadas!$C$120-Coordenadas!$C$144)^2+(Coordenadas!$D$120-Coordenadas!$D$144)^2)&lt;=LEEME!$B$20,EXP(-LEEME!$B$19*SQRT((Coordenadas!$C$120-Coordenadas!$C$144)^2+(Coordenadas!$D$120-Coordenadas!$D$144)^2)),0)</f>
        <v>0.63437826063817726</v>
      </c>
    </row>
    <row r="407" spans="1:3">
      <c r="A407" t="s">
        <v>167</v>
      </c>
      <c r="B407" t="s">
        <v>204</v>
      </c>
      <c r="C407" s="20">
        <f>IF(SQRT((Coordenadas!$C$120-Coordenadas!$C$155)^2+(Coordenadas!$D$120-Coordenadas!$D$155)^2)&lt;=LEEME!$B$20,EXP(-LEEME!$B$19*SQRT((Coordenadas!$C$120-Coordenadas!$C$155)^2+(Coordenadas!$D$120-Coordenadas!$D$155)^2)),0)</f>
        <v>0.63803594510538708</v>
      </c>
    </row>
    <row r="408" spans="1:3">
      <c r="A408" t="s">
        <v>167</v>
      </c>
      <c r="B408" t="s">
        <v>206</v>
      </c>
      <c r="C408" s="20">
        <f>IF(SQRT((Coordenadas!$C$120-Coordenadas!$C$157)^2+(Coordenadas!$D$120-Coordenadas!$D$157)^2)&lt;=LEEME!$B$20,EXP(-LEEME!$B$19*SQRT((Coordenadas!$C$120-Coordenadas!$C$157)^2+(Coordenadas!$D$120-Coordenadas!$D$157)^2)),0)</f>
        <v>0.49706471544827285</v>
      </c>
    </row>
    <row r="409" spans="1:3">
      <c r="A409" t="s">
        <v>167</v>
      </c>
      <c r="B409" t="s">
        <v>209</v>
      </c>
      <c r="C409" s="20">
        <f>IF(SQRT((Coordenadas!$C$120-Coordenadas!$C$160)^2+(Coordenadas!$D$120-Coordenadas!$D$160)^2)&lt;=LEEME!$B$20,EXP(-LEEME!$B$19*SQRT((Coordenadas!$C$120-Coordenadas!$C$160)^2+(Coordenadas!$D$120-Coordenadas!$D$160)^2)),0)</f>
        <v>0.37343448792077455</v>
      </c>
    </row>
    <row r="410" spans="1:3">
      <c r="A410" t="s">
        <v>167</v>
      </c>
      <c r="B410" t="s">
        <v>211</v>
      </c>
      <c r="C410" s="20">
        <f>IF(SQRT((Coordenadas!$C$120-Coordenadas!$C$162)^2+(Coordenadas!$D$120-Coordenadas!$D$162)^2)&lt;=LEEME!$B$20,EXP(-LEEME!$B$19*SQRT((Coordenadas!$C$120-Coordenadas!$C$162)^2+(Coordenadas!$D$120-Coordenadas!$D$162)^2)),0)</f>
        <v>0.52926893359073957</v>
      </c>
    </row>
    <row r="411" spans="1:3">
      <c r="A411" t="s">
        <v>167</v>
      </c>
      <c r="B411" t="s">
        <v>212</v>
      </c>
      <c r="C411" s="20">
        <f>IF(SQRT((Coordenadas!$C$120-Coordenadas!$C$163)^2+(Coordenadas!$D$120-Coordenadas!$D$163)^2)&lt;=LEEME!$B$20,EXP(-LEEME!$B$19*SQRT((Coordenadas!$C$120-Coordenadas!$C$163)^2+(Coordenadas!$D$120-Coordenadas!$D$163)^2)),0)</f>
        <v>0.77950328664604995</v>
      </c>
    </row>
    <row r="412" spans="1:3">
      <c r="A412" t="s">
        <v>168</v>
      </c>
      <c r="B412" t="s">
        <v>193</v>
      </c>
      <c r="C412" s="20">
        <f>IF(SQRT((Coordenadas!$C$121-Coordenadas!$C$144)^2+(Coordenadas!$D$121-Coordenadas!$D$144)^2)&lt;=LEEME!$B$20,EXP(-LEEME!$B$19*SQRT((Coordenadas!$C$121-Coordenadas!$C$144)^2+(Coordenadas!$D$121-Coordenadas!$D$144)^2)),0)</f>
        <v>0.78806862348408435</v>
      </c>
    </row>
    <row r="413" spans="1:3">
      <c r="A413" t="s">
        <v>168</v>
      </c>
      <c r="B413" t="s">
        <v>198</v>
      </c>
      <c r="C413" s="20">
        <f>IF(SQRT((Coordenadas!$C$121-Coordenadas!$C$149)^2+(Coordenadas!$D$121-Coordenadas!$D$149)^2)&lt;=LEEME!$B$20,EXP(-LEEME!$B$19*SQRT((Coordenadas!$C$121-Coordenadas!$C$149)^2+(Coordenadas!$D$121-Coordenadas!$D$149)^2)),0)</f>
        <v>0.39623157731473591</v>
      </c>
    </row>
    <row r="414" spans="1:3">
      <c r="A414" t="s">
        <v>168</v>
      </c>
      <c r="B414" t="s">
        <v>204</v>
      </c>
      <c r="C414" s="20">
        <f>IF(SQRT((Coordenadas!$C$121-Coordenadas!$C$155)^2+(Coordenadas!$D$121-Coordenadas!$D$155)^2)&lt;=LEEME!$B$20,EXP(-LEEME!$B$19*SQRT((Coordenadas!$C$121-Coordenadas!$C$155)^2+(Coordenadas!$D$121-Coordenadas!$D$155)^2)),0)</f>
        <v>0.47138484032878536</v>
      </c>
    </row>
    <row r="415" spans="1:3">
      <c r="A415" t="s">
        <v>168</v>
      </c>
      <c r="B415" t="s">
        <v>206</v>
      </c>
      <c r="C415" s="20">
        <f>IF(SQRT((Coordenadas!$C$121-Coordenadas!$C$157)^2+(Coordenadas!$D$121-Coordenadas!$D$157)^2)&lt;=LEEME!$B$20,EXP(-LEEME!$B$19*SQRT((Coordenadas!$C$121-Coordenadas!$C$157)^2+(Coordenadas!$D$121-Coordenadas!$D$157)^2)),0)</f>
        <v>0.44509161633889704</v>
      </c>
    </row>
    <row r="416" spans="1:3">
      <c r="A416" t="s">
        <v>168</v>
      </c>
      <c r="B416" t="s">
        <v>209</v>
      </c>
      <c r="C416" s="20">
        <f>IF(SQRT((Coordenadas!$C$121-Coordenadas!$C$160)^2+(Coordenadas!$D$121-Coordenadas!$D$160)^2)&lt;=LEEME!$B$20,EXP(-LEEME!$B$19*SQRT((Coordenadas!$C$121-Coordenadas!$C$160)^2+(Coordenadas!$D$121-Coordenadas!$D$160)^2)),0)</f>
        <v>0.48565663451196883</v>
      </c>
    </row>
    <row r="417" spans="1:3">
      <c r="A417" t="s">
        <v>168</v>
      </c>
      <c r="B417" t="s">
        <v>211</v>
      </c>
      <c r="C417" s="20">
        <f>IF(SQRT((Coordenadas!$C$121-Coordenadas!$C$162)^2+(Coordenadas!$D$121-Coordenadas!$D$162)^2)&lt;=LEEME!$B$20,EXP(-LEEME!$B$19*SQRT((Coordenadas!$C$121-Coordenadas!$C$162)^2+(Coordenadas!$D$121-Coordenadas!$D$162)^2)),0)</f>
        <v>0.44556642940247432</v>
      </c>
    </row>
    <row r="418" spans="1:3">
      <c r="A418" t="s">
        <v>168</v>
      </c>
      <c r="B418" t="s">
        <v>212</v>
      </c>
      <c r="C418" s="20">
        <f>IF(SQRT((Coordenadas!$C$121-Coordenadas!$C$163)^2+(Coordenadas!$D$121-Coordenadas!$D$163)^2)&lt;=LEEME!$B$20,EXP(-LEEME!$B$19*SQRT((Coordenadas!$C$121-Coordenadas!$C$163)^2+(Coordenadas!$D$121-Coordenadas!$D$163)^2)),0)</f>
        <v>0.8803149939918985</v>
      </c>
    </row>
    <row r="419" spans="1:3">
      <c r="A419" t="s">
        <v>169</v>
      </c>
      <c r="B419" t="s">
        <v>193</v>
      </c>
      <c r="C419" s="20">
        <f>IF(SQRT((Coordenadas!$C$122-Coordenadas!$C$144)^2+(Coordenadas!$D$122-Coordenadas!$D$144)^2)&lt;=LEEME!$B$20,EXP(-LEEME!$B$19*SQRT((Coordenadas!$C$122-Coordenadas!$C$144)^2+(Coordenadas!$D$122-Coordenadas!$D$144)^2)),0)</f>
        <v>0.80233652214267537</v>
      </c>
    </row>
    <row r="420" spans="1:3">
      <c r="A420" t="s">
        <v>169</v>
      </c>
      <c r="B420" t="s">
        <v>198</v>
      </c>
      <c r="C420" s="20">
        <f>IF(SQRT((Coordenadas!$C$122-Coordenadas!$C$149)^2+(Coordenadas!$D$122-Coordenadas!$D$149)^2)&lt;=LEEME!$B$20,EXP(-LEEME!$B$19*SQRT((Coordenadas!$C$122-Coordenadas!$C$149)^2+(Coordenadas!$D$122-Coordenadas!$D$149)^2)),0)</f>
        <v>0.4554888095176014</v>
      </c>
    </row>
    <row r="421" spans="1:3">
      <c r="A421" t="s">
        <v>169</v>
      </c>
      <c r="B421" t="s">
        <v>204</v>
      </c>
      <c r="C421" s="20">
        <f>IF(SQRT((Coordenadas!$C$122-Coordenadas!$C$155)^2+(Coordenadas!$D$122-Coordenadas!$D$155)^2)&lt;=LEEME!$B$20,EXP(-LEEME!$B$19*SQRT((Coordenadas!$C$122-Coordenadas!$C$155)^2+(Coordenadas!$D$122-Coordenadas!$D$155)^2)),0)</f>
        <v>0.50203089991236149</v>
      </c>
    </row>
    <row r="422" spans="1:3">
      <c r="A422" t="s">
        <v>169</v>
      </c>
      <c r="B422" t="s">
        <v>211</v>
      </c>
      <c r="C422" s="20">
        <f>IF(SQRT((Coordenadas!$C$122-Coordenadas!$C$162)^2+(Coordenadas!$D$122-Coordenadas!$D$162)^2)&lt;=LEEME!$B$20,EXP(-LEEME!$B$19*SQRT((Coordenadas!$C$122-Coordenadas!$C$162)^2+(Coordenadas!$D$122-Coordenadas!$D$162)^2)),0)</f>
        <v>0.58763552422120791</v>
      </c>
    </row>
    <row r="423" spans="1:3">
      <c r="A423" t="s">
        <v>169</v>
      </c>
      <c r="B423" t="s">
        <v>212</v>
      </c>
      <c r="C423" s="20">
        <f>IF(SQRT((Coordenadas!$C$122-Coordenadas!$C$163)^2+(Coordenadas!$D$122-Coordenadas!$D$163)^2)&lt;=LEEME!$B$20,EXP(-LEEME!$B$19*SQRT((Coordenadas!$C$122-Coordenadas!$C$163)^2+(Coordenadas!$D$122-Coordenadas!$D$163)^2)),0)</f>
        <v>0.66517374442589317</v>
      </c>
    </row>
    <row r="424" spans="1:3">
      <c r="A424" t="s">
        <v>170</v>
      </c>
      <c r="B424" t="s">
        <v>196</v>
      </c>
      <c r="C424" s="20">
        <f>IF(SQRT((Coordenadas!$C$123-Coordenadas!$C$147)^2+(Coordenadas!$D$123-Coordenadas!$D$147)^2)&lt;=LEEME!$B$20,EXP(-LEEME!$B$19*SQRT((Coordenadas!$C$123-Coordenadas!$C$147)^2+(Coordenadas!$D$123-Coordenadas!$D$147)^2)),0)</f>
        <v>0.79609632829000443</v>
      </c>
    </row>
    <row r="425" spans="1:3">
      <c r="A425" t="s">
        <v>170</v>
      </c>
      <c r="B425" t="s">
        <v>210</v>
      </c>
      <c r="C425" s="20">
        <f>IF(SQRT((Coordenadas!$C$123-Coordenadas!$C$161)^2+(Coordenadas!$D$123-Coordenadas!$D$161)^2)&lt;=LEEME!$B$20,EXP(-LEEME!$B$19*SQRT((Coordenadas!$C$123-Coordenadas!$C$161)^2+(Coordenadas!$D$123-Coordenadas!$D$161)^2)),0)</f>
        <v>0.70174217466913535</v>
      </c>
    </row>
    <row r="426" spans="1:3">
      <c r="A426" t="s">
        <v>171</v>
      </c>
      <c r="B426" t="s">
        <v>196</v>
      </c>
      <c r="C426" s="20">
        <f>IF(SQRT((Coordenadas!$C$124-Coordenadas!$C$147)^2+(Coordenadas!$D$124-Coordenadas!$D$147)^2)&lt;=LEEME!$B$20,EXP(-LEEME!$B$19*SQRT((Coordenadas!$C$124-Coordenadas!$C$147)^2+(Coordenadas!$D$124-Coordenadas!$D$147)^2)),0)</f>
        <v>0.96049040276271536</v>
      </c>
    </row>
    <row r="427" spans="1:3">
      <c r="A427" t="s">
        <v>171</v>
      </c>
      <c r="B427" t="s">
        <v>210</v>
      </c>
      <c r="C427" s="20">
        <f>IF(SQRT((Coordenadas!$C$124-Coordenadas!$C$161)^2+(Coordenadas!$D$124-Coordenadas!$D$161)^2)&lt;=LEEME!$B$20,EXP(-LEEME!$B$19*SQRT((Coordenadas!$C$124-Coordenadas!$C$161)^2+(Coordenadas!$D$124-Coordenadas!$D$161)^2)),0)</f>
        <v>0.58792587428964094</v>
      </c>
    </row>
    <row r="428" spans="1:3">
      <c r="A428" t="s">
        <v>172</v>
      </c>
      <c r="B428" t="s">
        <v>196</v>
      </c>
      <c r="C428" s="20">
        <f>IF(SQRT((Coordenadas!$C$125-Coordenadas!$C$147)^2+(Coordenadas!$D$125-Coordenadas!$D$147)^2)&lt;=LEEME!$B$20,EXP(-LEEME!$B$19*SQRT((Coordenadas!$C$125-Coordenadas!$C$147)^2+(Coordenadas!$D$125-Coordenadas!$D$147)^2)),0)</f>
        <v>0.80247320748513973</v>
      </c>
    </row>
    <row r="429" spans="1:3">
      <c r="A429" t="s">
        <v>172</v>
      </c>
      <c r="B429" t="s">
        <v>210</v>
      </c>
      <c r="C429" s="20">
        <f>IF(SQRT((Coordenadas!$C$125-Coordenadas!$C$161)^2+(Coordenadas!$D$125-Coordenadas!$D$161)^2)&lt;=LEEME!$B$20,EXP(-LEEME!$B$19*SQRT((Coordenadas!$C$125-Coordenadas!$C$161)^2+(Coordenadas!$D$125-Coordenadas!$D$161)^2)),0)</f>
        <v>0.61519004526459198</v>
      </c>
    </row>
    <row r="430" spans="1:3">
      <c r="A430" t="s">
        <v>173</v>
      </c>
      <c r="B430" t="s">
        <v>196</v>
      </c>
      <c r="C430" s="20">
        <f>IF(SQRT((Coordenadas!$C$126-Coordenadas!$C$147)^2+(Coordenadas!$D$126-Coordenadas!$D$147)^2)&lt;=LEEME!$B$20,EXP(-LEEME!$B$19*SQRT((Coordenadas!$C$126-Coordenadas!$C$147)^2+(Coordenadas!$D$126-Coordenadas!$D$147)^2)),0)</f>
        <v>0.67651513400053631</v>
      </c>
    </row>
    <row r="431" spans="1:3">
      <c r="A431" t="s">
        <v>173</v>
      </c>
      <c r="B431" t="s">
        <v>210</v>
      </c>
      <c r="C431" s="20">
        <f>IF(SQRT((Coordenadas!$C$126-Coordenadas!$C$161)^2+(Coordenadas!$D$126-Coordenadas!$D$161)^2)&lt;=LEEME!$B$20,EXP(-LEEME!$B$19*SQRT((Coordenadas!$C$126-Coordenadas!$C$161)^2+(Coordenadas!$D$126-Coordenadas!$D$161)^2)),0)</f>
        <v>0.59525071652998585</v>
      </c>
    </row>
    <row r="432" spans="1:3">
      <c r="A432" t="s">
        <v>174</v>
      </c>
      <c r="B432" t="s">
        <v>196</v>
      </c>
      <c r="C432" s="20">
        <f>IF(SQRT((Coordenadas!$C$127-Coordenadas!$C$147)^2+(Coordenadas!$D$127-Coordenadas!$D$147)^2)&lt;=LEEME!$B$20,EXP(-LEEME!$B$19*SQRT((Coordenadas!$C$127-Coordenadas!$C$147)^2+(Coordenadas!$D$127-Coordenadas!$D$147)^2)),0)</f>
        <v>0.54046515216260949</v>
      </c>
    </row>
    <row r="433" spans="1:3">
      <c r="A433" t="s">
        <v>174</v>
      </c>
      <c r="B433" t="s">
        <v>210</v>
      </c>
      <c r="C433" s="20">
        <f>IF(SQRT((Coordenadas!$C$127-Coordenadas!$C$161)^2+(Coordenadas!$D$127-Coordenadas!$D$161)^2)&lt;=LEEME!$B$20,EXP(-LEEME!$B$19*SQRT((Coordenadas!$C$127-Coordenadas!$C$161)^2+(Coordenadas!$D$127-Coordenadas!$D$161)^2)),0)</f>
        <v>0.54999267682133679</v>
      </c>
    </row>
    <row r="434" spans="1:3">
      <c r="A434" t="s">
        <v>175</v>
      </c>
      <c r="B434" t="s">
        <v>196</v>
      </c>
      <c r="C434" s="20">
        <f>IF(SQRT((Coordenadas!$C$128-Coordenadas!$C$147)^2+(Coordenadas!$D$128-Coordenadas!$D$147)^2)&lt;=LEEME!$B$20,EXP(-LEEME!$B$19*SQRT((Coordenadas!$C$128-Coordenadas!$C$147)^2+(Coordenadas!$D$128-Coordenadas!$D$147)^2)),0)</f>
        <v>0.37860978488558611</v>
      </c>
    </row>
    <row r="435" spans="1:3">
      <c r="A435" t="s">
        <v>175</v>
      </c>
      <c r="B435" t="s">
        <v>210</v>
      </c>
      <c r="C435" s="20">
        <f>IF(SQRT((Coordenadas!$C$128-Coordenadas!$C$161)^2+(Coordenadas!$D$128-Coordenadas!$D$161)^2)&lt;=LEEME!$B$20,EXP(-LEEME!$B$19*SQRT((Coordenadas!$C$128-Coordenadas!$C$161)^2+(Coordenadas!$D$128-Coordenadas!$D$161)^2)),0)</f>
        <v>0.46403035257388098</v>
      </c>
    </row>
    <row r="436" spans="1:3">
      <c r="A436" t="s">
        <v>176</v>
      </c>
      <c r="B436" t="s">
        <v>196</v>
      </c>
      <c r="C436" s="20">
        <f>IF(SQRT((Coordenadas!$C$129-Coordenadas!$C$147)^2+(Coordenadas!$D$129-Coordenadas!$D$147)^2)&lt;=LEEME!$B$20,EXP(-LEEME!$B$19*SQRT((Coordenadas!$C$129-Coordenadas!$C$147)^2+(Coordenadas!$D$129-Coordenadas!$D$147)^2)),0)</f>
        <v>0.52372921774051795</v>
      </c>
    </row>
    <row r="437" spans="1:3">
      <c r="A437" t="s">
        <v>176</v>
      </c>
      <c r="B437" t="s">
        <v>210</v>
      </c>
      <c r="C437" s="20">
        <f>IF(SQRT((Coordenadas!$C$129-Coordenadas!$C$161)^2+(Coordenadas!$D$129-Coordenadas!$D$161)^2)&lt;=LEEME!$B$20,EXP(-LEEME!$B$19*SQRT((Coordenadas!$C$129-Coordenadas!$C$161)^2+(Coordenadas!$D$129-Coordenadas!$D$161)^2)),0)</f>
        <v>0.66041985612131182</v>
      </c>
    </row>
    <row r="438" spans="1:3">
      <c r="A438" t="s">
        <v>177</v>
      </c>
      <c r="B438" t="s">
        <v>196</v>
      </c>
      <c r="C438" s="20">
        <f>IF(SQRT((Coordenadas!$C$130-Coordenadas!$C$147)^2+(Coordenadas!$D$130-Coordenadas!$D$147)^2)&lt;=LEEME!$B$20,EXP(-LEEME!$B$19*SQRT((Coordenadas!$C$130-Coordenadas!$C$147)^2+(Coordenadas!$D$130-Coordenadas!$D$147)^2)),0)</f>
        <v>0.58361341222758156</v>
      </c>
    </row>
    <row r="439" spans="1:3">
      <c r="A439" t="s">
        <v>177</v>
      </c>
      <c r="B439" t="s">
        <v>210</v>
      </c>
      <c r="C439" s="20">
        <f>IF(SQRT((Coordenadas!$C$130-Coordenadas!$C$161)^2+(Coordenadas!$D$130-Coordenadas!$D$161)^2)&lt;=LEEME!$B$20,EXP(-LEEME!$B$19*SQRT((Coordenadas!$C$130-Coordenadas!$C$161)^2+(Coordenadas!$D$130-Coordenadas!$D$161)^2)),0)</f>
        <v>0.7039346219879532</v>
      </c>
    </row>
    <row r="440" spans="1:3">
      <c r="A440" t="s">
        <v>178</v>
      </c>
      <c r="B440" t="s">
        <v>196</v>
      </c>
      <c r="C440" s="20">
        <f>IF(SQRT((Coordenadas!$C$131-Coordenadas!$C$147)^2+(Coordenadas!$D$131-Coordenadas!$D$147)^2)&lt;=LEEME!$B$20,EXP(-LEEME!$B$19*SQRT((Coordenadas!$C$131-Coordenadas!$C$147)^2+(Coordenadas!$D$131-Coordenadas!$D$147)^2)),0)</f>
        <v>0.68383891511479378</v>
      </c>
    </row>
    <row r="441" spans="1:3">
      <c r="A441" t="s">
        <v>178</v>
      </c>
      <c r="B441" t="s">
        <v>210</v>
      </c>
      <c r="C441" s="20">
        <f>IF(SQRT((Coordenadas!$C$131-Coordenadas!$C$161)^2+(Coordenadas!$D$131-Coordenadas!$D$161)^2)&lt;=LEEME!$B$20,EXP(-LEEME!$B$19*SQRT((Coordenadas!$C$131-Coordenadas!$C$161)^2+(Coordenadas!$D$131-Coordenadas!$D$161)^2)),0)</f>
        <v>0.75494237591489566</v>
      </c>
    </row>
    <row r="442" spans="1:3">
      <c r="A442" t="s">
        <v>179</v>
      </c>
      <c r="B442" t="s">
        <v>193</v>
      </c>
      <c r="C442" s="20">
        <f>IF(SQRT((Coordenadas!$C$132-Coordenadas!$C$144)^2+(Coordenadas!$D$132-Coordenadas!$D$144)^2)&lt;=LEEME!$B$20,EXP(-LEEME!$B$19*SQRT((Coordenadas!$C$132-Coordenadas!$C$144)^2+(Coordenadas!$D$132-Coordenadas!$D$144)^2)),0)</f>
        <v>0.49658530379140953</v>
      </c>
    </row>
    <row r="443" spans="1:3">
      <c r="A443" t="s">
        <v>179</v>
      </c>
      <c r="B443" t="s">
        <v>204</v>
      </c>
      <c r="C443" s="20">
        <f>IF(SQRT((Coordenadas!$C$132-Coordenadas!$C$155)^2+(Coordenadas!$D$132-Coordenadas!$D$155)^2)&lt;=LEEME!$B$20,EXP(-LEEME!$B$19*SQRT((Coordenadas!$C$132-Coordenadas!$C$155)^2+(Coordenadas!$D$132-Coordenadas!$D$155)^2)),0)</f>
        <v>0.40610717791498741</v>
      </c>
    </row>
    <row r="444" spans="1:3">
      <c r="A444" t="s">
        <v>179</v>
      </c>
      <c r="B444" t="s">
        <v>206</v>
      </c>
      <c r="C444" s="20">
        <f>IF(SQRT((Coordenadas!$C$132-Coordenadas!$C$157)^2+(Coordenadas!$D$132-Coordenadas!$D$157)^2)&lt;=LEEME!$B$20,EXP(-LEEME!$B$19*SQRT((Coordenadas!$C$132-Coordenadas!$C$157)^2+(Coordenadas!$D$132-Coordenadas!$D$157)^2)),0)</f>
        <v>0.63126649179975669</v>
      </c>
    </row>
    <row r="445" spans="1:3">
      <c r="A445" t="s">
        <v>179</v>
      </c>
      <c r="B445" t="s">
        <v>207</v>
      </c>
      <c r="C445" s="20">
        <f>IF(SQRT((Coordenadas!$C$132-Coordenadas!$C$158)^2+(Coordenadas!$D$132-Coordenadas!$D$158)^2)&lt;=LEEME!$B$20,EXP(-LEEME!$B$19*SQRT((Coordenadas!$C$132-Coordenadas!$C$158)^2+(Coordenadas!$D$132-Coordenadas!$D$158)^2)),0)</f>
        <v>0.37839550846879094</v>
      </c>
    </row>
    <row r="446" spans="1:3">
      <c r="A446" t="s">
        <v>179</v>
      </c>
      <c r="B446" t="s">
        <v>209</v>
      </c>
      <c r="C446" s="20">
        <f>IF(SQRT((Coordenadas!$C$132-Coordenadas!$C$160)^2+(Coordenadas!$D$132-Coordenadas!$D$160)^2)&lt;=LEEME!$B$20,EXP(-LEEME!$B$19*SQRT((Coordenadas!$C$132-Coordenadas!$C$160)^2+(Coordenadas!$D$132-Coordenadas!$D$160)^2)),0)</f>
        <v>0.54481464615838382</v>
      </c>
    </row>
    <row r="447" spans="1:3">
      <c r="A447" t="s">
        <v>179</v>
      </c>
      <c r="B447" t="s">
        <v>212</v>
      </c>
      <c r="C447" s="20">
        <f>IF(SQRT((Coordenadas!$C$132-Coordenadas!$C$163)^2+(Coordenadas!$D$132-Coordenadas!$D$163)^2)&lt;=LEEME!$B$20,EXP(-LEEME!$B$19*SQRT((Coordenadas!$C$132-Coordenadas!$C$163)^2+(Coordenadas!$D$132-Coordenadas!$D$163)^2)),0)</f>
        <v>0.68747264560008936</v>
      </c>
    </row>
    <row r="448" spans="1:3">
      <c r="A448" t="s">
        <v>180</v>
      </c>
      <c r="B448" t="s">
        <v>197</v>
      </c>
      <c r="C448" s="20">
        <f>IF(SQRT((Coordenadas!$C$133-Coordenadas!$C$148)^2+(Coordenadas!$D$133-Coordenadas!$D$148)^2)&lt;=LEEME!$B$20,EXP(-LEEME!$B$19*SQRT((Coordenadas!$C$133-Coordenadas!$C$148)^2+(Coordenadas!$D$133-Coordenadas!$D$148)^2)),0)</f>
        <v>0.44602856544894409</v>
      </c>
    </row>
    <row r="449" spans="1:3">
      <c r="A449" t="s">
        <v>180</v>
      </c>
      <c r="B449" t="s">
        <v>206</v>
      </c>
      <c r="C449" s="20">
        <f>IF(SQRT((Coordenadas!$C$133-Coordenadas!$C$157)^2+(Coordenadas!$D$133-Coordenadas!$D$157)^2)&lt;=LEEME!$B$20,EXP(-LEEME!$B$19*SQRT((Coordenadas!$C$133-Coordenadas!$C$157)^2+(Coordenadas!$D$133-Coordenadas!$D$157)^2)),0)</f>
        <v>0.67530720721300685</v>
      </c>
    </row>
    <row r="450" spans="1:3">
      <c r="A450" t="s">
        <v>180</v>
      </c>
      <c r="B450" t="s">
        <v>207</v>
      </c>
      <c r="C450" s="20">
        <f>IF(SQRT((Coordenadas!$C$133-Coordenadas!$C$158)^2+(Coordenadas!$D$133-Coordenadas!$D$158)^2)&lt;=LEEME!$B$20,EXP(-LEEME!$B$19*SQRT((Coordenadas!$C$133-Coordenadas!$C$158)^2+(Coordenadas!$D$133-Coordenadas!$D$158)^2)),0)</f>
        <v>0.46436302463264889</v>
      </c>
    </row>
    <row r="451" spans="1:3">
      <c r="A451" t="s">
        <v>180</v>
      </c>
      <c r="B451" t="s">
        <v>209</v>
      </c>
      <c r="C451" s="20">
        <f>IF(SQRT((Coordenadas!$C$133-Coordenadas!$C$160)^2+(Coordenadas!$D$133-Coordenadas!$D$160)^2)&lt;=LEEME!$B$20,EXP(-LEEME!$B$19*SQRT((Coordenadas!$C$133-Coordenadas!$C$160)^2+(Coordenadas!$D$133-Coordenadas!$D$160)^2)),0)</f>
        <v>0.47898421764994958</v>
      </c>
    </row>
    <row r="452" spans="1:3">
      <c r="A452" t="s">
        <v>180</v>
      </c>
      <c r="B452" t="s">
        <v>212</v>
      </c>
      <c r="C452" s="20">
        <f>IF(SQRT((Coordenadas!$C$133-Coordenadas!$C$163)^2+(Coordenadas!$D$133-Coordenadas!$D$163)^2)&lt;=LEEME!$B$20,EXP(-LEEME!$B$19*SQRT((Coordenadas!$C$133-Coordenadas!$C$163)^2+(Coordenadas!$D$133-Coordenadas!$D$163)^2)),0)</f>
        <v>0.49875156113456254</v>
      </c>
    </row>
    <row r="453" spans="1:3">
      <c r="A453" t="s">
        <v>181</v>
      </c>
      <c r="B453" t="s">
        <v>197</v>
      </c>
      <c r="C453" s="20">
        <f>IF(SQRT((Coordenadas!$C$134-Coordenadas!$C$148)^2+(Coordenadas!$D$134-Coordenadas!$D$148)^2)&lt;=LEEME!$B$20,EXP(-LEEME!$B$19*SQRT((Coordenadas!$C$134-Coordenadas!$C$148)^2+(Coordenadas!$D$134-Coordenadas!$D$148)^2)),0)</f>
        <v>0.55877920883212762</v>
      </c>
    </row>
    <row r="454" spans="1:3">
      <c r="A454" t="s">
        <v>181</v>
      </c>
      <c r="B454" t="s">
        <v>206</v>
      </c>
      <c r="C454" s="20">
        <f>IF(SQRT((Coordenadas!$C$134-Coordenadas!$C$157)^2+(Coordenadas!$D$134-Coordenadas!$D$157)^2)&lt;=LEEME!$B$20,EXP(-LEEME!$B$19*SQRT((Coordenadas!$C$134-Coordenadas!$C$157)^2+(Coordenadas!$D$134-Coordenadas!$D$157)^2)),0)</f>
        <v>0.55912754015491639</v>
      </c>
    </row>
    <row r="455" spans="1:3">
      <c r="A455" t="s">
        <v>181</v>
      </c>
      <c r="B455" t="s">
        <v>207</v>
      </c>
      <c r="C455" s="20">
        <f>IF(SQRT((Coordenadas!$C$134-Coordenadas!$C$158)^2+(Coordenadas!$D$134-Coordenadas!$D$158)^2)&lt;=LEEME!$B$20,EXP(-LEEME!$B$19*SQRT((Coordenadas!$C$134-Coordenadas!$C$158)^2+(Coordenadas!$D$134-Coordenadas!$D$158)^2)),0)</f>
        <v>0.56335422793272594</v>
      </c>
    </row>
    <row r="456" spans="1:3">
      <c r="A456" t="s">
        <v>181</v>
      </c>
      <c r="B456" t="s">
        <v>209</v>
      </c>
      <c r="C456" s="20">
        <f>IF(SQRT((Coordenadas!$C$134-Coordenadas!$C$160)^2+(Coordenadas!$D$134-Coordenadas!$D$160)^2)&lt;=LEEME!$B$20,EXP(-LEEME!$B$19*SQRT((Coordenadas!$C$134-Coordenadas!$C$160)^2+(Coordenadas!$D$134-Coordenadas!$D$160)^2)),0)</f>
        <v>0.44332619624309877</v>
      </c>
    </row>
    <row r="457" spans="1:3">
      <c r="A457" t="s">
        <v>181</v>
      </c>
      <c r="B457" t="s">
        <v>212</v>
      </c>
      <c r="C457" s="20">
        <f>IF(SQRT((Coordenadas!$C$134-Coordenadas!$C$163)^2+(Coordenadas!$D$134-Coordenadas!$D$163)^2)&lt;=LEEME!$B$20,EXP(-LEEME!$B$19*SQRT((Coordenadas!$C$134-Coordenadas!$C$163)^2+(Coordenadas!$D$134-Coordenadas!$D$163)^2)),0)</f>
        <v>0.39204604166662854</v>
      </c>
    </row>
    <row r="458" spans="1:3">
      <c r="A458" t="s">
        <v>182</v>
      </c>
      <c r="B458" t="s">
        <v>197</v>
      </c>
      <c r="C458" s="20">
        <f>IF(SQRT((Coordenadas!$C$135-Coordenadas!$C$148)^2+(Coordenadas!$D$135-Coordenadas!$D$148)^2)&lt;=LEEME!$B$20,EXP(-LEEME!$B$19*SQRT((Coordenadas!$C$135-Coordenadas!$C$148)^2+(Coordenadas!$D$135-Coordenadas!$D$148)^2)),0)</f>
        <v>0.56095086641021341</v>
      </c>
    </row>
    <row r="459" spans="1:3">
      <c r="A459" t="s">
        <v>182</v>
      </c>
      <c r="B459" t="s">
        <v>207</v>
      </c>
      <c r="C459" s="20">
        <f>IF(SQRT((Coordenadas!$C$135-Coordenadas!$C$158)^2+(Coordenadas!$D$135-Coordenadas!$D$158)^2)&lt;=LEEME!$B$20,EXP(-LEEME!$B$19*SQRT((Coordenadas!$C$135-Coordenadas!$C$158)^2+(Coordenadas!$D$135-Coordenadas!$D$158)^2)),0)</f>
        <v>0.85470133686217797</v>
      </c>
    </row>
    <row r="460" spans="1:3">
      <c r="A460" t="s">
        <v>182</v>
      </c>
      <c r="B460" t="s">
        <v>209</v>
      </c>
      <c r="C460" s="20">
        <f>IF(SQRT((Coordenadas!$C$135-Coordenadas!$C$160)^2+(Coordenadas!$D$135-Coordenadas!$D$160)^2)&lt;=LEEME!$B$20,EXP(-LEEME!$B$19*SQRT((Coordenadas!$C$135-Coordenadas!$C$160)^2+(Coordenadas!$D$135-Coordenadas!$D$160)^2)),0)</f>
        <v>0.41600043108318624</v>
      </c>
    </row>
    <row r="461" spans="1:3">
      <c r="A461" t="s">
        <v>183</v>
      </c>
      <c r="B461" t="s">
        <v>193</v>
      </c>
      <c r="C461" s="20">
        <f>IF(SQRT((Coordenadas!$C$136-Coordenadas!$C$144)^2+(Coordenadas!$D$136-Coordenadas!$D$144)^2)&lt;=LEEME!$B$20,EXP(-LEEME!$B$19*SQRT((Coordenadas!$C$136-Coordenadas!$C$144)^2+(Coordenadas!$D$136-Coordenadas!$D$144)^2)),0)</f>
        <v>0.40407309941692809</v>
      </c>
    </row>
    <row r="462" spans="1:3">
      <c r="A462" t="s">
        <v>183</v>
      </c>
      <c r="B462" t="s">
        <v>197</v>
      </c>
      <c r="C462" s="20">
        <f>IF(SQRT((Coordenadas!$C$136-Coordenadas!$C$148)^2+(Coordenadas!$D$136-Coordenadas!$D$148)^2)&lt;=LEEME!$B$20,EXP(-LEEME!$B$19*SQRT((Coordenadas!$C$136-Coordenadas!$C$148)^2+(Coordenadas!$D$136-Coordenadas!$D$148)^2)),0)</f>
        <v>0.37553623038102457</v>
      </c>
    </row>
    <row r="463" spans="1:3">
      <c r="A463" t="s">
        <v>183</v>
      </c>
      <c r="B463" t="s">
        <v>206</v>
      </c>
      <c r="C463" s="20">
        <f>IF(SQRT((Coordenadas!$C$136-Coordenadas!$C$157)^2+(Coordenadas!$D$136-Coordenadas!$D$157)^2)&lt;=LEEME!$B$20,EXP(-LEEME!$B$19*SQRT((Coordenadas!$C$136-Coordenadas!$C$157)^2+(Coordenadas!$D$136-Coordenadas!$D$157)^2)),0)</f>
        <v>0.50672877657662452</v>
      </c>
    </row>
    <row r="464" spans="1:3">
      <c r="A464" t="s">
        <v>183</v>
      </c>
      <c r="B464" t="s">
        <v>207</v>
      </c>
      <c r="C464" s="20">
        <f>IF(SQRT((Coordenadas!$C$136-Coordenadas!$C$158)^2+(Coordenadas!$D$136-Coordenadas!$D$158)^2)&lt;=LEEME!$B$20,EXP(-LEEME!$B$19*SQRT((Coordenadas!$C$136-Coordenadas!$C$158)^2+(Coordenadas!$D$136-Coordenadas!$D$158)^2)),0)</f>
        <v>0.52168467766327875</v>
      </c>
    </row>
    <row r="465" spans="1:3">
      <c r="A465" t="s">
        <v>183</v>
      </c>
      <c r="B465" t="s">
        <v>209</v>
      </c>
      <c r="C465" s="20">
        <f>IF(SQRT((Coordenadas!$C$136-Coordenadas!$C$160)^2+(Coordenadas!$D$136-Coordenadas!$D$160)^2)&lt;=LEEME!$B$20,EXP(-LEEME!$B$19*SQRT((Coordenadas!$C$136-Coordenadas!$C$160)^2+(Coordenadas!$D$136-Coordenadas!$D$160)^2)),0)</f>
        <v>0.65972467712822291</v>
      </c>
    </row>
    <row r="466" spans="1:3">
      <c r="A466" t="s">
        <v>183</v>
      </c>
      <c r="B466" t="s">
        <v>212</v>
      </c>
      <c r="C466" s="20">
        <f>IF(SQRT((Coordenadas!$C$136-Coordenadas!$C$163)^2+(Coordenadas!$D$136-Coordenadas!$D$163)^2)&lt;=LEEME!$B$20,EXP(-LEEME!$B$19*SQRT((Coordenadas!$C$136-Coordenadas!$C$163)^2+(Coordenadas!$D$136-Coordenadas!$D$163)^2)),0)</f>
        <v>0.51649923767553119</v>
      </c>
    </row>
    <row r="467" spans="1:3">
      <c r="A467" t="s">
        <v>184</v>
      </c>
      <c r="B467" t="s">
        <v>193</v>
      </c>
      <c r="C467" s="20">
        <f>IF(SQRT((Coordenadas!$C$137-Coordenadas!$C$144)^2+(Coordenadas!$D$137-Coordenadas!$D$144)^2)&lt;=LEEME!$B$20,EXP(-LEEME!$B$19*SQRT((Coordenadas!$C$137-Coordenadas!$C$144)^2+(Coordenadas!$D$137-Coordenadas!$D$144)^2)),0)</f>
        <v>0.43154356331485333</v>
      </c>
    </row>
    <row r="468" spans="1:3">
      <c r="A468" t="s">
        <v>184</v>
      </c>
      <c r="B468" t="s">
        <v>203</v>
      </c>
      <c r="C468" s="20">
        <f>IF(SQRT((Coordenadas!$C$137-Coordenadas!$C$154)^2+(Coordenadas!$D$137-Coordenadas!$D$154)^2)&lt;=LEEME!$B$20,EXP(-LEEME!$B$19*SQRT((Coordenadas!$C$137-Coordenadas!$C$154)^2+(Coordenadas!$D$137-Coordenadas!$D$154)^2)),0)</f>
        <v>0.42887227756726737</v>
      </c>
    </row>
    <row r="469" spans="1:3">
      <c r="A469" t="s">
        <v>184</v>
      </c>
      <c r="B469" t="s">
        <v>206</v>
      </c>
      <c r="C469" s="20">
        <f>IF(SQRT((Coordenadas!$C$137-Coordenadas!$C$157)^2+(Coordenadas!$D$137-Coordenadas!$D$157)^2)&lt;=LEEME!$B$20,EXP(-LEEME!$B$19*SQRT((Coordenadas!$C$137-Coordenadas!$C$157)^2+(Coordenadas!$D$137-Coordenadas!$D$157)^2)),0)</f>
        <v>0.43599019208535283</v>
      </c>
    </row>
    <row r="470" spans="1:3">
      <c r="A470" t="s">
        <v>184</v>
      </c>
      <c r="B470" t="s">
        <v>207</v>
      </c>
      <c r="C470" s="20">
        <f>IF(SQRT((Coordenadas!$C$137-Coordenadas!$C$158)^2+(Coordenadas!$D$137-Coordenadas!$D$158)^2)&lt;=LEEME!$B$20,EXP(-LEEME!$B$19*SQRT((Coordenadas!$C$137-Coordenadas!$C$158)^2+(Coordenadas!$D$137-Coordenadas!$D$158)^2)),0)</f>
        <v>0.49893087981380424</v>
      </c>
    </row>
    <row r="471" spans="1:3">
      <c r="A471" t="s">
        <v>184</v>
      </c>
      <c r="B471" t="s">
        <v>209</v>
      </c>
      <c r="C471" s="20">
        <f>IF(SQRT((Coordenadas!$C$137-Coordenadas!$C$160)^2+(Coordenadas!$D$137-Coordenadas!$D$160)^2)&lt;=LEEME!$B$20,EXP(-LEEME!$B$19*SQRT((Coordenadas!$C$137-Coordenadas!$C$160)^2+(Coordenadas!$D$137-Coordenadas!$D$160)^2)),0)</f>
        <v>0.78790327129612081</v>
      </c>
    </row>
    <row r="472" spans="1:3">
      <c r="A472" t="s">
        <v>184</v>
      </c>
      <c r="B472" t="s">
        <v>212</v>
      </c>
      <c r="C472" s="20">
        <f>IF(SQRT((Coordenadas!$C$137-Coordenadas!$C$163)^2+(Coordenadas!$D$137-Coordenadas!$D$163)^2)&lt;=LEEME!$B$20,EXP(-LEEME!$B$19*SQRT((Coordenadas!$C$137-Coordenadas!$C$163)^2+(Coordenadas!$D$137-Coordenadas!$D$163)^2)),0)</f>
        <v>0.51555352442831825</v>
      </c>
    </row>
    <row r="473" spans="1:3">
      <c r="A473" t="s">
        <v>185</v>
      </c>
      <c r="B473" t="s">
        <v>197</v>
      </c>
      <c r="C473" s="20">
        <f>IF(SQRT((Coordenadas!$C$138-Coordenadas!$C$148)^2+(Coordenadas!$D$138-Coordenadas!$D$148)^2)&lt;=LEEME!$B$20,EXP(-LEEME!$B$19*SQRT((Coordenadas!$C$138-Coordenadas!$C$148)^2+(Coordenadas!$D$138-Coordenadas!$D$148)^2)),0)</f>
        <v>0.3730226568629561</v>
      </c>
    </row>
    <row r="474" spans="1:3">
      <c r="A474" t="s">
        <v>185</v>
      </c>
      <c r="B474" t="s">
        <v>201</v>
      </c>
      <c r="C474" s="20">
        <f>IF(SQRT((Coordenadas!$C$138-Coordenadas!$C$152)^2+(Coordenadas!$D$138-Coordenadas!$D$152)^2)&lt;=LEEME!$B$20,EXP(-LEEME!$B$19*SQRT((Coordenadas!$C$138-Coordenadas!$C$152)^2+(Coordenadas!$D$138-Coordenadas!$D$152)^2)),0)</f>
        <v>0.37825927881929439</v>
      </c>
    </row>
    <row r="475" spans="1:3">
      <c r="A475" t="s">
        <v>185</v>
      </c>
      <c r="B475" t="s">
        <v>203</v>
      </c>
      <c r="C475" s="20">
        <f>IF(SQRT((Coordenadas!$C$138-Coordenadas!$C$154)^2+(Coordenadas!$D$138-Coordenadas!$D$154)^2)&lt;=LEEME!$B$20,EXP(-LEEME!$B$19*SQRT((Coordenadas!$C$138-Coordenadas!$C$154)^2+(Coordenadas!$D$138-Coordenadas!$D$154)^2)),0)</f>
        <v>0.39054474129620503</v>
      </c>
    </row>
    <row r="476" spans="1:3">
      <c r="A476" t="s">
        <v>185</v>
      </c>
      <c r="B476" t="s">
        <v>206</v>
      </c>
      <c r="C476" s="20">
        <f>IF(SQRT((Coordenadas!$C$138-Coordenadas!$C$157)^2+(Coordenadas!$D$138-Coordenadas!$D$157)^2)&lt;=LEEME!$B$20,EXP(-LEEME!$B$19*SQRT((Coordenadas!$C$138-Coordenadas!$C$157)^2+(Coordenadas!$D$138-Coordenadas!$D$157)^2)),0)</f>
        <v>0.38407318854212952</v>
      </c>
    </row>
    <row r="477" spans="1:3">
      <c r="A477" t="s">
        <v>185</v>
      </c>
      <c r="B477" t="s">
        <v>207</v>
      </c>
      <c r="C477" s="20">
        <f>IF(SQRT((Coordenadas!$C$138-Coordenadas!$C$158)^2+(Coordenadas!$D$138-Coordenadas!$D$158)^2)&lt;=LEEME!$B$20,EXP(-LEEME!$B$19*SQRT((Coordenadas!$C$138-Coordenadas!$C$158)^2+(Coordenadas!$D$138-Coordenadas!$D$158)^2)),0)</f>
        <v>0.64624434798725228</v>
      </c>
    </row>
    <row r="478" spans="1:3">
      <c r="A478" t="s">
        <v>185</v>
      </c>
      <c r="B478" t="s">
        <v>209</v>
      </c>
      <c r="C478" s="20">
        <f>IF(SQRT((Coordenadas!$C$138-Coordenadas!$C$160)^2+(Coordenadas!$D$138-Coordenadas!$D$160)^2)&lt;=LEEME!$B$20,EXP(-LEEME!$B$19*SQRT((Coordenadas!$C$138-Coordenadas!$C$160)^2+(Coordenadas!$D$138-Coordenadas!$D$160)^2)),0)</f>
        <v>0.67976700358600839</v>
      </c>
    </row>
    <row r="479" spans="1:3">
      <c r="A479" t="s">
        <v>185</v>
      </c>
      <c r="B479" t="s">
        <v>212</v>
      </c>
      <c r="C479" s="20">
        <f>IF(SQRT((Coordenadas!$C$138-Coordenadas!$C$163)^2+(Coordenadas!$D$138-Coordenadas!$D$163)^2)&lt;=LEEME!$B$20,EXP(-LEEME!$B$19*SQRT((Coordenadas!$C$138-Coordenadas!$C$163)^2+(Coordenadas!$D$138-Coordenadas!$D$163)^2)),0)</f>
        <v>0.39685857022714383</v>
      </c>
    </row>
    <row r="480" spans="1:3">
      <c r="A480" t="s">
        <v>186</v>
      </c>
      <c r="B480" t="s">
        <v>197</v>
      </c>
      <c r="C480" s="20">
        <f>IF(SQRT((Coordenadas!$C$139-Coordenadas!$C$148)^2+(Coordenadas!$D$139-Coordenadas!$D$148)^2)&lt;=LEEME!$B$20,EXP(-LEEME!$B$19*SQRT((Coordenadas!$C$139-Coordenadas!$C$148)^2+(Coordenadas!$D$139-Coordenadas!$D$148)^2)),0)</f>
        <v>0.40858477275067556</v>
      </c>
    </row>
    <row r="481" spans="1:3">
      <c r="A481" t="s">
        <v>186</v>
      </c>
      <c r="B481" t="s">
        <v>201</v>
      </c>
      <c r="C481" s="20">
        <f>IF(SQRT((Coordenadas!$C$139-Coordenadas!$C$152)^2+(Coordenadas!$D$139-Coordenadas!$D$152)^2)&lt;=LEEME!$B$20,EXP(-LEEME!$B$19*SQRT((Coordenadas!$C$139-Coordenadas!$C$152)^2+(Coordenadas!$D$139-Coordenadas!$D$152)^2)),0)</f>
        <v>0.4115749877432211</v>
      </c>
    </row>
    <row r="482" spans="1:3">
      <c r="A482" t="s">
        <v>186</v>
      </c>
      <c r="B482" t="s">
        <v>207</v>
      </c>
      <c r="C482" s="20">
        <f>IF(SQRT((Coordenadas!$C$139-Coordenadas!$C$158)^2+(Coordenadas!$D$139-Coordenadas!$D$158)^2)&lt;=LEEME!$B$20,EXP(-LEEME!$B$19*SQRT((Coordenadas!$C$139-Coordenadas!$C$158)^2+(Coordenadas!$D$139-Coordenadas!$D$158)^2)),0)</f>
        <v>0.78885652047649346</v>
      </c>
    </row>
    <row r="483" spans="1:3">
      <c r="A483" t="s">
        <v>186</v>
      </c>
      <c r="B483" t="s">
        <v>209</v>
      </c>
      <c r="C483" s="20">
        <f>IF(SQRT((Coordenadas!$C$139-Coordenadas!$C$160)^2+(Coordenadas!$D$139-Coordenadas!$D$160)^2)&lt;=LEEME!$B$20,EXP(-LEEME!$B$19*SQRT((Coordenadas!$C$139-Coordenadas!$C$160)^2+(Coordenadas!$D$139-Coordenadas!$D$160)^2)),0)</f>
        <v>0.56026068899824366</v>
      </c>
    </row>
    <row r="484" spans="1:3">
      <c r="A484" t="s">
        <v>187</v>
      </c>
      <c r="B484" t="s">
        <v>193</v>
      </c>
      <c r="C484" s="20">
        <f>IF(SQRT((Coordenadas!$C$140-Coordenadas!$C$144)^2+(Coordenadas!$D$140-Coordenadas!$D$144)^2)&lt;=LEEME!$B$20,EXP(-LEEME!$B$19*SQRT((Coordenadas!$C$140-Coordenadas!$C$144)^2+(Coordenadas!$D$140-Coordenadas!$D$144)^2)),0)</f>
        <v>0.39093456035126306</v>
      </c>
    </row>
    <row r="485" spans="1:3">
      <c r="A485" t="s">
        <v>187</v>
      </c>
      <c r="B485" t="s">
        <v>197</v>
      </c>
      <c r="C485" s="20">
        <f>IF(SQRT((Coordenadas!$C$140-Coordenadas!$C$148)^2+(Coordenadas!$D$140-Coordenadas!$D$148)^2)&lt;=LEEME!$B$20,EXP(-LEEME!$B$19*SQRT((Coordenadas!$C$140-Coordenadas!$C$148)^2+(Coordenadas!$D$140-Coordenadas!$D$148)^2)),0)</f>
        <v>0.40819714518125078</v>
      </c>
    </row>
    <row r="486" spans="1:3">
      <c r="A486" t="s">
        <v>187</v>
      </c>
      <c r="B486" t="s">
        <v>206</v>
      </c>
      <c r="C486" s="20">
        <f>IF(SQRT((Coordenadas!$C$140-Coordenadas!$C$157)^2+(Coordenadas!$D$140-Coordenadas!$D$157)^2)&lt;=LEEME!$B$20,EXP(-LEEME!$B$19*SQRT((Coordenadas!$C$140-Coordenadas!$C$157)^2+(Coordenadas!$D$140-Coordenadas!$D$157)^2)),0)</f>
        <v>0.59168216569908605</v>
      </c>
    </row>
    <row r="487" spans="1:3">
      <c r="A487" t="s">
        <v>187</v>
      </c>
      <c r="B487" t="s">
        <v>207</v>
      </c>
      <c r="C487" s="20">
        <f>IF(SQRT((Coordenadas!$C$140-Coordenadas!$C$158)^2+(Coordenadas!$D$140-Coordenadas!$D$158)^2)&lt;=LEEME!$B$20,EXP(-LEEME!$B$19*SQRT((Coordenadas!$C$140-Coordenadas!$C$158)^2+(Coordenadas!$D$140-Coordenadas!$D$158)^2)),0)</f>
        <v>0.49359234040760552</v>
      </c>
    </row>
    <row r="488" spans="1:3">
      <c r="A488" t="s">
        <v>187</v>
      </c>
      <c r="B488" t="s">
        <v>209</v>
      </c>
      <c r="C488" s="20">
        <f>IF(SQRT((Coordenadas!$C$140-Coordenadas!$C$160)^2+(Coordenadas!$D$140-Coordenadas!$D$160)^2)&lt;=LEEME!$B$20,EXP(-LEEME!$B$19*SQRT((Coordenadas!$C$140-Coordenadas!$C$160)^2+(Coordenadas!$D$140-Coordenadas!$D$160)^2)),0)</f>
        <v>0.56473324894316501</v>
      </c>
    </row>
    <row r="489" spans="1:3">
      <c r="A489" t="s">
        <v>187</v>
      </c>
      <c r="B489" t="s">
        <v>212</v>
      </c>
      <c r="C489" s="20">
        <f>IF(SQRT((Coordenadas!$C$140-Coordenadas!$C$163)^2+(Coordenadas!$D$140-Coordenadas!$D$163)^2)&lt;=LEEME!$B$20,EXP(-LEEME!$B$19*SQRT((Coordenadas!$C$140-Coordenadas!$C$163)^2+(Coordenadas!$D$140-Coordenadas!$D$163)^2)),0)</f>
        <v>0.52556947948796562</v>
      </c>
    </row>
    <row r="490" spans="1:3">
      <c r="A490" t="s">
        <v>188</v>
      </c>
      <c r="B490" t="s">
        <v>197</v>
      </c>
      <c r="C490" s="20">
        <f>IF(SQRT((Coordenadas!$C$141-Coordenadas!$C$148)^2+(Coordenadas!$D$141-Coordenadas!$D$148)^2)&lt;=LEEME!$B$20,EXP(-LEEME!$B$19*SQRT((Coordenadas!$C$141-Coordenadas!$C$148)^2+(Coordenadas!$D$141-Coordenadas!$D$148)^2)),0)</f>
        <v>0.5184038221303775</v>
      </c>
    </row>
    <row r="491" spans="1:3">
      <c r="A491" t="s">
        <v>188</v>
      </c>
      <c r="B491" t="s">
        <v>206</v>
      </c>
      <c r="C491" s="20">
        <f>IF(SQRT((Coordenadas!$C$141-Coordenadas!$C$157)^2+(Coordenadas!$D$141-Coordenadas!$D$157)^2)&lt;=LEEME!$B$20,EXP(-LEEME!$B$19*SQRT((Coordenadas!$C$141-Coordenadas!$C$157)^2+(Coordenadas!$D$141-Coordenadas!$D$157)^2)),0)</f>
        <v>0.48045363128054802</v>
      </c>
    </row>
    <row r="492" spans="1:3">
      <c r="A492" t="s">
        <v>188</v>
      </c>
      <c r="B492" t="s">
        <v>207</v>
      </c>
      <c r="C492" s="20">
        <f>IF(SQRT((Coordenadas!$C$141-Coordenadas!$C$158)^2+(Coordenadas!$D$141-Coordenadas!$D$158)^2)&lt;=LEEME!$B$20,EXP(-LEEME!$B$19*SQRT((Coordenadas!$C$141-Coordenadas!$C$158)^2+(Coordenadas!$D$141-Coordenadas!$D$158)^2)),0)</f>
        <v>0.66081822448478489</v>
      </c>
    </row>
    <row r="493" spans="1:3">
      <c r="A493" t="s">
        <v>188</v>
      </c>
      <c r="B493" t="s">
        <v>209</v>
      </c>
      <c r="C493" s="20">
        <f>IF(SQRT((Coordenadas!$C$141-Coordenadas!$C$160)^2+(Coordenadas!$D$141-Coordenadas!$D$160)^2)&lt;=LEEME!$B$20,EXP(-LEEME!$B$19*SQRT((Coordenadas!$C$141-Coordenadas!$C$160)^2+(Coordenadas!$D$141-Coordenadas!$D$160)^2)),0)</f>
        <v>0.5031357882718388</v>
      </c>
    </row>
    <row r="494" spans="1:3">
      <c r="A494" t="s">
        <v>188</v>
      </c>
      <c r="B494" t="s">
        <v>212</v>
      </c>
      <c r="C494" s="20">
        <f>IF(SQRT((Coordenadas!$C$141-Coordenadas!$C$163)^2+(Coordenadas!$D$141-Coordenadas!$D$163)^2)&lt;=LEEME!$B$20,EXP(-LEEME!$B$19*SQRT((Coordenadas!$C$141-Coordenadas!$C$163)^2+(Coordenadas!$D$141-Coordenadas!$D$163)^2)),0)</f>
        <v>0.38250938840648946</v>
      </c>
    </row>
    <row r="495" spans="1:3">
      <c r="A495" t="s">
        <v>189</v>
      </c>
      <c r="B495" t="s">
        <v>197</v>
      </c>
      <c r="C495" s="20">
        <f>IF(SQRT((Coordenadas!$C$142-Coordenadas!$C$148)^2+(Coordenadas!$D$142-Coordenadas!$D$148)^2)&lt;=LEEME!$B$20,EXP(-LEEME!$B$19*SQRT((Coordenadas!$C$142-Coordenadas!$C$148)^2+(Coordenadas!$D$142-Coordenadas!$D$148)^2)),0)</f>
        <v>0.45974749704543838</v>
      </c>
    </row>
    <row r="496" spans="1:3">
      <c r="A496" t="s">
        <v>189</v>
      </c>
      <c r="B496" t="s">
        <v>206</v>
      </c>
      <c r="C496" s="20">
        <f>IF(SQRT((Coordenadas!$C$142-Coordenadas!$C$157)^2+(Coordenadas!$D$142-Coordenadas!$D$157)^2)&lt;=LEEME!$B$20,EXP(-LEEME!$B$19*SQRT((Coordenadas!$C$142-Coordenadas!$C$157)^2+(Coordenadas!$D$142-Coordenadas!$D$157)^2)),0)</f>
        <v>0.43257971242488102</v>
      </c>
    </row>
    <row r="497" spans="1:3">
      <c r="A497" t="s">
        <v>189</v>
      </c>
      <c r="B497" t="s">
        <v>207</v>
      </c>
      <c r="C497" s="20">
        <f>IF(SQRT((Coordenadas!$C$142-Coordenadas!$C$158)^2+(Coordenadas!$D$142-Coordenadas!$D$158)^2)&lt;=LEEME!$B$20,EXP(-LEEME!$B$19*SQRT((Coordenadas!$C$142-Coordenadas!$C$158)^2+(Coordenadas!$D$142-Coordenadas!$D$158)^2)),0)</f>
        <v>0.70166789231986404</v>
      </c>
    </row>
    <row r="498" spans="1:3">
      <c r="A498" t="s">
        <v>189</v>
      </c>
      <c r="B498" t="s">
        <v>209</v>
      </c>
      <c r="C498" s="20">
        <f>IF(SQRT((Coordenadas!$C$142-Coordenadas!$C$160)^2+(Coordenadas!$D$142-Coordenadas!$D$160)^2)&lt;=LEEME!$B$20,EXP(-LEEME!$B$19*SQRT((Coordenadas!$C$142-Coordenadas!$C$160)^2+(Coordenadas!$D$142-Coordenadas!$D$160)^2)),0)</f>
        <v>0.56491864439242723</v>
      </c>
    </row>
    <row r="499" spans="1:3">
      <c r="A499" t="s">
        <v>189</v>
      </c>
      <c r="B499" t="s">
        <v>212</v>
      </c>
      <c r="C499" s="20">
        <f>IF(SQRT((Coordenadas!$C$142-Coordenadas!$C$163)^2+(Coordenadas!$D$142-Coordenadas!$D$163)^2)&lt;=LEEME!$B$20,EXP(-LEEME!$B$19*SQRT((Coordenadas!$C$142-Coordenadas!$C$163)^2+(Coordenadas!$D$142-Coordenadas!$D$163)^2)),0)</f>
        <v>0.38288790045692705</v>
      </c>
    </row>
    <row r="500" spans="1:3">
      <c r="A500" t="s">
        <v>190</v>
      </c>
      <c r="B500" t="s">
        <v>197</v>
      </c>
      <c r="C500" s="20">
        <f>IF(SQRT((Coordenadas!$C$143-Coordenadas!$C$148)^2+(Coordenadas!$D$143-Coordenadas!$D$148)^2)&lt;=LEEME!$B$20,EXP(-LEEME!$B$19*SQRT((Coordenadas!$C$143-Coordenadas!$C$148)^2+(Coordenadas!$D$143-Coordenadas!$D$148)^2)),0)</f>
        <v>0.6522184592820035</v>
      </c>
    </row>
    <row r="501" spans="1:3">
      <c r="A501" t="s">
        <v>190</v>
      </c>
      <c r="B501" t="s">
        <v>206</v>
      </c>
      <c r="C501" s="20">
        <f>IF(SQRT((Coordenadas!$C$143-Coordenadas!$C$157)^2+(Coordenadas!$D$143-Coordenadas!$D$157)^2)&lt;=LEEME!$B$20,EXP(-LEEME!$B$19*SQRT((Coordenadas!$C$143-Coordenadas!$C$157)^2+(Coordenadas!$D$143-Coordenadas!$D$157)^2)),0)</f>
        <v>0.43585893474834181</v>
      </c>
    </row>
    <row r="502" spans="1:3">
      <c r="A502" t="s">
        <v>190</v>
      </c>
      <c r="B502" t="s">
        <v>207</v>
      </c>
      <c r="C502" s="20">
        <f>IF(SQRT((Coordenadas!$C$143-Coordenadas!$C$158)^2+(Coordenadas!$D$143-Coordenadas!$D$158)^2)&lt;=LEEME!$B$20,EXP(-LEEME!$B$19*SQRT((Coordenadas!$C$143-Coordenadas!$C$158)^2+(Coordenadas!$D$143-Coordenadas!$D$158)^2)),0)</f>
        <v>0.67462038960352055</v>
      </c>
    </row>
    <row r="503" spans="1:3">
      <c r="A503" t="s">
        <v>190</v>
      </c>
      <c r="B503" t="s">
        <v>209</v>
      </c>
      <c r="C503" s="20">
        <f>IF(SQRT((Coordenadas!$C$143-Coordenadas!$C$160)^2+(Coordenadas!$D$143-Coordenadas!$D$160)^2)&lt;=LEEME!$B$20,EXP(-LEEME!$B$19*SQRT((Coordenadas!$C$143-Coordenadas!$C$160)^2+(Coordenadas!$D$143-Coordenadas!$D$160)^2)),0)</f>
        <v>0.39931665924366128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51"/>
  <sheetViews>
    <sheetView zoomScaleNormal="100" workbookViewId="0"/>
  </sheetViews>
  <sheetFormatPr defaultColWidth="8.7109375" defaultRowHeight="15"/>
  <sheetData>
    <row r="1" spans="1:2">
      <c r="A1" t="s">
        <v>268</v>
      </c>
      <c r="B1" t="s">
        <v>230</v>
      </c>
    </row>
    <row r="2" spans="1:2">
      <c r="A2" t="s">
        <v>269</v>
      </c>
      <c r="B2" t="s">
        <v>233</v>
      </c>
    </row>
    <row r="3" spans="1:2">
      <c r="A3" t="s">
        <v>270</v>
      </c>
      <c r="B3" t="s">
        <v>233</v>
      </c>
    </row>
    <row r="4" spans="1:2">
      <c r="A4" t="s">
        <v>271</v>
      </c>
      <c r="B4" t="s">
        <v>232</v>
      </c>
    </row>
    <row r="5" spans="1:2">
      <c r="A5" t="s">
        <v>272</v>
      </c>
      <c r="B5" t="s">
        <v>233</v>
      </c>
    </row>
    <row r="6" spans="1:2">
      <c r="A6" t="s">
        <v>273</v>
      </c>
      <c r="B6" t="s">
        <v>233</v>
      </c>
    </row>
    <row r="7" spans="1:2">
      <c r="A7" t="s">
        <v>274</v>
      </c>
      <c r="B7" t="s">
        <v>233</v>
      </c>
    </row>
    <row r="8" spans="1:2">
      <c r="A8" t="s">
        <v>275</v>
      </c>
      <c r="B8" t="s">
        <v>233</v>
      </c>
    </row>
    <row r="9" spans="1:2">
      <c r="A9" t="s">
        <v>276</v>
      </c>
      <c r="B9" t="s">
        <v>233</v>
      </c>
    </row>
    <row r="10" spans="1:2">
      <c r="A10" t="s">
        <v>277</v>
      </c>
      <c r="B10" t="s">
        <v>233</v>
      </c>
    </row>
    <row r="11" spans="1:2">
      <c r="A11" t="s">
        <v>278</v>
      </c>
      <c r="B11" t="s">
        <v>233</v>
      </c>
    </row>
    <row r="12" spans="1:2">
      <c r="A12" t="s">
        <v>279</v>
      </c>
      <c r="B12" t="s">
        <v>233</v>
      </c>
    </row>
    <row r="13" spans="1:2">
      <c r="A13" t="s">
        <v>280</v>
      </c>
      <c r="B13" t="s">
        <v>232</v>
      </c>
    </row>
    <row r="14" spans="1:2">
      <c r="A14" t="s">
        <v>280</v>
      </c>
      <c r="B14" t="s">
        <v>233</v>
      </c>
    </row>
    <row r="15" spans="1:2">
      <c r="A15" t="s">
        <v>280</v>
      </c>
      <c r="B15" t="s">
        <v>234</v>
      </c>
    </row>
    <row r="16" spans="1:2">
      <c r="A16" t="s">
        <v>281</v>
      </c>
      <c r="B16" t="s">
        <v>233</v>
      </c>
    </row>
    <row r="17" spans="1:2">
      <c r="A17" t="s">
        <v>282</v>
      </c>
      <c r="B17" t="s">
        <v>232</v>
      </c>
    </row>
    <row r="18" spans="1:2">
      <c r="A18" t="s">
        <v>282</v>
      </c>
      <c r="B18" t="s">
        <v>234</v>
      </c>
    </row>
    <row r="19" spans="1:2">
      <c r="A19" t="s">
        <v>283</v>
      </c>
      <c r="B19" t="s">
        <v>233</v>
      </c>
    </row>
    <row r="20" spans="1:2">
      <c r="A20" t="s">
        <v>284</v>
      </c>
      <c r="B20" t="s">
        <v>232</v>
      </c>
    </row>
    <row r="21" spans="1:2">
      <c r="A21" t="s">
        <v>285</v>
      </c>
      <c r="B21" t="s">
        <v>233</v>
      </c>
    </row>
    <row r="22" spans="1:2">
      <c r="A22" t="s">
        <v>286</v>
      </c>
      <c r="B22" t="s">
        <v>233</v>
      </c>
    </row>
    <row r="23" spans="1:2">
      <c r="A23" t="s">
        <v>287</v>
      </c>
      <c r="B23" t="s">
        <v>233</v>
      </c>
    </row>
    <row r="24" spans="1:2">
      <c r="A24" t="s">
        <v>288</v>
      </c>
      <c r="B24" t="s">
        <v>234</v>
      </c>
    </row>
    <row r="25" spans="1:2">
      <c r="A25" t="s">
        <v>289</v>
      </c>
      <c r="B25" t="s">
        <v>233</v>
      </c>
    </row>
    <row r="26" spans="1:2">
      <c r="A26" t="s">
        <v>290</v>
      </c>
      <c r="B26" t="s">
        <v>232</v>
      </c>
    </row>
    <row r="27" spans="1:2">
      <c r="A27" t="s">
        <v>290</v>
      </c>
      <c r="B27" t="s">
        <v>233</v>
      </c>
    </row>
    <row r="28" spans="1:2">
      <c r="A28" t="s">
        <v>291</v>
      </c>
      <c r="B28" t="s">
        <v>233</v>
      </c>
    </row>
    <row r="29" spans="1:2">
      <c r="A29" t="s">
        <v>292</v>
      </c>
      <c r="B29" t="s">
        <v>233</v>
      </c>
    </row>
    <row r="30" spans="1:2">
      <c r="A30" t="s">
        <v>293</v>
      </c>
      <c r="B30" t="s">
        <v>233</v>
      </c>
    </row>
    <row r="31" spans="1:2">
      <c r="A31" t="s">
        <v>294</v>
      </c>
      <c r="B31" t="s">
        <v>232</v>
      </c>
    </row>
    <row r="32" spans="1:2">
      <c r="A32" t="s">
        <v>294</v>
      </c>
      <c r="B32" t="s">
        <v>233</v>
      </c>
    </row>
    <row r="33" spans="1:2">
      <c r="A33" t="s">
        <v>294</v>
      </c>
      <c r="B33" t="s">
        <v>234</v>
      </c>
    </row>
    <row r="34" spans="1:2">
      <c r="A34" t="s">
        <v>295</v>
      </c>
      <c r="B34" t="s">
        <v>233</v>
      </c>
    </row>
    <row r="35" spans="1:2">
      <c r="A35" t="s">
        <v>295</v>
      </c>
      <c r="B35" t="s">
        <v>234</v>
      </c>
    </row>
    <row r="36" spans="1:2">
      <c r="A36" t="s">
        <v>296</v>
      </c>
      <c r="B36" t="s">
        <v>232</v>
      </c>
    </row>
    <row r="37" spans="1:2">
      <c r="A37" t="s">
        <v>297</v>
      </c>
      <c r="B37" t="s">
        <v>233</v>
      </c>
    </row>
    <row r="38" spans="1:2">
      <c r="A38" t="s">
        <v>298</v>
      </c>
      <c r="B38" t="s">
        <v>232</v>
      </c>
    </row>
    <row r="39" spans="1:2">
      <c r="A39" t="s">
        <v>299</v>
      </c>
      <c r="B39" t="s">
        <v>233</v>
      </c>
    </row>
    <row r="40" spans="1:2">
      <c r="A40" t="s">
        <v>300</v>
      </c>
      <c r="B40" t="s">
        <v>234</v>
      </c>
    </row>
    <row r="41" spans="1:2">
      <c r="A41" t="s">
        <v>301</v>
      </c>
      <c r="B41" t="s">
        <v>233</v>
      </c>
    </row>
    <row r="42" spans="1:2">
      <c r="A42" t="s">
        <v>302</v>
      </c>
      <c r="B42" t="s">
        <v>232</v>
      </c>
    </row>
    <row r="43" spans="1:2">
      <c r="A43" t="s">
        <v>302</v>
      </c>
      <c r="B43" t="s">
        <v>233</v>
      </c>
    </row>
    <row r="44" spans="1:2">
      <c r="A44" t="s">
        <v>303</v>
      </c>
      <c r="B44" t="s">
        <v>233</v>
      </c>
    </row>
    <row r="45" spans="1:2">
      <c r="A45" t="s">
        <v>304</v>
      </c>
      <c r="B45" t="s">
        <v>233</v>
      </c>
    </row>
    <row r="46" spans="1:2">
      <c r="A46" t="s">
        <v>305</v>
      </c>
      <c r="B46" t="s">
        <v>234</v>
      </c>
    </row>
    <row r="47" spans="1:2">
      <c r="A47" t="s">
        <v>306</v>
      </c>
      <c r="B47" t="s">
        <v>232</v>
      </c>
    </row>
    <row r="48" spans="1:2">
      <c r="A48" t="s">
        <v>306</v>
      </c>
      <c r="B48" t="s">
        <v>233</v>
      </c>
    </row>
    <row r="49" spans="1:2">
      <c r="A49" t="s">
        <v>306</v>
      </c>
      <c r="B49" t="s">
        <v>234</v>
      </c>
    </row>
    <row r="50" spans="1:2">
      <c r="A50" t="s">
        <v>307</v>
      </c>
      <c r="B50" t="s">
        <v>233</v>
      </c>
    </row>
    <row r="51" spans="1:2">
      <c r="A51" t="s">
        <v>308</v>
      </c>
      <c r="B51" t="s">
        <v>233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931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/>
  <cols>
    <col min="1" max="1" width="15" customWidth="1"/>
    <col min="2" max="2" width="17" customWidth="1"/>
    <col min="3" max="3" width="19" customWidth="1"/>
  </cols>
  <sheetData>
    <row r="1" spans="1:3" ht="22.5" customHeight="1">
      <c r="A1" s="19" t="s">
        <v>42</v>
      </c>
      <c r="B1" s="19" t="s">
        <v>268</v>
      </c>
      <c r="C1" s="19" t="s">
        <v>267</v>
      </c>
    </row>
    <row r="2" spans="1:3">
      <c r="A2" t="s">
        <v>45</v>
      </c>
      <c r="B2" t="s">
        <v>282</v>
      </c>
      <c r="C2" s="20">
        <f>IF(SQRT((Coordenadas!$C$2-Coordenadas!$C$177)^2+(Coordenadas!$D$2-Coordenadas!$D$177)^2)&lt;=LEEME!$B$20,EXP(-LEEME!$B$19*SQRT((Coordenadas!$C$2-Coordenadas!$C$177)^2+(Coordenadas!$D$2-Coordenadas!$D$177)^2)),0)</f>
        <v>0.74900702200719538</v>
      </c>
    </row>
    <row r="3" spans="1:3">
      <c r="A3" t="s">
        <v>45</v>
      </c>
      <c r="B3" t="s">
        <v>285</v>
      </c>
      <c r="C3" s="20">
        <f>IF(SQRT((Coordenadas!$C$2-Coordenadas!$C$180)^2+(Coordenadas!$D$2-Coordenadas!$D$180)^2)&lt;=LEEME!$B$20,EXP(-LEEME!$B$19*SQRT((Coordenadas!$C$2-Coordenadas!$C$180)^2+(Coordenadas!$D$2-Coordenadas!$D$180)^2)),0)</f>
        <v>0.47976658208197448</v>
      </c>
    </row>
    <row r="4" spans="1:3">
      <c r="A4" t="s">
        <v>45</v>
      </c>
      <c r="B4" t="s">
        <v>286</v>
      </c>
      <c r="C4" s="20">
        <f>IF(SQRT((Coordenadas!$C$2-Coordenadas!$C$181)^2+(Coordenadas!$D$2-Coordenadas!$D$181)^2)&lt;=LEEME!$B$20,EXP(-LEEME!$B$19*SQRT((Coordenadas!$C$2-Coordenadas!$C$181)^2+(Coordenadas!$D$2-Coordenadas!$D$181)^2)),0)</f>
        <v>0.873635043533595</v>
      </c>
    </row>
    <row r="5" spans="1:3">
      <c r="A5" t="s">
        <v>45</v>
      </c>
      <c r="B5" t="s">
        <v>287</v>
      </c>
      <c r="C5" s="20">
        <f>IF(SQRT((Coordenadas!$C$2-Coordenadas!$C$182)^2+(Coordenadas!$D$2-Coordenadas!$D$182)^2)&lt;=LEEME!$B$20,EXP(-LEEME!$B$19*SQRT((Coordenadas!$C$2-Coordenadas!$C$182)^2+(Coordenadas!$D$2-Coordenadas!$D$182)^2)),0)</f>
        <v>0.42075363656315956</v>
      </c>
    </row>
    <row r="6" spans="1:3">
      <c r="A6" t="s">
        <v>45</v>
      </c>
      <c r="B6" t="s">
        <v>288</v>
      </c>
      <c r="C6" s="20">
        <f>IF(SQRT((Coordenadas!$C$2-Coordenadas!$C$183)^2+(Coordenadas!$D$2-Coordenadas!$D$183)^2)&lt;=LEEME!$B$20,EXP(-LEEME!$B$19*SQRT((Coordenadas!$C$2-Coordenadas!$C$183)^2+(Coordenadas!$D$2-Coordenadas!$D$183)^2)),0)</f>
        <v>0.40252422403363591</v>
      </c>
    </row>
    <row r="7" spans="1:3">
      <c r="A7" t="s">
        <v>45</v>
      </c>
      <c r="B7" t="s">
        <v>293</v>
      </c>
      <c r="C7" s="20">
        <f>IF(SQRT((Coordenadas!$C$2-Coordenadas!$C$188)^2+(Coordenadas!$D$2-Coordenadas!$D$188)^2)&lt;=LEEME!$B$20,EXP(-LEEME!$B$19*SQRT((Coordenadas!$C$2-Coordenadas!$C$188)^2+(Coordenadas!$D$2-Coordenadas!$D$188)^2)),0)</f>
        <v>0.55997077997119493</v>
      </c>
    </row>
    <row r="8" spans="1:3">
      <c r="A8" t="s">
        <v>45</v>
      </c>
      <c r="B8" t="s">
        <v>294</v>
      </c>
      <c r="C8" s="20">
        <f>IF(SQRT((Coordenadas!$C$2-Coordenadas!$C$189)^2+(Coordenadas!$D$2-Coordenadas!$D$189)^2)&lt;=LEEME!$B$20,EXP(-LEEME!$B$19*SQRT((Coordenadas!$C$2-Coordenadas!$C$189)^2+(Coordenadas!$D$2-Coordenadas!$D$189)^2)),0)</f>
        <v>0.46563830033270842</v>
      </c>
    </row>
    <row r="9" spans="1:3">
      <c r="A9" t="s">
        <v>45</v>
      </c>
      <c r="B9" t="s">
        <v>295</v>
      </c>
      <c r="C9" s="20">
        <f>IF(SQRT((Coordenadas!$C$2-Coordenadas!$C$190)^2+(Coordenadas!$D$2-Coordenadas!$D$190)^2)&lt;=LEEME!$B$20,EXP(-LEEME!$B$19*SQRT((Coordenadas!$C$2-Coordenadas!$C$190)^2+(Coordenadas!$D$2-Coordenadas!$D$190)^2)),0)</f>
        <v>0.53254953615555745</v>
      </c>
    </row>
    <row r="10" spans="1:3">
      <c r="A10" t="s">
        <v>47</v>
      </c>
      <c r="B10" t="s">
        <v>282</v>
      </c>
      <c r="C10" s="20">
        <f>IF(SQRT((Coordenadas!$C$3-Coordenadas!$C$177)^2+(Coordenadas!$D$3-Coordenadas!$D$177)^2)&lt;=LEEME!$B$20,EXP(-LEEME!$B$19*SQRT((Coordenadas!$C$3-Coordenadas!$C$177)^2+(Coordenadas!$D$3-Coordenadas!$D$177)^2)),0)</f>
        <v>0.66026073797150964</v>
      </c>
    </row>
    <row r="11" spans="1:3">
      <c r="A11" t="s">
        <v>47</v>
      </c>
      <c r="B11" t="s">
        <v>285</v>
      </c>
      <c r="C11" s="20">
        <f>IF(SQRT((Coordenadas!$C$3-Coordenadas!$C$180)^2+(Coordenadas!$D$3-Coordenadas!$D$180)^2)&lt;=LEEME!$B$20,EXP(-LEEME!$B$19*SQRT((Coordenadas!$C$3-Coordenadas!$C$180)^2+(Coordenadas!$D$3-Coordenadas!$D$180)^2)),0)</f>
        <v>0.4100970998447121</v>
      </c>
    </row>
    <row r="12" spans="1:3">
      <c r="A12" t="s">
        <v>47</v>
      </c>
      <c r="B12" t="s">
        <v>286</v>
      </c>
      <c r="C12" s="20">
        <f>IF(SQRT((Coordenadas!$C$3-Coordenadas!$C$181)^2+(Coordenadas!$D$3-Coordenadas!$D$181)^2)&lt;=LEEME!$B$20,EXP(-LEEME!$B$19*SQRT((Coordenadas!$C$3-Coordenadas!$C$181)^2+(Coordenadas!$D$3-Coordenadas!$D$181)^2)),0)</f>
        <v>0.7671697650895305</v>
      </c>
    </row>
    <row r="13" spans="1:3">
      <c r="A13" t="s">
        <v>47</v>
      </c>
      <c r="B13" t="s">
        <v>287</v>
      </c>
      <c r="C13" s="20">
        <f>IF(SQRT((Coordenadas!$C$3-Coordenadas!$C$182)^2+(Coordenadas!$D$3-Coordenadas!$D$182)^2)&lt;=LEEME!$B$20,EXP(-LEEME!$B$19*SQRT((Coordenadas!$C$3-Coordenadas!$C$182)^2+(Coordenadas!$D$3-Coordenadas!$D$182)^2)),0)</f>
        <v>0.45611243886455149</v>
      </c>
    </row>
    <row r="14" spans="1:3">
      <c r="A14" t="s">
        <v>47</v>
      </c>
      <c r="B14" t="s">
        <v>288</v>
      </c>
      <c r="C14" s="20">
        <f>IF(SQRT((Coordenadas!$C$3-Coordenadas!$C$183)^2+(Coordenadas!$D$3-Coordenadas!$D$183)^2)&lt;=LEEME!$B$20,EXP(-LEEME!$B$19*SQRT((Coordenadas!$C$3-Coordenadas!$C$183)^2+(Coordenadas!$D$3-Coordenadas!$D$183)^2)),0)</f>
        <v>0.44043165450599914</v>
      </c>
    </row>
    <row r="15" spans="1:3">
      <c r="A15" t="s">
        <v>47</v>
      </c>
      <c r="B15" t="s">
        <v>293</v>
      </c>
      <c r="C15" s="20">
        <f>IF(SQRT((Coordenadas!$C$3-Coordenadas!$C$188)^2+(Coordenadas!$D$3-Coordenadas!$D$188)^2)&lt;=LEEME!$B$20,EXP(-LEEME!$B$19*SQRT((Coordenadas!$C$3-Coordenadas!$C$188)^2+(Coordenadas!$D$3-Coordenadas!$D$188)^2)),0)</f>
        <v>0.56485682730944442</v>
      </c>
    </row>
    <row r="16" spans="1:3">
      <c r="A16" t="s">
        <v>47</v>
      </c>
      <c r="B16" t="s">
        <v>294</v>
      </c>
      <c r="C16" s="20">
        <f>IF(SQRT((Coordenadas!$C$3-Coordenadas!$C$189)^2+(Coordenadas!$D$3-Coordenadas!$D$189)^2)&lt;=LEEME!$B$20,EXP(-LEEME!$B$19*SQRT((Coordenadas!$C$3-Coordenadas!$C$189)^2+(Coordenadas!$D$3-Coordenadas!$D$189)^2)),0)</f>
        <v>0.56163120034506042</v>
      </c>
    </row>
    <row r="17" spans="1:3">
      <c r="A17" t="s">
        <v>47</v>
      </c>
      <c r="B17" t="s">
        <v>295</v>
      </c>
      <c r="C17" s="20">
        <f>IF(SQRT((Coordenadas!$C$3-Coordenadas!$C$190)^2+(Coordenadas!$D$3-Coordenadas!$D$190)^2)&lt;=LEEME!$B$20,EXP(-LEEME!$B$19*SQRT((Coordenadas!$C$3-Coordenadas!$C$190)^2+(Coordenadas!$D$3-Coordenadas!$D$190)^2)),0)</f>
        <v>0.62767972107984238</v>
      </c>
    </row>
    <row r="18" spans="1:3">
      <c r="A18" t="s">
        <v>48</v>
      </c>
      <c r="B18" t="s">
        <v>282</v>
      </c>
      <c r="C18" s="20">
        <f>IF(SQRT((Coordenadas!$C$4-Coordenadas!$C$177)^2+(Coordenadas!$D$4-Coordenadas!$D$177)^2)&lt;=LEEME!$B$20,EXP(-LEEME!$B$19*SQRT((Coordenadas!$C$4-Coordenadas!$C$177)^2+(Coordenadas!$D$4-Coordenadas!$D$177)^2)),0)</f>
        <v>0.45008160223356503</v>
      </c>
    </row>
    <row r="19" spans="1:3">
      <c r="A19" t="s">
        <v>48</v>
      </c>
      <c r="B19" t="s">
        <v>285</v>
      </c>
      <c r="C19" s="20">
        <f>IF(SQRT((Coordenadas!$C$4-Coordenadas!$C$180)^2+(Coordenadas!$D$4-Coordenadas!$D$180)^2)&lt;=LEEME!$B$20,EXP(-LEEME!$B$19*SQRT((Coordenadas!$C$4-Coordenadas!$C$180)^2+(Coordenadas!$D$4-Coordenadas!$D$180)^2)),0)</f>
        <v>0.67912970352162749</v>
      </c>
    </row>
    <row r="20" spans="1:3">
      <c r="A20" t="s">
        <v>48</v>
      </c>
      <c r="B20" t="s">
        <v>286</v>
      </c>
      <c r="C20" s="20">
        <f>IF(SQRT((Coordenadas!$C$4-Coordenadas!$C$181)^2+(Coordenadas!$D$4-Coordenadas!$D$181)^2)&lt;=LEEME!$B$20,EXP(-LEEME!$B$19*SQRT((Coordenadas!$C$4-Coordenadas!$C$181)^2+(Coordenadas!$D$4-Coordenadas!$D$181)^2)),0)</f>
        <v>0.5118804921787049</v>
      </c>
    </row>
    <row r="21" spans="1:3">
      <c r="A21" t="s">
        <v>48</v>
      </c>
      <c r="B21" t="s">
        <v>290</v>
      </c>
      <c r="C21" s="20">
        <f>IF(SQRT((Coordenadas!$C$4-Coordenadas!$C$185)^2+(Coordenadas!$D$4-Coordenadas!$D$185)^2)&lt;=LEEME!$B$20,EXP(-LEEME!$B$19*SQRT((Coordenadas!$C$4-Coordenadas!$C$185)^2+(Coordenadas!$D$4-Coordenadas!$D$185)^2)),0)</f>
        <v>0.62188505646502001</v>
      </c>
    </row>
    <row r="22" spans="1:3">
      <c r="A22" t="s">
        <v>48</v>
      </c>
      <c r="B22" t="s">
        <v>291</v>
      </c>
      <c r="C22" s="20">
        <f>IF(SQRT((Coordenadas!$C$4-Coordenadas!$C$186)^2+(Coordenadas!$D$4-Coordenadas!$D$186)^2)&lt;=LEEME!$B$20,EXP(-LEEME!$B$19*SQRT((Coordenadas!$C$4-Coordenadas!$C$186)^2+(Coordenadas!$D$4-Coordenadas!$D$186)^2)),0)</f>
        <v>0.37100987452720857</v>
      </c>
    </row>
    <row r="23" spans="1:3">
      <c r="A23" t="s">
        <v>48</v>
      </c>
      <c r="B23" t="s">
        <v>293</v>
      </c>
      <c r="C23" s="20">
        <f>IF(SQRT((Coordenadas!$C$4-Coordenadas!$C$188)^2+(Coordenadas!$D$4-Coordenadas!$D$188)^2)&lt;=LEEME!$B$20,EXP(-LEEME!$B$19*SQRT((Coordenadas!$C$4-Coordenadas!$C$188)^2+(Coordenadas!$D$4-Coordenadas!$D$188)^2)),0)</f>
        <v>0.7833047153020295</v>
      </c>
    </row>
    <row r="24" spans="1:3">
      <c r="A24" t="s">
        <v>48</v>
      </c>
      <c r="B24" t="s">
        <v>295</v>
      </c>
      <c r="C24" s="20">
        <f>IF(SQRT((Coordenadas!$C$4-Coordenadas!$C$190)^2+(Coordenadas!$D$4-Coordenadas!$D$190)^2)&lt;=LEEME!$B$20,EXP(-LEEME!$B$19*SQRT((Coordenadas!$C$4-Coordenadas!$C$190)^2+(Coordenadas!$D$4-Coordenadas!$D$190)^2)),0)</f>
        <v>0.51033842119773587</v>
      </c>
    </row>
    <row r="25" spans="1:3">
      <c r="A25" t="s">
        <v>48</v>
      </c>
      <c r="B25" t="s">
        <v>298</v>
      </c>
      <c r="C25" s="20">
        <f>IF(SQRT((Coordenadas!$C$4-Coordenadas!$C$193)^2+(Coordenadas!$D$4-Coordenadas!$D$193)^2)&lt;=LEEME!$B$20,EXP(-LEEME!$B$19*SQRT((Coordenadas!$C$4-Coordenadas!$C$193)^2+(Coordenadas!$D$4-Coordenadas!$D$193)^2)),0)</f>
        <v>0.45605434496110786</v>
      </c>
    </row>
    <row r="26" spans="1:3">
      <c r="A26" t="s">
        <v>49</v>
      </c>
      <c r="B26" t="s">
        <v>282</v>
      </c>
      <c r="C26" s="20">
        <f>IF(SQRT((Coordenadas!$C$5-Coordenadas!$C$177)^2+(Coordenadas!$D$5-Coordenadas!$D$177)^2)&lt;=LEEME!$B$20,EXP(-LEEME!$B$19*SQRT((Coordenadas!$C$5-Coordenadas!$C$177)^2+(Coordenadas!$D$5-Coordenadas!$D$177)^2)),0)</f>
        <v>0.61206456213738403</v>
      </c>
    </row>
    <row r="27" spans="1:3">
      <c r="A27" t="s">
        <v>49</v>
      </c>
      <c r="B27" t="s">
        <v>285</v>
      </c>
      <c r="C27" s="20">
        <f>IF(SQRT((Coordenadas!$C$5-Coordenadas!$C$180)^2+(Coordenadas!$D$5-Coordenadas!$D$180)^2)&lt;=LEEME!$B$20,EXP(-LEEME!$B$19*SQRT((Coordenadas!$C$5-Coordenadas!$C$180)^2+(Coordenadas!$D$5-Coordenadas!$D$180)^2)),0)</f>
        <v>0.59506434600956148</v>
      </c>
    </row>
    <row r="28" spans="1:3">
      <c r="A28" t="s">
        <v>49</v>
      </c>
      <c r="B28" t="s">
        <v>286</v>
      </c>
      <c r="C28" s="20">
        <f>IF(SQRT((Coordenadas!$C$5-Coordenadas!$C$181)^2+(Coordenadas!$D$5-Coordenadas!$D$181)^2)&lt;=LEEME!$B$20,EXP(-LEEME!$B$19*SQRT((Coordenadas!$C$5-Coordenadas!$C$181)^2+(Coordenadas!$D$5-Coordenadas!$D$181)^2)),0)</f>
        <v>0.69610837905758349</v>
      </c>
    </row>
    <row r="29" spans="1:3">
      <c r="A29" t="s">
        <v>49</v>
      </c>
      <c r="B29" t="s">
        <v>290</v>
      </c>
      <c r="C29" s="20">
        <f>IF(SQRT((Coordenadas!$C$5-Coordenadas!$C$185)^2+(Coordenadas!$D$5-Coordenadas!$D$185)^2)&lt;=LEEME!$B$20,EXP(-LEEME!$B$19*SQRT((Coordenadas!$C$5-Coordenadas!$C$185)^2+(Coordenadas!$D$5-Coordenadas!$D$185)^2)),0)</f>
        <v>0.46628661400582933</v>
      </c>
    </row>
    <row r="30" spans="1:3">
      <c r="A30" t="s">
        <v>49</v>
      </c>
      <c r="B30" t="s">
        <v>293</v>
      </c>
      <c r="C30" s="20">
        <f>IF(SQRT((Coordenadas!$C$5-Coordenadas!$C$188)^2+(Coordenadas!$D$5-Coordenadas!$D$188)^2)&lt;=LEEME!$B$20,EXP(-LEEME!$B$19*SQRT((Coordenadas!$C$5-Coordenadas!$C$188)^2+(Coordenadas!$D$5-Coordenadas!$D$188)^2)),0)</f>
        <v>0.66566381717472611</v>
      </c>
    </row>
    <row r="31" spans="1:3">
      <c r="A31" t="s">
        <v>49</v>
      </c>
      <c r="B31" t="s">
        <v>294</v>
      </c>
      <c r="C31" s="20">
        <f>IF(SQRT((Coordenadas!$C$5-Coordenadas!$C$189)^2+(Coordenadas!$D$5-Coordenadas!$D$189)^2)&lt;=LEEME!$B$20,EXP(-LEEME!$B$19*SQRT((Coordenadas!$C$5-Coordenadas!$C$189)^2+(Coordenadas!$D$5-Coordenadas!$D$189)^2)),0)</f>
        <v>0.38733223878047407</v>
      </c>
    </row>
    <row r="32" spans="1:3">
      <c r="A32" t="s">
        <v>49</v>
      </c>
      <c r="B32" t="s">
        <v>295</v>
      </c>
      <c r="C32" s="20">
        <f>IF(SQRT((Coordenadas!$C$5-Coordenadas!$C$190)^2+(Coordenadas!$D$5-Coordenadas!$D$190)^2)&lt;=LEEME!$B$20,EXP(-LEEME!$B$19*SQRT((Coordenadas!$C$5-Coordenadas!$C$190)^2+(Coordenadas!$D$5-Coordenadas!$D$190)^2)),0)</f>
        <v>0.53182183012399975</v>
      </c>
    </row>
    <row r="33" spans="1:3">
      <c r="A33" t="s">
        <v>49</v>
      </c>
      <c r="B33" t="s">
        <v>298</v>
      </c>
      <c r="C33" s="20">
        <f>IF(SQRT((Coordenadas!$C$5-Coordenadas!$C$193)^2+(Coordenadas!$D$5-Coordenadas!$D$193)^2)&lt;=LEEME!$B$20,EXP(-LEEME!$B$19*SQRT((Coordenadas!$C$5-Coordenadas!$C$193)^2+(Coordenadas!$D$5-Coordenadas!$D$193)^2)),0)</f>
        <v>0.37931277868030561</v>
      </c>
    </row>
    <row r="34" spans="1:3">
      <c r="A34" t="s">
        <v>50</v>
      </c>
      <c r="B34" t="s">
        <v>282</v>
      </c>
      <c r="C34" s="20">
        <f>IF(SQRT((Coordenadas!$C$6-Coordenadas!$C$177)^2+(Coordenadas!$D$6-Coordenadas!$D$177)^2)&lt;=LEEME!$B$20,EXP(-LEEME!$B$19*SQRT((Coordenadas!$C$6-Coordenadas!$C$177)^2+(Coordenadas!$D$6-Coordenadas!$D$177)^2)),0)</f>
        <v>0.54990070233146926</v>
      </c>
    </row>
    <row r="35" spans="1:3">
      <c r="A35" t="s">
        <v>50</v>
      </c>
      <c r="B35" t="s">
        <v>285</v>
      </c>
      <c r="C35" s="20">
        <f>IF(SQRT((Coordenadas!$C$6-Coordenadas!$C$180)^2+(Coordenadas!$D$6-Coordenadas!$D$180)^2)&lt;=LEEME!$B$20,EXP(-LEEME!$B$19*SQRT((Coordenadas!$C$6-Coordenadas!$C$180)^2+(Coordenadas!$D$6-Coordenadas!$D$180)^2)),0)</f>
        <v>0.54602930146840689</v>
      </c>
    </row>
    <row r="36" spans="1:3">
      <c r="A36" t="s">
        <v>50</v>
      </c>
      <c r="B36" t="s">
        <v>286</v>
      </c>
      <c r="C36" s="20">
        <f>IF(SQRT((Coordenadas!$C$6-Coordenadas!$C$181)^2+(Coordenadas!$D$6-Coordenadas!$D$181)^2)&lt;=LEEME!$B$20,EXP(-LEEME!$B$19*SQRT((Coordenadas!$C$6-Coordenadas!$C$181)^2+(Coordenadas!$D$6-Coordenadas!$D$181)^2)),0)</f>
        <v>0.63994420736969837</v>
      </c>
    </row>
    <row r="37" spans="1:3">
      <c r="A37" t="s">
        <v>50</v>
      </c>
      <c r="B37" t="s">
        <v>290</v>
      </c>
      <c r="C37" s="20">
        <f>IF(SQRT((Coordenadas!$C$6-Coordenadas!$C$185)^2+(Coordenadas!$D$6-Coordenadas!$D$185)^2)&lt;=LEEME!$B$20,EXP(-LEEME!$B$19*SQRT((Coordenadas!$C$6-Coordenadas!$C$185)^2+(Coordenadas!$D$6-Coordenadas!$D$185)^2)),0)</f>
        <v>0.4697306698452457</v>
      </c>
    </row>
    <row r="38" spans="1:3">
      <c r="A38" t="s">
        <v>50</v>
      </c>
      <c r="B38" t="s">
        <v>293</v>
      </c>
      <c r="C38" s="20">
        <f>IF(SQRT((Coordenadas!$C$6-Coordenadas!$C$188)^2+(Coordenadas!$D$6-Coordenadas!$D$188)^2)&lt;=LEEME!$B$20,EXP(-LEEME!$B$19*SQRT((Coordenadas!$C$6-Coordenadas!$C$188)^2+(Coordenadas!$D$6-Coordenadas!$D$188)^2)),0)</f>
        <v>0.76430099024223286</v>
      </c>
    </row>
    <row r="39" spans="1:3">
      <c r="A39" t="s">
        <v>50</v>
      </c>
      <c r="B39" t="s">
        <v>294</v>
      </c>
      <c r="C39" s="20">
        <f>IF(SQRT((Coordenadas!$C$6-Coordenadas!$C$189)^2+(Coordenadas!$D$6-Coordenadas!$D$189)^2)&lt;=LEEME!$B$20,EXP(-LEEME!$B$19*SQRT((Coordenadas!$C$6-Coordenadas!$C$189)^2+(Coordenadas!$D$6-Coordenadas!$D$189)^2)),0)</f>
        <v>0.41255102169392988</v>
      </c>
    </row>
    <row r="40" spans="1:3">
      <c r="A40" t="s">
        <v>50</v>
      </c>
      <c r="B40" t="s">
        <v>295</v>
      </c>
      <c r="C40" s="20">
        <f>IF(SQRT((Coordenadas!$C$6-Coordenadas!$C$190)^2+(Coordenadas!$D$6-Coordenadas!$D$190)^2)&lt;=LEEME!$B$20,EXP(-LEEME!$B$19*SQRT((Coordenadas!$C$6-Coordenadas!$C$190)^2+(Coordenadas!$D$6-Coordenadas!$D$190)^2)),0)</f>
        <v>0.62242584412360258</v>
      </c>
    </row>
    <row r="41" spans="1:3">
      <c r="A41" t="s">
        <v>50</v>
      </c>
      <c r="B41" t="s">
        <v>298</v>
      </c>
      <c r="C41" s="20">
        <f>IF(SQRT((Coordenadas!$C$6-Coordenadas!$C$193)^2+(Coordenadas!$D$6-Coordenadas!$D$193)^2)&lt;=LEEME!$B$20,EXP(-LEEME!$B$19*SQRT((Coordenadas!$C$6-Coordenadas!$C$193)^2+(Coordenadas!$D$6-Coordenadas!$D$193)^2)),0)</f>
        <v>0.44459736345069301</v>
      </c>
    </row>
    <row r="42" spans="1:3">
      <c r="A42" t="s">
        <v>51</v>
      </c>
      <c r="B42" t="s">
        <v>279</v>
      </c>
      <c r="C42" s="20">
        <f>IF(SQRT((Coordenadas!$C$7-Coordenadas!$C$174)^2+(Coordenadas!$D$7-Coordenadas!$D$174)^2)&lt;=LEEME!$B$20,EXP(-LEEME!$B$19*SQRT((Coordenadas!$C$7-Coordenadas!$C$174)^2+(Coordenadas!$D$7-Coordenadas!$D$174)^2)),0)</f>
        <v>0.42054111735231936</v>
      </c>
    </row>
    <row r="43" spans="1:3">
      <c r="A43" t="s">
        <v>51</v>
      </c>
      <c r="B43" t="s">
        <v>282</v>
      </c>
      <c r="C43" s="20">
        <f>IF(SQRT((Coordenadas!$C$7-Coordenadas!$C$177)^2+(Coordenadas!$D$7-Coordenadas!$D$177)^2)&lt;=LEEME!$B$20,EXP(-LEEME!$B$19*SQRT((Coordenadas!$C$7-Coordenadas!$C$177)^2+(Coordenadas!$D$7-Coordenadas!$D$177)^2)),0)</f>
        <v>0.79802904619545922</v>
      </c>
    </row>
    <row r="44" spans="1:3">
      <c r="A44" t="s">
        <v>51</v>
      </c>
      <c r="B44" t="s">
        <v>285</v>
      </c>
      <c r="C44" s="20">
        <f>IF(SQRT((Coordenadas!$C$7-Coordenadas!$C$180)^2+(Coordenadas!$D$7-Coordenadas!$D$180)^2)&lt;=LEEME!$B$20,EXP(-LEEME!$B$19*SQRT((Coordenadas!$C$7-Coordenadas!$C$180)^2+(Coordenadas!$D$7-Coordenadas!$D$180)^2)),0)</f>
        <v>0.38496835048658729</v>
      </c>
    </row>
    <row r="45" spans="1:3">
      <c r="A45" t="s">
        <v>51</v>
      </c>
      <c r="B45" t="s">
        <v>286</v>
      </c>
      <c r="C45" s="20">
        <f>IF(SQRT((Coordenadas!$C$7-Coordenadas!$C$181)^2+(Coordenadas!$D$7-Coordenadas!$D$181)^2)&lt;=LEEME!$B$20,EXP(-LEEME!$B$19*SQRT((Coordenadas!$C$7-Coordenadas!$C$181)^2+(Coordenadas!$D$7-Coordenadas!$D$181)^2)),0)</f>
        <v>0.86804674075035537</v>
      </c>
    </row>
    <row r="46" spans="1:3">
      <c r="A46" t="s">
        <v>51</v>
      </c>
      <c r="B46" t="s">
        <v>287</v>
      </c>
      <c r="C46" s="20">
        <f>IF(SQRT((Coordenadas!$C$7-Coordenadas!$C$182)^2+(Coordenadas!$D$7-Coordenadas!$D$182)^2)&lt;=LEEME!$B$20,EXP(-LEEME!$B$19*SQRT((Coordenadas!$C$7-Coordenadas!$C$182)^2+(Coordenadas!$D$7-Coordenadas!$D$182)^2)),0)</f>
        <v>0.52703511798015346</v>
      </c>
    </row>
    <row r="47" spans="1:3">
      <c r="A47" t="s">
        <v>51</v>
      </c>
      <c r="B47" t="s">
        <v>288</v>
      </c>
      <c r="C47" s="20">
        <f>IF(SQRT((Coordenadas!$C$7-Coordenadas!$C$183)^2+(Coordenadas!$D$7-Coordenadas!$D$183)^2)&lt;=LEEME!$B$20,EXP(-LEEME!$B$19*SQRT((Coordenadas!$C$7-Coordenadas!$C$183)^2+(Coordenadas!$D$7-Coordenadas!$D$183)^2)),0)</f>
        <v>0.50405343797046098</v>
      </c>
    </row>
    <row r="48" spans="1:3">
      <c r="A48" t="s">
        <v>51</v>
      </c>
      <c r="B48" t="s">
        <v>293</v>
      </c>
      <c r="C48" s="20">
        <f>IF(SQRT((Coordenadas!$C$7-Coordenadas!$C$188)^2+(Coordenadas!$D$7-Coordenadas!$D$188)^2)&lt;=LEEME!$B$20,EXP(-LEEME!$B$19*SQRT((Coordenadas!$C$7-Coordenadas!$C$188)^2+(Coordenadas!$D$7-Coordenadas!$D$188)^2)),0)</f>
        <v>0.46637066585807357</v>
      </c>
    </row>
    <row r="49" spans="1:3">
      <c r="A49" t="s">
        <v>51</v>
      </c>
      <c r="B49" t="s">
        <v>294</v>
      </c>
      <c r="C49" s="20">
        <f>IF(SQRT((Coordenadas!$C$7-Coordenadas!$C$189)^2+(Coordenadas!$D$7-Coordenadas!$D$189)^2)&lt;=LEEME!$B$20,EXP(-LEEME!$B$19*SQRT((Coordenadas!$C$7-Coordenadas!$C$189)^2+(Coordenadas!$D$7-Coordenadas!$D$189)^2)),0)</f>
        <v>0.54767144270960411</v>
      </c>
    </row>
    <row r="50" spans="1:3">
      <c r="A50" t="s">
        <v>51</v>
      </c>
      <c r="B50" t="s">
        <v>295</v>
      </c>
      <c r="C50" s="20">
        <f>IF(SQRT((Coordenadas!$C$7-Coordenadas!$C$190)^2+(Coordenadas!$D$7-Coordenadas!$D$190)^2)&lt;=LEEME!$B$20,EXP(-LEEME!$B$19*SQRT((Coordenadas!$C$7-Coordenadas!$C$190)^2+(Coordenadas!$D$7-Coordenadas!$D$190)^2)),0)</f>
        <v>0.5057156336272246</v>
      </c>
    </row>
    <row r="51" spans="1:3">
      <c r="A51" t="s">
        <v>52</v>
      </c>
      <c r="B51" t="s">
        <v>269</v>
      </c>
      <c r="C51" s="20">
        <f>IF(SQRT((Coordenadas!$C$8-Coordenadas!$C$164)^2+(Coordenadas!$D$8-Coordenadas!$D$164)^2)&lt;=LEEME!$B$20,EXP(-LEEME!$B$19*SQRT((Coordenadas!$C$8-Coordenadas!$C$164)^2+(Coordenadas!$D$8-Coordenadas!$D$164)^2)),0)</f>
        <v>0.77012752748910862</v>
      </c>
    </row>
    <row r="52" spans="1:3">
      <c r="A52" t="s">
        <v>55</v>
      </c>
      <c r="B52" t="s">
        <v>272</v>
      </c>
      <c r="C52" s="20">
        <f>IF(SQRT((Coordenadas!$C$10-Coordenadas!$C$167)^2+(Coordenadas!$D$10-Coordenadas!$D$167)^2)&lt;=LEEME!$B$20,EXP(-LEEME!$B$19*SQRT((Coordenadas!$C$10-Coordenadas!$C$167)^2+(Coordenadas!$D$10-Coordenadas!$D$167)^2)),0)</f>
        <v>0.37990063567190197</v>
      </c>
    </row>
    <row r="53" spans="1:3">
      <c r="A53" t="s">
        <v>55</v>
      </c>
      <c r="B53" t="s">
        <v>279</v>
      </c>
      <c r="C53" s="20">
        <f>IF(SQRT((Coordenadas!$C$10-Coordenadas!$C$174)^2+(Coordenadas!$D$10-Coordenadas!$D$174)^2)&lt;=LEEME!$B$20,EXP(-LEEME!$B$19*SQRT((Coordenadas!$C$10-Coordenadas!$C$174)^2+(Coordenadas!$D$10-Coordenadas!$D$174)^2)),0)</f>
        <v>0.41600636001785196</v>
      </c>
    </row>
    <row r="54" spans="1:3">
      <c r="A54" t="s">
        <v>56</v>
      </c>
      <c r="B54" t="s">
        <v>269</v>
      </c>
      <c r="C54" s="20">
        <f>IF(SQRT((Coordenadas!$C$11-Coordenadas!$C$164)^2+(Coordenadas!$D$11-Coordenadas!$D$164)^2)&lt;=LEEME!$B$20,EXP(-LEEME!$B$19*SQRT((Coordenadas!$C$11-Coordenadas!$C$164)^2+(Coordenadas!$D$11-Coordenadas!$D$164)^2)),0)</f>
        <v>0.61812379659759886</v>
      </c>
    </row>
    <row r="55" spans="1:3">
      <c r="A55" t="s">
        <v>57</v>
      </c>
      <c r="B55" t="s">
        <v>269</v>
      </c>
      <c r="C55" s="20">
        <f>IF(SQRT((Coordenadas!$C$12-Coordenadas!$C$164)^2+(Coordenadas!$D$12-Coordenadas!$D$164)^2)&lt;=LEEME!$B$20,EXP(-LEEME!$B$19*SQRT((Coordenadas!$C$12-Coordenadas!$C$164)^2+(Coordenadas!$D$12-Coordenadas!$D$164)^2)),0)</f>
        <v>0.43294139214581423</v>
      </c>
    </row>
    <row r="56" spans="1:3">
      <c r="A56" t="s">
        <v>57</v>
      </c>
      <c r="B56" t="s">
        <v>272</v>
      </c>
      <c r="C56" s="20">
        <f>IF(SQRT((Coordenadas!$C$12-Coordenadas!$C$167)^2+(Coordenadas!$D$12-Coordenadas!$D$167)^2)&lt;=LEEME!$B$20,EXP(-LEEME!$B$19*SQRT((Coordenadas!$C$12-Coordenadas!$C$167)^2+(Coordenadas!$D$12-Coordenadas!$D$167)^2)),0)</f>
        <v>0.45272766728625802</v>
      </c>
    </row>
    <row r="57" spans="1:3">
      <c r="A57" t="s">
        <v>59</v>
      </c>
      <c r="B57" t="s">
        <v>272</v>
      </c>
      <c r="C57" s="20">
        <f>IF(SQRT((Coordenadas!$C$14-Coordenadas!$C$167)^2+(Coordenadas!$D$14-Coordenadas!$D$167)^2)&lt;=LEEME!$B$20,EXP(-LEEME!$B$19*SQRT((Coordenadas!$C$14-Coordenadas!$C$167)^2+(Coordenadas!$D$14-Coordenadas!$D$167)^2)),0)</f>
        <v>0.42491669610650801</v>
      </c>
    </row>
    <row r="58" spans="1:3">
      <c r="A58" t="s">
        <v>60</v>
      </c>
      <c r="B58" t="s">
        <v>272</v>
      </c>
      <c r="C58" s="20">
        <f>IF(SQRT((Coordenadas!$C$15-Coordenadas!$C$167)^2+(Coordenadas!$D$15-Coordenadas!$D$167)^2)&lt;=LEEME!$B$20,EXP(-LEEME!$B$19*SQRT((Coordenadas!$C$15-Coordenadas!$C$167)^2+(Coordenadas!$D$15-Coordenadas!$D$167)^2)),0)</f>
        <v>0.38501372491650776</v>
      </c>
    </row>
    <row r="59" spans="1:3">
      <c r="A59" t="s">
        <v>61</v>
      </c>
      <c r="B59" t="s">
        <v>269</v>
      </c>
      <c r="C59" s="20">
        <f>IF(SQRT((Coordenadas!$C$16-Coordenadas!$C$164)^2+(Coordenadas!$D$16-Coordenadas!$D$164)^2)&lt;=LEEME!$B$20,EXP(-LEEME!$B$19*SQRT((Coordenadas!$C$16-Coordenadas!$C$164)^2+(Coordenadas!$D$16-Coordenadas!$D$164)^2)),0)</f>
        <v>0.45815639396507424</v>
      </c>
    </row>
    <row r="60" spans="1:3">
      <c r="A60" t="s">
        <v>62</v>
      </c>
      <c r="B60" t="s">
        <v>279</v>
      </c>
      <c r="C60" s="20">
        <f>IF(SQRT((Coordenadas!$C$17-Coordenadas!$C$174)^2+(Coordenadas!$D$17-Coordenadas!$D$174)^2)&lt;=LEEME!$B$20,EXP(-LEEME!$B$19*SQRT((Coordenadas!$C$17-Coordenadas!$C$174)^2+(Coordenadas!$D$17-Coordenadas!$D$174)^2)),0)</f>
        <v>0.67011068548508645</v>
      </c>
    </row>
    <row r="61" spans="1:3">
      <c r="A61" t="s">
        <v>62</v>
      </c>
      <c r="B61" t="s">
        <v>282</v>
      </c>
      <c r="C61" s="20">
        <f>IF(SQRT((Coordenadas!$C$17-Coordenadas!$C$177)^2+(Coordenadas!$D$17-Coordenadas!$D$177)^2)&lt;=LEEME!$B$20,EXP(-LEEME!$B$19*SQRT((Coordenadas!$C$17-Coordenadas!$C$177)^2+(Coordenadas!$D$17-Coordenadas!$D$177)^2)),0)</f>
        <v>0.51928351547716489</v>
      </c>
    </row>
    <row r="62" spans="1:3">
      <c r="A62" t="s">
        <v>62</v>
      </c>
      <c r="B62" t="s">
        <v>286</v>
      </c>
      <c r="C62" s="20">
        <f>IF(SQRT((Coordenadas!$C$17-Coordenadas!$C$181)^2+(Coordenadas!$D$17-Coordenadas!$D$181)^2)&lt;=LEEME!$B$20,EXP(-LEEME!$B$19*SQRT((Coordenadas!$C$17-Coordenadas!$C$181)^2+(Coordenadas!$D$17-Coordenadas!$D$181)^2)),0)</f>
        <v>0.44209018207786827</v>
      </c>
    </row>
    <row r="63" spans="1:3">
      <c r="A63" t="s">
        <v>62</v>
      </c>
      <c r="B63" t="s">
        <v>287</v>
      </c>
      <c r="C63" s="20">
        <f>IF(SQRT((Coordenadas!$C$17-Coordenadas!$C$182)^2+(Coordenadas!$D$17-Coordenadas!$D$182)^2)&lt;=LEEME!$B$20,EXP(-LEEME!$B$19*SQRT((Coordenadas!$C$17-Coordenadas!$C$182)^2+(Coordenadas!$D$17-Coordenadas!$D$182)^2)),0)</f>
        <v>0.42089949784189301</v>
      </c>
    </row>
    <row r="64" spans="1:3">
      <c r="A64" t="s">
        <v>62</v>
      </c>
      <c r="B64" t="s">
        <v>288</v>
      </c>
      <c r="C64" s="20">
        <f>IF(SQRT((Coordenadas!$C$17-Coordenadas!$C$183)^2+(Coordenadas!$D$17-Coordenadas!$D$183)^2)&lt;=LEEME!$B$20,EXP(-LEEME!$B$19*SQRT((Coordenadas!$C$17-Coordenadas!$C$183)^2+(Coordenadas!$D$17-Coordenadas!$D$183)^2)),0)</f>
        <v>0.39969220265492306</v>
      </c>
    </row>
    <row r="65" spans="1:3">
      <c r="A65" t="s">
        <v>63</v>
      </c>
      <c r="B65" t="s">
        <v>279</v>
      </c>
      <c r="C65" s="20">
        <f>IF(SQRT((Coordenadas!$C$18-Coordenadas!$C$174)^2+(Coordenadas!$D$18-Coordenadas!$D$174)^2)&lt;=LEEME!$B$20,EXP(-LEEME!$B$19*SQRT((Coordenadas!$C$18-Coordenadas!$C$174)^2+(Coordenadas!$D$18-Coordenadas!$D$174)^2)),0)</f>
        <v>0.98888192783834228</v>
      </c>
    </row>
    <row r="66" spans="1:3">
      <c r="A66" t="s">
        <v>63</v>
      </c>
      <c r="B66" t="s">
        <v>281</v>
      </c>
      <c r="C66" s="20">
        <f>IF(SQRT((Coordenadas!$C$18-Coordenadas!$C$176)^2+(Coordenadas!$D$18-Coordenadas!$D$176)^2)&lt;=LEEME!$B$20,EXP(-LEEME!$B$19*SQRT((Coordenadas!$C$18-Coordenadas!$C$176)^2+(Coordenadas!$D$18-Coordenadas!$D$176)^2)),0)</f>
        <v>0.37816203282659799</v>
      </c>
    </row>
    <row r="67" spans="1:3">
      <c r="A67" t="s">
        <v>63</v>
      </c>
      <c r="B67" t="s">
        <v>282</v>
      </c>
      <c r="C67" s="20">
        <f>IF(SQRT((Coordenadas!$C$18-Coordenadas!$C$177)^2+(Coordenadas!$D$18-Coordenadas!$D$177)^2)&lt;=LEEME!$B$20,EXP(-LEEME!$B$19*SQRT((Coordenadas!$C$18-Coordenadas!$C$177)^2+(Coordenadas!$D$18-Coordenadas!$D$177)^2)),0)</f>
        <v>0.46859156835856691</v>
      </c>
    </row>
    <row r="68" spans="1:3">
      <c r="A68" t="s">
        <v>63</v>
      </c>
      <c r="B68" t="s">
        <v>283</v>
      </c>
      <c r="C68" s="20">
        <f>IF(SQRT((Coordenadas!$C$18-Coordenadas!$C$178)^2+(Coordenadas!$D$18-Coordenadas!$D$178)^2)&lt;=LEEME!$B$20,EXP(-LEEME!$B$19*SQRT((Coordenadas!$C$18-Coordenadas!$C$178)^2+(Coordenadas!$D$18-Coordenadas!$D$178)^2)),0)</f>
        <v>0.42598080085000634</v>
      </c>
    </row>
    <row r="69" spans="1:3">
      <c r="A69" t="s">
        <v>63</v>
      </c>
      <c r="B69" t="s">
        <v>284</v>
      </c>
      <c r="C69" s="20">
        <f>IF(SQRT((Coordenadas!$C$18-Coordenadas!$C$179)^2+(Coordenadas!$D$18-Coordenadas!$D$179)^2)&lt;=LEEME!$B$20,EXP(-LEEME!$B$19*SQRT((Coordenadas!$C$18-Coordenadas!$C$179)^2+(Coordenadas!$D$18-Coordenadas!$D$179)^2)),0)</f>
        <v>0.43940039935401282</v>
      </c>
    </row>
    <row r="70" spans="1:3">
      <c r="A70" t="s">
        <v>63</v>
      </c>
      <c r="B70" t="s">
        <v>286</v>
      </c>
      <c r="C70" s="20">
        <f>IF(SQRT((Coordenadas!$C$18-Coordenadas!$C$181)^2+(Coordenadas!$D$18-Coordenadas!$D$181)^2)&lt;=LEEME!$B$20,EXP(-LEEME!$B$19*SQRT((Coordenadas!$C$18-Coordenadas!$C$181)^2+(Coordenadas!$D$18-Coordenadas!$D$181)^2)),0)</f>
        <v>0.40778756321474413</v>
      </c>
    </row>
    <row r="71" spans="1:3">
      <c r="A71" t="s">
        <v>63</v>
      </c>
      <c r="B71" t="s">
        <v>287</v>
      </c>
      <c r="C71" s="20">
        <f>IF(SQRT((Coordenadas!$C$18-Coordenadas!$C$182)^2+(Coordenadas!$D$18-Coordenadas!$D$182)^2)&lt;=LEEME!$B$20,EXP(-LEEME!$B$19*SQRT((Coordenadas!$C$18-Coordenadas!$C$182)^2+(Coordenadas!$D$18-Coordenadas!$D$182)^2)),0)</f>
        <v>0.55634541551349137</v>
      </c>
    </row>
    <row r="72" spans="1:3">
      <c r="A72" t="s">
        <v>63</v>
      </c>
      <c r="B72" t="s">
        <v>288</v>
      </c>
      <c r="C72" s="20">
        <f>IF(SQRT((Coordenadas!$C$18-Coordenadas!$C$183)^2+(Coordenadas!$D$18-Coordenadas!$D$183)^2)&lt;=LEEME!$B$20,EXP(-LEEME!$B$19*SQRT((Coordenadas!$C$18-Coordenadas!$C$183)^2+(Coordenadas!$D$18-Coordenadas!$D$183)^2)),0)</f>
        <v>0.53483366409898292</v>
      </c>
    </row>
    <row r="73" spans="1:3">
      <c r="A73" t="s">
        <v>63</v>
      </c>
      <c r="B73" t="s">
        <v>289</v>
      </c>
      <c r="C73" s="20">
        <f>IF(SQRT((Coordenadas!$C$18-Coordenadas!$C$184)^2+(Coordenadas!$D$18-Coordenadas!$D$184)^2)&lt;=LEEME!$B$20,EXP(-LEEME!$B$19*SQRT((Coordenadas!$C$18-Coordenadas!$C$184)^2+(Coordenadas!$D$18-Coordenadas!$D$184)^2)),0)</f>
        <v>0.43532823181209757</v>
      </c>
    </row>
    <row r="74" spans="1:3">
      <c r="A74" t="s">
        <v>64</v>
      </c>
      <c r="B74" t="s">
        <v>279</v>
      </c>
      <c r="C74" s="20">
        <f>IF(SQRT((Coordenadas!$C$19-Coordenadas!$C$174)^2+(Coordenadas!$D$19-Coordenadas!$D$174)^2)&lt;=LEEME!$B$20,EXP(-LEEME!$B$19*SQRT((Coordenadas!$C$19-Coordenadas!$C$174)^2+(Coordenadas!$D$19-Coordenadas!$D$174)^2)),0)</f>
        <v>0.76260383352458261</v>
      </c>
    </row>
    <row r="75" spans="1:3">
      <c r="A75" t="s">
        <v>64</v>
      </c>
      <c r="B75" t="s">
        <v>282</v>
      </c>
      <c r="C75" s="20">
        <f>IF(SQRT((Coordenadas!$C$19-Coordenadas!$C$177)^2+(Coordenadas!$D$19-Coordenadas!$D$177)^2)&lt;=LEEME!$B$20,EXP(-LEEME!$B$19*SQRT((Coordenadas!$C$19-Coordenadas!$C$177)^2+(Coordenadas!$D$19-Coordenadas!$D$177)^2)),0)</f>
        <v>0.57761964234367158</v>
      </c>
    </row>
    <row r="76" spans="1:3">
      <c r="A76" t="s">
        <v>64</v>
      </c>
      <c r="B76" t="s">
        <v>283</v>
      </c>
      <c r="C76" s="20">
        <f>IF(SQRT((Coordenadas!$C$19-Coordenadas!$C$178)^2+(Coordenadas!$D$19-Coordenadas!$D$178)^2)&lt;=LEEME!$B$20,EXP(-LEEME!$B$19*SQRT((Coordenadas!$C$19-Coordenadas!$C$178)^2+(Coordenadas!$D$19-Coordenadas!$D$178)^2)),0)</f>
        <v>0.41201010940271793</v>
      </c>
    </row>
    <row r="77" spans="1:3">
      <c r="A77" t="s">
        <v>64</v>
      </c>
      <c r="B77" t="s">
        <v>284</v>
      </c>
      <c r="C77" s="20">
        <f>IF(SQRT((Coordenadas!$C$19-Coordenadas!$C$179)^2+(Coordenadas!$D$19-Coordenadas!$D$179)^2)&lt;=LEEME!$B$20,EXP(-LEEME!$B$19*SQRT((Coordenadas!$C$19-Coordenadas!$C$179)^2+(Coordenadas!$D$19-Coordenadas!$D$179)^2)),0)</f>
        <v>0.4314216433955646</v>
      </c>
    </row>
    <row r="78" spans="1:3">
      <c r="A78" t="s">
        <v>64</v>
      </c>
      <c r="B78" t="s">
        <v>286</v>
      </c>
      <c r="C78" s="20">
        <f>IF(SQRT((Coordenadas!$C$19-Coordenadas!$C$181)^2+(Coordenadas!$D$19-Coordenadas!$D$181)^2)&lt;=LEEME!$B$20,EXP(-LEEME!$B$19*SQRT((Coordenadas!$C$19-Coordenadas!$C$181)^2+(Coordenadas!$D$19-Coordenadas!$D$181)^2)),0)</f>
        <v>0.51241625939507385</v>
      </c>
    </row>
    <row r="79" spans="1:3">
      <c r="A79" t="s">
        <v>64</v>
      </c>
      <c r="B79" t="s">
        <v>287</v>
      </c>
      <c r="C79" s="20">
        <f>IF(SQRT((Coordenadas!$C$19-Coordenadas!$C$182)^2+(Coordenadas!$D$19-Coordenadas!$D$182)^2)&lt;=LEEME!$B$20,EXP(-LEEME!$B$19*SQRT((Coordenadas!$C$19-Coordenadas!$C$182)^2+(Coordenadas!$D$19-Coordenadas!$D$182)^2)),0)</f>
        <v>0.67606126211065798</v>
      </c>
    </row>
    <row r="80" spans="1:3">
      <c r="A80" t="s">
        <v>64</v>
      </c>
      <c r="B80" t="s">
        <v>288</v>
      </c>
      <c r="C80" s="20">
        <f>IF(SQRT((Coordenadas!$C$19-Coordenadas!$C$183)^2+(Coordenadas!$D$19-Coordenadas!$D$183)^2)&lt;=LEEME!$B$20,EXP(-LEEME!$B$19*SQRT((Coordenadas!$C$19-Coordenadas!$C$183)^2+(Coordenadas!$D$19-Coordenadas!$D$183)^2)),0)</f>
        <v>0.64214272185925003</v>
      </c>
    </row>
    <row r="81" spans="1:3">
      <c r="A81" t="s">
        <v>64</v>
      </c>
      <c r="B81" t="s">
        <v>289</v>
      </c>
      <c r="C81" s="20">
        <f>IF(SQRT((Coordenadas!$C$19-Coordenadas!$C$184)^2+(Coordenadas!$D$19-Coordenadas!$D$184)^2)&lt;=LEEME!$B$20,EXP(-LEEME!$B$19*SQRT((Coordenadas!$C$19-Coordenadas!$C$184)^2+(Coordenadas!$D$19-Coordenadas!$D$184)^2)),0)</f>
        <v>0.46246511384379901</v>
      </c>
    </row>
    <row r="82" spans="1:3">
      <c r="A82" t="s">
        <v>64</v>
      </c>
      <c r="B82" t="s">
        <v>294</v>
      </c>
      <c r="C82" s="20">
        <f>IF(SQRT((Coordenadas!$C$19-Coordenadas!$C$189)^2+(Coordenadas!$D$19-Coordenadas!$D$189)^2)&lt;=LEEME!$B$20,EXP(-LEEME!$B$19*SQRT((Coordenadas!$C$19-Coordenadas!$C$189)^2+(Coordenadas!$D$19-Coordenadas!$D$189)^2)),0)</f>
        <v>0.43457720404372413</v>
      </c>
    </row>
    <row r="83" spans="1:3">
      <c r="A83" t="s">
        <v>65</v>
      </c>
      <c r="B83" t="s">
        <v>279</v>
      </c>
      <c r="C83" s="20">
        <f>IF(SQRT((Coordenadas!$C$20-Coordenadas!$C$174)^2+(Coordenadas!$D$20-Coordenadas!$D$174)^2)&lt;=LEEME!$B$20,EXP(-LEEME!$B$19*SQRT((Coordenadas!$C$20-Coordenadas!$C$174)^2+(Coordenadas!$D$20-Coordenadas!$D$174)^2)),0)</f>
        <v>0.54743280251030413</v>
      </c>
    </row>
    <row r="84" spans="1:3">
      <c r="A84" t="s">
        <v>65</v>
      </c>
      <c r="B84" t="s">
        <v>282</v>
      </c>
      <c r="C84" s="20">
        <f>IF(SQRT((Coordenadas!$C$20-Coordenadas!$C$177)^2+(Coordenadas!$D$20-Coordenadas!$D$177)^2)&lt;=LEEME!$B$20,EXP(-LEEME!$B$19*SQRT((Coordenadas!$C$20-Coordenadas!$C$177)^2+(Coordenadas!$D$20-Coordenadas!$D$177)^2)),0)</f>
        <v>0.52793193491788148</v>
      </c>
    </row>
    <row r="85" spans="1:3">
      <c r="A85" t="s">
        <v>65</v>
      </c>
      <c r="B85" t="s">
        <v>283</v>
      </c>
      <c r="C85" s="20">
        <f>IF(SQRT((Coordenadas!$C$20-Coordenadas!$C$178)^2+(Coordenadas!$D$20-Coordenadas!$D$178)^2)&lt;=LEEME!$B$20,EXP(-LEEME!$B$19*SQRT((Coordenadas!$C$20-Coordenadas!$C$178)^2+(Coordenadas!$D$20-Coordenadas!$D$178)^2)),0)</f>
        <v>0.44789487055660759</v>
      </c>
    </row>
    <row r="86" spans="1:3">
      <c r="A86" t="s">
        <v>65</v>
      </c>
      <c r="B86" t="s">
        <v>284</v>
      </c>
      <c r="C86" s="20">
        <f>IF(SQRT((Coordenadas!$C$20-Coordenadas!$C$179)^2+(Coordenadas!$D$20-Coordenadas!$D$179)^2)&lt;=LEEME!$B$20,EXP(-LEEME!$B$19*SQRT((Coordenadas!$C$20-Coordenadas!$C$179)^2+(Coordenadas!$D$20-Coordenadas!$D$179)^2)),0)</f>
        <v>0.4755404000205905</v>
      </c>
    </row>
    <row r="87" spans="1:3">
      <c r="A87" t="s">
        <v>65</v>
      </c>
      <c r="B87" t="s">
        <v>286</v>
      </c>
      <c r="C87" s="20">
        <f>IF(SQRT((Coordenadas!$C$20-Coordenadas!$C$181)^2+(Coordenadas!$D$20-Coordenadas!$D$181)^2)&lt;=LEEME!$B$20,EXP(-LEEME!$B$19*SQRT((Coordenadas!$C$20-Coordenadas!$C$181)^2+(Coordenadas!$D$20-Coordenadas!$D$181)^2)),0)</f>
        <v>0.50780314320386233</v>
      </c>
    </row>
    <row r="88" spans="1:3">
      <c r="A88" t="s">
        <v>65</v>
      </c>
      <c r="B88" t="s">
        <v>287</v>
      </c>
      <c r="C88" s="20">
        <f>IF(SQRT((Coordenadas!$C$20-Coordenadas!$C$182)^2+(Coordenadas!$D$20-Coordenadas!$D$182)^2)&lt;=LEEME!$B$20,EXP(-LEEME!$B$19*SQRT((Coordenadas!$C$20-Coordenadas!$C$182)^2+(Coordenadas!$D$20-Coordenadas!$D$182)^2)),0)</f>
        <v>0.91797399757627574</v>
      </c>
    </row>
    <row r="89" spans="1:3">
      <c r="A89" t="s">
        <v>65</v>
      </c>
      <c r="B89" t="s">
        <v>288</v>
      </c>
      <c r="C89" s="20">
        <f>IF(SQRT((Coordenadas!$C$20-Coordenadas!$C$183)^2+(Coordenadas!$D$20-Coordenadas!$D$183)^2)&lt;=LEEME!$B$20,EXP(-LEEME!$B$19*SQRT((Coordenadas!$C$20-Coordenadas!$C$183)^2+(Coordenadas!$D$20-Coordenadas!$D$183)^2)),0)</f>
        <v>0.87600627664746544</v>
      </c>
    </row>
    <row r="90" spans="1:3">
      <c r="A90" t="s">
        <v>65</v>
      </c>
      <c r="B90" t="s">
        <v>289</v>
      </c>
      <c r="C90" s="20">
        <f>IF(SQRT((Coordenadas!$C$20-Coordenadas!$C$184)^2+(Coordenadas!$D$20-Coordenadas!$D$184)^2)&lt;=LEEME!$B$20,EXP(-LEEME!$B$19*SQRT((Coordenadas!$C$20-Coordenadas!$C$184)^2+(Coordenadas!$D$20-Coordenadas!$D$184)^2)),0)</f>
        <v>0.564288981568982</v>
      </c>
    </row>
    <row r="91" spans="1:3">
      <c r="A91" t="s">
        <v>65</v>
      </c>
      <c r="B91" t="s">
        <v>294</v>
      </c>
      <c r="C91" s="20">
        <f>IF(SQRT((Coordenadas!$C$20-Coordenadas!$C$189)^2+(Coordenadas!$D$20-Coordenadas!$D$189)^2)&lt;=LEEME!$B$20,EXP(-LEEME!$B$19*SQRT((Coordenadas!$C$20-Coordenadas!$C$189)^2+(Coordenadas!$D$20-Coordenadas!$D$189)^2)),0)</f>
        <v>0.61253264665277141</v>
      </c>
    </row>
    <row r="92" spans="1:3">
      <c r="A92" t="s">
        <v>66</v>
      </c>
      <c r="B92" t="s">
        <v>281</v>
      </c>
      <c r="C92" s="20">
        <f>IF(SQRT((Coordenadas!$C$21-Coordenadas!$C$176)^2+(Coordenadas!$D$21-Coordenadas!$D$176)^2)&lt;=LEEME!$B$20,EXP(-LEEME!$B$19*SQRT((Coordenadas!$C$21-Coordenadas!$C$176)^2+(Coordenadas!$D$21-Coordenadas!$D$176)^2)),0)</f>
        <v>0.42915109649401711</v>
      </c>
    </row>
    <row r="93" spans="1:3">
      <c r="A93" t="s">
        <v>66</v>
      </c>
      <c r="B93" t="s">
        <v>283</v>
      </c>
      <c r="C93" s="20">
        <f>IF(SQRT((Coordenadas!$C$21-Coordenadas!$C$178)^2+(Coordenadas!$D$21-Coordenadas!$D$178)^2)&lt;=LEEME!$B$20,EXP(-LEEME!$B$19*SQRT((Coordenadas!$C$21-Coordenadas!$C$178)^2+(Coordenadas!$D$21-Coordenadas!$D$178)^2)),0)</f>
        <v>0.5061240064071687</v>
      </c>
    </row>
    <row r="94" spans="1:3">
      <c r="A94" t="s">
        <v>66</v>
      </c>
      <c r="B94" t="s">
        <v>284</v>
      </c>
      <c r="C94" s="20">
        <f>IF(SQRT((Coordenadas!$C$21-Coordenadas!$C$179)^2+(Coordenadas!$D$21-Coordenadas!$D$179)^2)&lt;=LEEME!$B$20,EXP(-LEEME!$B$19*SQRT((Coordenadas!$C$21-Coordenadas!$C$179)^2+(Coordenadas!$D$21-Coordenadas!$D$179)^2)),0)</f>
        <v>0.52416491840963475</v>
      </c>
    </row>
    <row r="95" spans="1:3">
      <c r="A95" t="s">
        <v>66</v>
      </c>
      <c r="B95" t="s">
        <v>287</v>
      </c>
      <c r="C95" s="20">
        <f>IF(SQRT((Coordenadas!$C$21-Coordenadas!$C$182)^2+(Coordenadas!$D$21-Coordenadas!$D$182)^2)&lt;=LEEME!$B$20,EXP(-LEEME!$B$19*SQRT((Coordenadas!$C$21-Coordenadas!$C$182)^2+(Coordenadas!$D$21-Coordenadas!$D$182)^2)),0)</f>
        <v>0.45008160223356486</v>
      </c>
    </row>
    <row r="96" spans="1:3">
      <c r="A96" t="s">
        <v>66</v>
      </c>
      <c r="B96" t="s">
        <v>288</v>
      </c>
      <c r="C96" s="20">
        <f>IF(SQRT((Coordenadas!$C$21-Coordenadas!$C$183)^2+(Coordenadas!$D$21-Coordenadas!$D$183)^2)&lt;=LEEME!$B$20,EXP(-LEEME!$B$19*SQRT((Coordenadas!$C$21-Coordenadas!$C$183)^2+(Coordenadas!$D$21-Coordenadas!$D$183)^2)),0)</f>
        <v>0.47646215560314958</v>
      </c>
    </row>
    <row r="97" spans="1:3">
      <c r="A97" t="s">
        <v>66</v>
      </c>
      <c r="B97" t="s">
        <v>289</v>
      </c>
      <c r="C97" s="20">
        <f>IF(SQRT((Coordenadas!$C$21-Coordenadas!$C$184)^2+(Coordenadas!$D$21-Coordenadas!$D$184)^2)&lt;=LEEME!$B$20,EXP(-LEEME!$B$19*SQRT((Coordenadas!$C$21-Coordenadas!$C$184)^2+(Coordenadas!$D$21-Coordenadas!$D$184)^2)),0)</f>
        <v>0.62384207380462042</v>
      </c>
    </row>
    <row r="98" spans="1:3">
      <c r="A98" t="s">
        <v>66</v>
      </c>
      <c r="B98" t="s">
        <v>292</v>
      </c>
      <c r="C98" s="20">
        <f>IF(SQRT((Coordenadas!$C$21-Coordenadas!$C$187)^2+(Coordenadas!$D$21-Coordenadas!$D$187)^2)&lt;=LEEME!$B$20,EXP(-LEEME!$B$19*SQRT((Coordenadas!$C$21-Coordenadas!$C$187)^2+(Coordenadas!$D$21-Coordenadas!$D$187)^2)),0)</f>
        <v>0.67764369475896258</v>
      </c>
    </row>
    <row r="99" spans="1:3">
      <c r="A99" t="s">
        <v>66</v>
      </c>
      <c r="B99" t="s">
        <v>294</v>
      </c>
      <c r="C99" s="20">
        <f>IF(SQRT((Coordenadas!$C$21-Coordenadas!$C$189)^2+(Coordenadas!$D$21-Coordenadas!$D$189)^2)&lt;=LEEME!$B$20,EXP(-LEEME!$B$19*SQRT((Coordenadas!$C$21-Coordenadas!$C$189)^2+(Coordenadas!$D$21-Coordenadas!$D$189)^2)),0)</f>
        <v>0.42701307057325028</v>
      </c>
    </row>
    <row r="100" spans="1:3">
      <c r="A100" t="s">
        <v>67</v>
      </c>
      <c r="B100" t="s">
        <v>281</v>
      </c>
      <c r="C100" s="20">
        <f>IF(SQRT((Coordenadas!$C$22-Coordenadas!$C$176)^2+(Coordenadas!$D$22-Coordenadas!$D$176)^2)&lt;=LEEME!$B$20,EXP(-LEEME!$B$19*SQRT((Coordenadas!$C$22-Coordenadas!$C$176)^2+(Coordenadas!$D$22-Coordenadas!$D$176)^2)),0)</f>
        <v>0.45839866518937022</v>
      </c>
    </row>
    <row r="101" spans="1:3">
      <c r="A101" t="s">
        <v>67</v>
      </c>
      <c r="B101" t="s">
        <v>283</v>
      </c>
      <c r="C101" s="20">
        <f>IF(SQRT((Coordenadas!$C$22-Coordenadas!$C$178)^2+(Coordenadas!$D$22-Coordenadas!$D$178)^2)&lt;=LEEME!$B$20,EXP(-LEEME!$B$19*SQRT((Coordenadas!$C$22-Coordenadas!$C$178)^2+(Coordenadas!$D$22-Coordenadas!$D$178)^2)),0)</f>
        <v>0.5056044002620419</v>
      </c>
    </row>
    <row r="102" spans="1:3">
      <c r="A102" t="s">
        <v>67</v>
      </c>
      <c r="B102" t="s">
        <v>284</v>
      </c>
      <c r="C102" s="20">
        <f>IF(SQRT((Coordenadas!$C$22-Coordenadas!$C$179)^2+(Coordenadas!$D$22-Coordenadas!$D$179)^2)&lt;=LEEME!$B$20,EXP(-LEEME!$B$19*SQRT((Coordenadas!$C$22-Coordenadas!$C$179)^2+(Coordenadas!$D$22-Coordenadas!$D$179)^2)),0)</f>
        <v>0.51104138703384283</v>
      </c>
    </row>
    <row r="103" spans="1:3">
      <c r="A103" t="s">
        <v>67</v>
      </c>
      <c r="B103" t="s">
        <v>288</v>
      </c>
      <c r="C103" s="20">
        <f>IF(SQRT((Coordenadas!$C$22-Coordenadas!$C$183)^2+(Coordenadas!$D$22-Coordenadas!$D$183)^2)&lt;=LEEME!$B$20,EXP(-LEEME!$B$19*SQRT((Coordenadas!$C$22-Coordenadas!$C$183)^2+(Coordenadas!$D$22-Coordenadas!$D$183)^2)),0)</f>
        <v>0.38209192030756745</v>
      </c>
    </row>
    <row r="104" spans="1:3">
      <c r="A104" t="s">
        <v>67</v>
      </c>
      <c r="B104" t="s">
        <v>289</v>
      </c>
      <c r="C104" s="20">
        <f>IF(SQRT((Coordenadas!$C$22-Coordenadas!$C$184)^2+(Coordenadas!$D$22-Coordenadas!$D$184)^2)&lt;=LEEME!$B$20,EXP(-LEEME!$B$19*SQRT((Coordenadas!$C$22-Coordenadas!$C$184)^2+(Coordenadas!$D$22-Coordenadas!$D$184)^2)),0)</f>
        <v>0.55192209070976739</v>
      </c>
    </row>
    <row r="105" spans="1:3">
      <c r="A105" t="s">
        <v>67</v>
      </c>
      <c r="B105" t="s">
        <v>292</v>
      </c>
      <c r="C105" s="20">
        <f>IF(SQRT((Coordenadas!$C$22-Coordenadas!$C$187)^2+(Coordenadas!$D$22-Coordenadas!$D$187)^2)&lt;=LEEME!$B$20,EXP(-LEEME!$B$19*SQRT((Coordenadas!$C$22-Coordenadas!$C$187)^2+(Coordenadas!$D$22-Coordenadas!$D$187)^2)),0)</f>
        <v>0.84139070042236919</v>
      </c>
    </row>
    <row r="106" spans="1:3">
      <c r="A106" t="s">
        <v>68</v>
      </c>
      <c r="B106" t="s">
        <v>281</v>
      </c>
      <c r="C106" s="20">
        <f>IF(SQRT((Coordenadas!$C$23-Coordenadas!$C$176)^2+(Coordenadas!$D$23-Coordenadas!$D$176)^2)&lt;=LEEME!$B$20,EXP(-LEEME!$B$19*SQRT((Coordenadas!$C$23-Coordenadas!$C$176)^2+(Coordenadas!$D$23-Coordenadas!$D$176)^2)),0)</f>
        <v>0.41994124156002177</v>
      </c>
    </row>
    <row r="107" spans="1:3">
      <c r="A107" t="s">
        <v>68</v>
      </c>
      <c r="B107" t="s">
        <v>283</v>
      </c>
      <c r="C107" s="20">
        <f>IF(SQRT((Coordenadas!$C$23-Coordenadas!$C$178)^2+(Coordenadas!$D$23-Coordenadas!$D$178)^2)&lt;=LEEME!$B$20,EXP(-LEEME!$B$19*SQRT((Coordenadas!$C$23-Coordenadas!$C$178)^2+(Coordenadas!$D$23-Coordenadas!$D$178)^2)),0)</f>
        <v>0.42104546816209865</v>
      </c>
    </row>
    <row r="108" spans="1:3">
      <c r="A108" t="s">
        <v>68</v>
      </c>
      <c r="B108" t="s">
        <v>284</v>
      </c>
      <c r="C108" s="20">
        <f>IF(SQRT((Coordenadas!$C$23-Coordenadas!$C$179)^2+(Coordenadas!$D$23-Coordenadas!$D$179)^2)&lt;=LEEME!$B$20,EXP(-LEEME!$B$19*SQRT((Coordenadas!$C$23-Coordenadas!$C$179)^2+(Coordenadas!$D$23-Coordenadas!$D$179)^2)),0)</f>
        <v>0.41463567246072219</v>
      </c>
    </row>
    <row r="109" spans="1:3">
      <c r="A109" t="s">
        <v>68</v>
      </c>
      <c r="B109" t="s">
        <v>289</v>
      </c>
      <c r="C109" s="20">
        <f>IF(SQRT((Coordenadas!$C$23-Coordenadas!$C$184)^2+(Coordenadas!$D$23-Coordenadas!$D$184)^2)&lt;=LEEME!$B$20,EXP(-LEEME!$B$19*SQRT((Coordenadas!$C$23-Coordenadas!$C$184)^2+(Coordenadas!$D$23-Coordenadas!$D$184)^2)),0)</f>
        <v>0.4093852892771922</v>
      </c>
    </row>
    <row r="110" spans="1:3">
      <c r="A110" t="s">
        <v>68</v>
      </c>
      <c r="B110" t="s">
        <v>292</v>
      </c>
      <c r="C110" s="20">
        <f>IF(SQRT((Coordenadas!$C$23-Coordenadas!$C$187)^2+(Coordenadas!$D$23-Coordenadas!$D$187)^2)&lt;=LEEME!$B$20,EXP(-LEEME!$B$19*SQRT((Coordenadas!$C$23-Coordenadas!$C$187)^2+(Coordenadas!$D$23-Coordenadas!$D$187)^2)),0)</f>
        <v>0.70549522860606328</v>
      </c>
    </row>
    <row r="111" spans="1:3">
      <c r="A111" t="s">
        <v>69</v>
      </c>
      <c r="B111" t="s">
        <v>281</v>
      </c>
      <c r="C111" s="20">
        <f>IF(SQRT((Coordenadas!$C$24-Coordenadas!$C$176)^2+(Coordenadas!$D$24-Coordenadas!$D$176)^2)&lt;=LEEME!$B$20,EXP(-LEEME!$B$19*SQRT((Coordenadas!$C$24-Coordenadas!$C$176)^2+(Coordenadas!$D$24-Coordenadas!$D$176)^2)),0)</f>
        <v>0.58809197438675564</v>
      </c>
    </row>
    <row r="112" spans="1:3">
      <c r="A112" t="s">
        <v>69</v>
      </c>
      <c r="B112" t="s">
        <v>283</v>
      </c>
      <c r="C112" s="20">
        <f>IF(SQRT((Coordenadas!$C$24-Coordenadas!$C$178)^2+(Coordenadas!$D$24-Coordenadas!$D$178)^2)&lt;=LEEME!$B$20,EXP(-LEEME!$B$19*SQRT((Coordenadas!$C$24-Coordenadas!$C$178)^2+(Coordenadas!$D$24-Coordenadas!$D$178)^2)),0)</f>
        <v>0.51684154587380782</v>
      </c>
    </row>
    <row r="113" spans="1:3">
      <c r="A113" t="s">
        <v>69</v>
      </c>
      <c r="B113" t="s">
        <v>284</v>
      </c>
      <c r="C113" s="20">
        <f>IF(SQRT((Coordenadas!$C$24-Coordenadas!$C$179)^2+(Coordenadas!$D$24-Coordenadas!$D$179)^2)&lt;=LEEME!$B$20,EXP(-LEEME!$B$19*SQRT((Coordenadas!$C$24-Coordenadas!$C$179)^2+(Coordenadas!$D$24-Coordenadas!$D$179)^2)),0)</f>
        <v>0.49233783111260027</v>
      </c>
    </row>
    <row r="114" spans="1:3">
      <c r="A114" t="s">
        <v>69</v>
      </c>
      <c r="B114" t="s">
        <v>289</v>
      </c>
      <c r="C114" s="20">
        <f>IF(SQRT((Coordenadas!$C$24-Coordenadas!$C$184)^2+(Coordenadas!$D$24-Coordenadas!$D$184)^2)&lt;=LEEME!$B$20,EXP(-LEEME!$B$19*SQRT((Coordenadas!$C$24-Coordenadas!$C$184)^2+(Coordenadas!$D$24-Coordenadas!$D$184)^2)),0)</f>
        <v>0.42159383055623534</v>
      </c>
    </row>
    <row r="115" spans="1:3">
      <c r="A115" t="s">
        <v>69</v>
      </c>
      <c r="B115" t="s">
        <v>292</v>
      </c>
      <c r="C115" s="20">
        <f>IF(SQRT((Coordenadas!$C$24-Coordenadas!$C$187)^2+(Coordenadas!$D$24-Coordenadas!$D$187)^2)&lt;=LEEME!$B$20,EXP(-LEEME!$B$19*SQRT((Coordenadas!$C$24-Coordenadas!$C$187)^2+(Coordenadas!$D$24-Coordenadas!$D$187)^2)),0)</f>
        <v>0.59015174647115087</v>
      </c>
    </row>
    <row r="116" spans="1:3">
      <c r="A116" t="s">
        <v>70</v>
      </c>
      <c r="B116" t="s">
        <v>281</v>
      </c>
      <c r="C116" s="20">
        <f>IF(SQRT((Coordenadas!$C$25-Coordenadas!$C$176)^2+(Coordenadas!$D$25-Coordenadas!$D$176)^2)&lt;=LEEME!$B$20,EXP(-LEEME!$B$19*SQRT((Coordenadas!$C$25-Coordenadas!$C$176)^2+(Coordenadas!$D$25-Coordenadas!$D$176)^2)),0)</f>
        <v>0.54157705458688765</v>
      </c>
    </row>
    <row r="117" spans="1:3">
      <c r="A117" t="s">
        <v>70</v>
      </c>
      <c r="B117" t="s">
        <v>283</v>
      </c>
      <c r="C117" s="20">
        <f>IF(SQRT((Coordenadas!$C$25-Coordenadas!$C$178)^2+(Coordenadas!$D$25-Coordenadas!$D$178)^2)&lt;=LEEME!$B$20,EXP(-LEEME!$B$19*SQRT((Coordenadas!$C$25-Coordenadas!$C$178)^2+(Coordenadas!$D$25-Coordenadas!$D$178)^2)),0)</f>
        <v>0.44421379122998589</v>
      </c>
    </row>
    <row r="118" spans="1:3">
      <c r="A118" t="s">
        <v>70</v>
      </c>
      <c r="B118" t="s">
        <v>284</v>
      </c>
      <c r="C118" s="20">
        <f>IF(SQRT((Coordenadas!$C$25-Coordenadas!$C$179)^2+(Coordenadas!$D$25-Coordenadas!$D$179)^2)&lt;=LEEME!$B$20,EXP(-LEEME!$B$19*SQRT((Coordenadas!$C$25-Coordenadas!$C$179)^2+(Coordenadas!$D$25-Coordenadas!$D$179)^2)),0)</f>
        <v>0.42029852124094419</v>
      </c>
    </row>
    <row r="119" spans="1:3">
      <c r="A119" t="s">
        <v>71</v>
      </c>
      <c r="B119" t="s">
        <v>279</v>
      </c>
      <c r="C119" s="20">
        <f>IF(SQRT((Coordenadas!$C$26-Coordenadas!$C$174)^2+(Coordenadas!$D$26-Coordenadas!$D$174)^2)&lt;=LEEME!$B$20,EXP(-LEEME!$B$19*SQRT((Coordenadas!$C$26-Coordenadas!$C$174)^2+(Coordenadas!$D$26-Coordenadas!$D$174)^2)),0)</f>
        <v>0.73270916394685948</v>
      </c>
    </row>
    <row r="120" spans="1:3">
      <c r="A120" t="s">
        <v>71</v>
      </c>
      <c r="B120" t="s">
        <v>281</v>
      </c>
      <c r="C120" s="20">
        <f>IF(SQRT((Coordenadas!$C$26-Coordenadas!$C$176)^2+(Coordenadas!$D$26-Coordenadas!$D$176)^2)&lt;=LEEME!$B$20,EXP(-LEEME!$B$19*SQRT((Coordenadas!$C$26-Coordenadas!$C$176)^2+(Coordenadas!$D$26-Coordenadas!$D$176)^2)),0)</f>
        <v>0.50200358155818958</v>
      </c>
    </row>
    <row r="121" spans="1:3">
      <c r="A121" t="s">
        <v>71</v>
      </c>
      <c r="B121" t="s">
        <v>283</v>
      </c>
      <c r="C121" s="20">
        <f>IF(SQRT((Coordenadas!$C$26-Coordenadas!$C$178)^2+(Coordenadas!$D$26-Coordenadas!$D$178)^2)&lt;=LEEME!$B$20,EXP(-LEEME!$B$19*SQRT((Coordenadas!$C$26-Coordenadas!$C$178)^2+(Coordenadas!$D$26-Coordenadas!$D$178)^2)),0)</f>
        <v>0.53836785320247316</v>
      </c>
    </row>
    <row r="122" spans="1:3">
      <c r="A122" t="s">
        <v>71</v>
      </c>
      <c r="B122" t="s">
        <v>284</v>
      </c>
      <c r="C122" s="20">
        <f>IF(SQRT((Coordenadas!$C$26-Coordenadas!$C$179)^2+(Coordenadas!$D$26-Coordenadas!$D$179)^2)&lt;=LEEME!$B$20,EXP(-LEEME!$B$19*SQRT((Coordenadas!$C$26-Coordenadas!$C$179)^2+(Coordenadas!$D$26-Coordenadas!$D$179)^2)),0)</f>
        <v>0.54498292029257678</v>
      </c>
    </row>
    <row r="123" spans="1:3">
      <c r="A123" t="s">
        <v>71</v>
      </c>
      <c r="B123" t="s">
        <v>287</v>
      </c>
      <c r="C123" s="20">
        <f>IF(SQRT((Coordenadas!$C$26-Coordenadas!$C$182)^2+(Coordenadas!$D$26-Coordenadas!$D$182)^2)&lt;=LEEME!$B$20,EXP(-LEEME!$B$19*SQRT((Coordenadas!$C$26-Coordenadas!$C$182)^2+(Coordenadas!$D$26-Coordenadas!$D$182)^2)),0)</f>
        <v>0.50877961391797022</v>
      </c>
    </row>
    <row r="124" spans="1:3">
      <c r="A124" t="s">
        <v>71</v>
      </c>
      <c r="B124" t="s">
        <v>288</v>
      </c>
      <c r="C124" s="20">
        <f>IF(SQRT((Coordenadas!$C$26-Coordenadas!$C$183)^2+(Coordenadas!$D$26-Coordenadas!$D$183)^2)&lt;=LEEME!$B$20,EXP(-LEEME!$B$19*SQRT((Coordenadas!$C$26-Coordenadas!$C$183)^2+(Coordenadas!$D$26-Coordenadas!$D$183)^2)),0)</f>
        <v>0.50098629519758953</v>
      </c>
    </row>
    <row r="125" spans="1:3">
      <c r="A125" t="s">
        <v>71</v>
      </c>
      <c r="B125" t="s">
        <v>289</v>
      </c>
      <c r="C125" s="20">
        <f>IF(SQRT((Coordenadas!$C$26-Coordenadas!$C$184)^2+(Coordenadas!$D$26-Coordenadas!$D$184)^2)&lt;=LEEME!$B$20,EXP(-LEEME!$B$19*SQRT((Coordenadas!$C$26-Coordenadas!$C$184)^2+(Coordenadas!$D$26-Coordenadas!$D$184)^2)),0)</f>
        <v>0.49388967181209664</v>
      </c>
    </row>
    <row r="126" spans="1:3">
      <c r="A126" t="s">
        <v>72</v>
      </c>
      <c r="B126" t="s">
        <v>285</v>
      </c>
      <c r="C126" s="20">
        <f>IF(SQRT((Coordenadas!$C$27-Coordenadas!$C$180)^2+(Coordenadas!$D$27-Coordenadas!$D$180)^2)&lt;=LEEME!$B$20,EXP(-LEEME!$B$19*SQRT((Coordenadas!$C$27-Coordenadas!$C$180)^2+(Coordenadas!$D$27-Coordenadas!$D$180)^2)),0)</f>
        <v>0.3716236132254831</v>
      </c>
    </row>
    <row r="127" spans="1:3">
      <c r="A127" t="s">
        <v>72</v>
      </c>
      <c r="B127" t="s">
        <v>290</v>
      </c>
      <c r="C127" s="20">
        <f>IF(SQRT((Coordenadas!$C$27-Coordenadas!$C$185)^2+(Coordenadas!$D$27-Coordenadas!$D$185)^2)&lt;=LEEME!$B$20,EXP(-LEEME!$B$19*SQRT((Coordenadas!$C$27-Coordenadas!$C$185)^2+(Coordenadas!$D$27-Coordenadas!$D$185)^2)),0)</f>
        <v>0.42799405213785002</v>
      </c>
    </row>
    <row r="128" spans="1:3">
      <c r="A128" t="s">
        <v>72</v>
      </c>
      <c r="B128" t="s">
        <v>293</v>
      </c>
      <c r="C128" s="20">
        <f>IF(SQRT((Coordenadas!$C$27-Coordenadas!$C$188)^2+(Coordenadas!$D$27-Coordenadas!$D$188)^2)&lt;=LEEME!$B$20,EXP(-LEEME!$B$19*SQRT((Coordenadas!$C$27-Coordenadas!$C$188)^2+(Coordenadas!$D$27-Coordenadas!$D$188)^2)),0)</f>
        <v>0.68009748518291036</v>
      </c>
    </row>
    <row r="129" spans="1:3">
      <c r="A129" t="s">
        <v>72</v>
      </c>
      <c r="B129" t="s">
        <v>295</v>
      </c>
      <c r="C129" s="20">
        <f>IF(SQRT((Coordenadas!$C$27-Coordenadas!$C$190)^2+(Coordenadas!$D$27-Coordenadas!$D$190)^2)&lt;=LEEME!$B$20,EXP(-LEEME!$B$19*SQRT((Coordenadas!$C$27-Coordenadas!$C$190)^2+(Coordenadas!$D$27-Coordenadas!$D$190)^2)),0)</f>
        <v>0.65907149888788186</v>
      </c>
    </row>
    <row r="130" spans="1:3">
      <c r="A130" t="s">
        <v>72</v>
      </c>
      <c r="B130" t="s">
        <v>298</v>
      </c>
      <c r="C130" s="20">
        <f>IF(SQRT((Coordenadas!$C$27-Coordenadas!$C$193)^2+(Coordenadas!$D$27-Coordenadas!$D$193)^2)&lt;=LEEME!$B$20,EXP(-LEEME!$B$19*SQRT((Coordenadas!$C$27-Coordenadas!$C$193)^2+(Coordenadas!$D$27-Coordenadas!$D$193)^2)),0)</f>
        <v>0.80412359735396921</v>
      </c>
    </row>
    <row r="131" spans="1:3">
      <c r="A131" t="s">
        <v>72</v>
      </c>
      <c r="B131" t="s">
        <v>300</v>
      </c>
      <c r="C131" s="20">
        <f>IF(SQRT((Coordenadas!$C$27-Coordenadas!$C$195)^2+(Coordenadas!$D$27-Coordenadas!$D$195)^2)&lt;=LEEME!$B$20,EXP(-LEEME!$B$19*SQRT((Coordenadas!$C$27-Coordenadas!$C$195)^2+(Coordenadas!$D$27-Coordenadas!$D$195)^2)),0)</f>
        <v>0.65765397137050641</v>
      </c>
    </row>
    <row r="132" spans="1:3">
      <c r="A132" t="s">
        <v>72</v>
      </c>
      <c r="B132" t="s">
        <v>301</v>
      </c>
      <c r="C132" s="20">
        <f>IF(SQRT((Coordenadas!$C$27-Coordenadas!$C$196)^2+(Coordenadas!$D$27-Coordenadas!$D$196)^2)&lt;=LEEME!$B$20,EXP(-LEEME!$B$19*SQRT((Coordenadas!$C$27-Coordenadas!$C$196)^2+(Coordenadas!$D$27-Coordenadas!$D$196)^2)),0)</f>
        <v>0.63683271692262144</v>
      </c>
    </row>
    <row r="133" spans="1:3">
      <c r="A133" t="s">
        <v>72</v>
      </c>
      <c r="B133" t="s">
        <v>303</v>
      </c>
      <c r="C133" s="20">
        <f>IF(SQRT((Coordenadas!$C$27-Coordenadas!$C$198)^2+(Coordenadas!$D$27-Coordenadas!$D$198)^2)&lt;=LEEME!$B$20,EXP(-LEEME!$B$19*SQRT((Coordenadas!$C$27-Coordenadas!$C$198)^2+(Coordenadas!$D$27-Coordenadas!$D$198)^2)),0)</f>
        <v>0.39764387519390176</v>
      </c>
    </row>
    <row r="134" spans="1:3">
      <c r="A134" t="s">
        <v>72</v>
      </c>
      <c r="B134" t="s">
        <v>305</v>
      </c>
      <c r="C134" s="20">
        <f>IF(SQRT((Coordenadas!$C$27-Coordenadas!$C$200)^2+(Coordenadas!$D$27-Coordenadas!$D$200)^2)&lt;=LEEME!$B$20,EXP(-LEEME!$B$19*SQRT((Coordenadas!$C$27-Coordenadas!$C$200)^2+(Coordenadas!$D$27-Coordenadas!$D$200)^2)),0)</f>
        <v>0.3839076992229854</v>
      </c>
    </row>
    <row r="135" spans="1:3">
      <c r="A135" t="s">
        <v>73</v>
      </c>
      <c r="B135" t="s">
        <v>286</v>
      </c>
      <c r="C135" s="20">
        <f>IF(SQRT((Coordenadas!$C$28-Coordenadas!$C$181)^2+(Coordenadas!$D$28-Coordenadas!$D$181)^2)&lt;=LEEME!$B$20,EXP(-LEEME!$B$19*SQRT((Coordenadas!$C$28-Coordenadas!$C$181)^2+(Coordenadas!$D$28-Coordenadas!$D$181)^2)),0)</f>
        <v>0.41579303222715019</v>
      </c>
    </row>
    <row r="136" spans="1:3">
      <c r="A136" t="s">
        <v>73</v>
      </c>
      <c r="B136" t="s">
        <v>290</v>
      </c>
      <c r="C136" s="20">
        <f>IF(SQRT((Coordenadas!$C$28-Coordenadas!$C$185)^2+(Coordenadas!$D$28-Coordenadas!$D$185)^2)&lt;=LEEME!$B$20,EXP(-LEEME!$B$19*SQRT((Coordenadas!$C$28-Coordenadas!$C$185)^2+(Coordenadas!$D$28-Coordenadas!$D$185)^2)),0)</f>
        <v>0.36837674993516772</v>
      </c>
    </row>
    <row r="137" spans="1:3">
      <c r="A137" t="s">
        <v>73</v>
      </c>
      <c r="B137" t="s">
        <v>293</v>
      </c>
      <c r="C137" s="20">
        <f>IF(SQRT((Coordenadas!$C$28-Coordenadas!$C$188)^2+(Coordenadas!$D$28-Coordenadas!$D$188)^2)&lt;=LEEME!$B$20,EXP(-LEEME!$B$19*SQRT((Coordenadas!$C$28-Coordenadas!$C$188)^2+(Coordenadas!$D$28-Coordenadas!$D$188)^2)),0)</f>
        <v>0.65307878388043561</v>
      </c>
    </row>
    <row r="138" spans="1:3">
      <c r="A138" t="s">
        <v>73</v>
      </c>
      <c r="B138" t="s">
        <v>294</v>
      </c>
      <c r="C138" s="20">
        <f>IF(SQRT((Coordenadas!$C$28-Coordenadas!$C$189)^2+(Coordenadas!$D$28-Coordenadas!$D$189)^2)&lt;=LEEME!$B$20,EXP(-LEEME!$B$19*SQRT((Coordenadas!$C$28-Coordenadas!$C$189)^2+(Coordenadas!$D$28-Coordenadas!$D$189)^2)),0)</f>
        <v>0.42799405213784997</v>
      </c>
    </row>
    <row r="139" spans="1:3">
      <c r="A139" t="s">
        <v>73</v>
      </c>
      <c r="B139" t="s">
        <v>295</v>
      </c>
      <c r="C139" s="20">
        <f>IF(SQRT((Coordenadas!$C$28-Coordenadas!$C$190)^2+(Coordenadas!$D$28-Coordenadas!$D$190)^2)&lt;=LEEME!$B$20,EXP(-LEEME!$B$19*SQRT((Coordenadas!$C$28-Coordenadas!$C$190)^2+(Coordenadas!$D$28-Coordenadas!$D$190)^2)),0)</f>
        <v>0.8219933632701667</v>
      </c>
    </row>
    <row r="140" spans="1:3">
      <c r="A140" t="s">
        <v>73</v>
      </c>
      <c r="B140" t="s">
        <v>298</v>
      </c>
      <c r="C140" s="20">
        <f>IF(SQRT((Coordenadas!$C$28-Coordenadas!$C$193)^2+(Coordenadas!$D$28-Coordenadas!$D$193)^2)&lt;=LEEME!$B$20,EXP(-LEEME!$B$19*SQRT((Coordenadas!$C$28-Coordenadas!$C$193)^2+(Coordenadas!$D$28-Coordenadas!$D$193)^2)),0)</f>
        <v>0.65749710534655759</v>
      </c>
    </row>
    <row r="141" spans="1:3">
      <c r="A141" t="s">
        <v>73</v>
      </c>
      <c r="B141" t="s">
        <v>300</v>
      </c>
      <c r="C141" s="20">
        <f>IF(SQRT((Coordenadas!$C$28-Coordenadas!$C$195)^2+(Coordenadas!$D$28-Coordenadas!$D$195)^2)&lt;=LEEME!$B$20,EXP(-LEEME!$B$19*SQRT((Coordenadas!$C$28-Coordenadas!$C$195)^2+(Coordenadas!$D$28-Coordenadas!$D$195)^2)),0)</f>
        <v>0.5681590558921995</v>
      </c>
    </row>
    <row r="142" spans="1:3">
      <c r="A142" t="s">
        <v>73</v>
      </c>
      <c r="B142" t="s">
        <v>301</v>
      </c>
      <c r="C142" s="20">
        <f>IF(SQRT((Coordenadas!$C$28-Coordenadas!$C$196)^2+(Coordenadas!$D$28-Coordenadas!$D$196)^2)&lt;=LEEME!$B$20,EXP(-LEEME!$B$19*SQRT((Coordenadas!$C$28-Coordenadas!$C$196)^2+(Coordenadas!$D$28-Coordenadas!$D$196)^2)),0)</f>
        <v>0.54535360829910229</v>
      </c>
    </row>
    <row r="143" spans="1:3">
      <c r="A143" t="s">
        <v>74</v>
      </c>
      <c r="B143" t="s">
        <v>282</v>
      </c>
      <c r="C143" s="20">
        <f>IF(SQRT((Coordenadas!$C$29-Coordenadas!$C$177)^2+(Coordenadas!$D$29-Coordenadas!$D$177)^2)&lt;=LEEME!$B$20,EXP(-LEEME!$B$19*SQRT((Coordenadas!$C$29-Coordenadas!$C$177)^2+(Coordenadas!$D$29-Coordenadas!$D$177)^2)),0)</f>
        <v>0.43572776447987005</v>
      </c>
    </row>
    <row r="144" spans="1:3">
      <c r="A144" t="s">
        <v>74</v>
      </c>
      <c r="B144" t="s">
        <v>286</v>
      </c>
      <c r="C144" s="20">
        <f>IF(SQRT((Coordenadas!$C$29-Coordenadas!$C$181)^2+(Coordenadas!$D$29-Coordenadas!$D$181)^2)&lt;=LEEME!$B$20,EXP(-LEEME!$B$19*SQRT((Coordenadas!$C$29-Coordenadas!$C$181)^2+(Coordenadas!$D$29-Coordenadas!$D$181)^2)),0)</f>
        <v>0.50007323489262567</v>
      </c>
    </row>
    <row r="145" spans="1:3">
      <c r="A145" t="s">
        <v>74</v>
      </c>
      <c r="B145" t="s">
        <v>287</v>
      </c>
      <c r="C145" s="20">
        <f>IF(SQRT((Coordenadas!$C$29-Coordenadas!$C$182)^2+(Coordenadas!$D$29-Coordenadas!$D$182)^2)&lt;=LEEME!$B$20,EXP(-LEEME!$B$19*SQRT((Coordenadas!$C$29-Coordenadas!$C$182)^2+(Coordenadas!$D$29-Coordenadas!$D$182)^2)),0)</f>
        <v>0.40160857043734832</v>
      </c>
    </row>
    <row r="146" spans="1:3">
      <c r="A146" t="s">
        <v>74</v>
      </c>
      <c r="B146" t="s">
        <v>288</v>
      </c>
      <c r="C146" s="20">
        <f>IF(SQRT((Coordenadas!$C$29-Coordenadas!$C$183)^2+(Coordenadas!$D$29-Coordenadas!$D$183)^2)&lt;=LEEME!$B$20,EXP(-LEEME!$B$19*SQRT((Coordenadas!$C$29-Coordenadas!$C$183)^2+(Coordenadas!$D$29-Coordenadas!$D$183)^2)),0)</f>
        <v>0.39774091789409283</v>
      </c>
    </row>
    <row r="147" spans="1:3">
      <c r="A147" t="s">
        <v>74</v>
      </c>
      <c r="B147" t="s">
        <v>293</v>
      </c>
      <c r="C147" s="20">
        <f>IF(SQRT((Coordenadas!$C$29-Coordenadas!$C$188)^2+(Coordenadas!$D$29-Coordenadas!$D$188)^2)&lt;=LEEME!$B$20,EXP(-LEEME!$B$19*SQRT((Coordenadas!$C$29-Coordenadas!$C$188)^2+(Coordenadas!$D$29-Coordenadas!$D$188)^2)),0)</f>
        <v>0.5195908116349327</v>
      </c>
    </row>
    <row r="148" spans="1:3">
      <c r="A148" t="s">
        <v>74</v>
      </c>
      <c r="B148" t="s">
        <v>294</v>
      </c>
      <c r="C148" s="20">
        <f>IF(SQRT((Coordenadas!$C$29-Coordenadas!$C$189)^2+(Coordenadas!$D$29-Coordenadas!$D$189)^2)&lt;=LEEME!$B$20,EXP(-LEEME!$B$19*SQRT((Coordenadas!$C$29-Coordenadas!$C$189)^2+(Coordenadas!$D$29-Coordenadas!$D$189)^2)),0)</f>
        <v>0.64096833405618037</v>
      </c>
    </row>
    <row r="149" spans="1:3">
      <c r="A149" t="s">
        <v>74</v>
      </c>
      <c r="B149" t="s">
        <v>295</v>
      </c>
      <c r="C149" s="20">
        <f>IF(SQRT((Coordenadas!$C$29-Coordenadas!$C$190)^2+(Coordenadas!$D$29-Coordenadas!$D$190)^2)&lt;=LEEME!$B$20,EXP(-LEEME!$B$19*SQRT((Coordenadas!$C$29-Coordenadas!$C$190)^2+(Coordenadas!$D$29-Coordenadas!$D$190)^2)),0)</f>
        <v>0.80088650538177997</v>
      </c>
    </row>
    <row r="150" spans="1:3">
      <c r="A150" t="s">
        <v>74</v>
      </c>
      <c r="B150" t="s">
        <v>298</v>
      </c>
      <c r="C150" s="20">
        <f>IF(SQRT((Coordenadas!$C$29-Coordenadas!$C$193)^2+(Coordenadas!$D$29-Coordenadas!$D$193)^2)&lt;=LEEME!$B$20,EXP(-LEEME!$B$19*SQRT((Coordenadas!$C$29-Coordenadas!$C$193)^2+(Coordenadas!$D$29-Coordenadas!$D$193)^2)),0)</f>
        <v>0.44014987100275632</v>
      </c>
    </row>
    <row r="151" spans="1:3">
      <c r="A151" t="s">
        <v>74</v>
      </c>
      <c r="B151" t="s">
        <v>300</v>
      </c>
      <c r="C151" s="20">
        <f>IF(SQRT((Coordenadas!$C$29-Coordenadas!$C$195)^2+(Coordenadas!$D$29-Coordenadas!$D$195)^2)&lt;=LEEME!$B$20,EXP(-LEEME!$B$19*SQRT((Coordenadas!$C$29-Coordenadas!$C$195)^2+(Coordenadas!$D$29-Coordenadas!$D$195)^2)),0)</f>
        <v>0.39116883762366683</v>
      </c>
    </row>
    <row r="152" spans="1:3">
      <c r="A152" t="s">
        <v>74</v>
      </c>
      <c r="B152" t="s">
        <v>301</v>
      </c>
      <c r="C152" s="20">
        <f>IF(SQRT((Coordenadas!$C$29-Coordenadas!$C$196)^2+(Coordenadas!$D$29-Coordenadas!$D$196)^2)&lt;=LEEME!$B$20,EXP(-LEEME!$B$19*SQRT((Coordenadas!$C$29-Coordenadas!$C$196)^2+(Coordenadas!$D$29-Coordenadas!$D$196)^2)),0)</f>
        <v>0.37443234924268615</v>
      </c>
    </row>
    <row r="153" spans="1:3">
      <c r="A153" t="s">
        <v>75</v>
      </c>
      <c r="B153" t="s">
        <v>282</v>
      </c>
      <c r="C153" s="20">
        <f>IF(SQRT((Coordenadas!$C$30-Coordenadas!$C$177)^2+(Coordenadas!$D$30-Coordenadas!$D$177)^2)&lt;=LEEME!$B$20,EXP(-LEEME!$B$19*SQRT((Coordenadas!$C$30-Coordenadas!$C$177)^2+(Coordenadas!$D$30-Coordenadas!$D$177)^2)),0)</f>
        <v>0.39124699449618289</v>
      </c>
    </row>
    <row r="154" spans="1:3">
      <c r="A154" t="s">
        <v>75</v>
      </c>
      <c r="B154" t="s">
        <v>286</v>
      </c>
      <c r="C154" s="20">
        <f>IF(SQRT((Coordenadas!$C$30-Coordenadas!$C$181)^2+(Coordenadas!$D$30-Coordenadas!$D$181)^2)&lt;=LEEME!$B$20,EXP(-LEEME!$B$19*SQRT((Coordenadas!$C$30-Coordenadas!$C$181)^2+(Coordenadas!$D$30-Coordenadas!$D$181)^2)),0)</f>
        <v>0.45681088104875478</v>
      </c>
    </row>
    <row r="155" spans="1:3">
      <c r="A155" t="s">
        <v>75</v>
      </c>
      <c r="B155" t="s">
        <v>293</v>
      </c>
      <c r="C155" s="20">
        <f>IF(SQRT((Coordenadas!$C$30-Coordenadas!$C$188)^2+(Coordenadas!$D$30-Coordenadas!$D$188)^2)&lt;=LEEME!$B$20,EXP(-LEEME!$B$19*SQRT((Coordenadas!$C$30-Coordenadas!$C$188)^2+(Coordenadas!$D$30-Coordenadas!$D$188)^2)),0)</f>
        <v>0.60943241597792419</v>
      </c>
    </row>
    <row r="156" spans="1:3">
      <c r="A156" t="s">
        <v>75</v>
      </c>
      <c r="B156" t="s">
        <v>294</v>
      </c>
      <c r="C156" s="20">
        <f>IF(SQRT((Coordenadas!$C$30-Coordenadas!$C$189)^2+(Coordenadas!$D$30-Coordenadas!$D$189)^2)&lt;=LEEME!$B$20,EXP(-LEEME!$B$19*SQRT((Coordenadas!$C$30-Coordenadas!$C$189)^2+(Coordenadas!$D$30-Coordenadas!$D$189)^2)),0)</f>
        <v>0.50538211442955361</v>
      </c>
    </row>
    <row r="157" spans="1:3">
      <c r="A157" t="s">
        <v>75</v>
      </c>
      <c r="B157" t="s">
        <v>295</v>
      </c>
      <c r="C157" s="20">
        <f>IF(SQRT((Coordenadas!$C$30-Coordenadas!$C$190)^2+(Coordenadas!$D$30-Coordenadas!$D$190)^2)&lt;=LEEME!$B$20,EXP(-LEEME!$B$19*SQRT((Coordenadas!$C$30-Coordenadas!$C$190)^2+(Coordenadas!$D$30-Coordenadas!$D$190)^2)),0)</f>
        <v>0.94176453358424861</v>
      </c>
    </row>
    <row r="158" spans="1:3">
      <c r="A158" t="s">
        <v>75</v>
      </c>
      <c r="B158" t="s">
        <v>298</v>
      </c>
      <c r="C158" s="20">
        <f>IF(SQRT((Coordenadas!$C$30-Coordenadas!$C$193)^2+(Coordenadas!$D$30-Coordenadas!$D$193)^2)&lt;=LEEME!$B$20,EXP(-LEEME!$B$19*SQRT((Coordenadas!$C$30-Coordenadas!$C$193)^2+(Coordenadas!$D$30-Coordenadas!$D$193)^2)),0)</f>
        <v>0.55776162484295833</v>
      </c>
    </row>
    <row r="159" spans="1:3">
      <c r="A159" t="s">
        <v>75</v>
      </c>
      <c r="B159" t="s">
        <v>300</v>
      </c>
      <c r="C159" s="20">
        <f>IF(SQRT((Coordenadas!$C$30-Coordenadas!$C$195)^2+(Coordenadas!$D$30-Coordenadas!$D$195)^2)&lt;=LEEME!$B$20,EXP(-LEEME!$B$19*SQRT((Coordenadas!$C$30-Coordenadas!$C$195)^2+(Coordenadas!$D$30-Coordenadas!$D$195)^2)),0)</f>
        <v>0.48957732928220804</v>
      </c>
    </row>
    <row r="160" spans="1:3">
      <c r="A160" t="s">
        <v>75</v>
      </c>
      <c r="B160" t="s">
        <v>301</v>
      </c>
      <c r="C160" s="20">
        <f>IF(SQRT((Coordenadas!$C$30-Coordenadas!$C$196)^2+(Coordenadas!$D$30-Coordenadas!$D$196)^2)&lt;=LEEME!$B$20,EXP(-LEEME!$B$19*SQRT((Coordenadas!$C$30-Coordenadas!$C$196)^2+(Coordenadas!$D$30-Coordenadas!$D$196)^2)),0)</f>
        <v>0.4691177017479321</v>
      </c>
    </row>
    <row r="161" spans="1:3">
      <c r="A161" t="s">
        <v>76</v>
      </c>
      <c r="B161" t="s">
        <v>282</v>
      </c>
      <c r="C161" s="20">
        <f>IF(SQRT((Coordenadas!$C$31-Coordenadas!$C$177)^2+(Coordenadas!$D$31-Coordenadas!$D$177)^2)&lt;=LEEME!$B$20,EXP(-LEEME!$B$19*SQRT((Coordenadas!$C$31-Coordenadas!$C$177)^2+(Coordenadas!$D$31-Coordenadas!$D$177)^2)),0)</f>
        <v>0.43559668117345463</v>
      </c>
    </row>
    <row r="162" spans="1:3">
      <c r="A162" t="s">
        <v>76</v>
      </c>
      <c r="B162" t="s">
        <v>286</v>
      </c>
      <c r="C162" s="20">
        <f>IF(SQRT((Coordenadas!$C$31-Coordenadas!$C$181)^2+(Coordenadas!$D$31-Coordenadas!$D$181)^2)&lt;=LEEME!$B$20,EXP(-LEEME!$B$19*SQRT((Coordenadas!$C$31-Coordenadas!$C$181)^2+(Coordenadas!$D$31-Coordenadas!$D$181)^2)),0)</f>
        <v>0.48161213969163524</v>
      </c>
    </row>
    <row r="163" spans="1:3">
      <c r="A163" t="s">
        <v>76</v>
      </c>
      <c r="B163" t="s">
        <v>287</v>
      </c>
      <c r="C163" s="20">
        <f>IF(SQRT((Coordenadas!$C$31-Coordenadas!$C$182)^2+(Coordenadas!$D$31-Coordenadas!$D$182)^2)&lt;=LEEME!$B$20,EXP(-LEEME!$B$19*SQRT((Coordenadas!$C$31-Coordenadas!$C$182)^2+(Coordenadas!$D$31-Coordenadas!$D$182)^2)),0)</f>
        <v>0.49711805285294719</v>
      </c>
    </row>
    <row r="164" spans="1:3">
      <c r="A164" t="s">
        <v>76</v>
      </c>
      <c r="B164" t="s">
        <v>288</v>
      </c>
      <c r="C164" s="20">
        <f>IF(SQRT((Coordenadas!$C$31-Coordenadas!$C$183)^2+(Coordenadas!$D$31-Coordenadas!$D$183)^2)&lt;=LEEME!$B$20,EXP(-LEEME!$B$19*SQRT((Coordenadas!$C$31-Coordenadas!$C$183)^2+(Coordenadas!$D$31-Coordenadas!$D$183)^2)),0)</f>
        <v>0.49791978757895711</v>
      </c>
    </row>
    <row r="165" spans="1:3">
      <c r="A165" t="s">
        <v>76</v>
      </c>
      <c r="B165" t="s">
        <v>293</v>
      </c>
      <c r="C165" s="20">
        <f>IF(SQRT((Coordenadas!$C$31-Coordenadas!$C$188)^2+(Coordenadas!$D$31-Coordenadas!$D$188)^2)&lt;=LEEME!$B$20,EXP(-LEEME!$B$19*SQRT((Coordenadas!$C$31-Coordenadas!$C$188)^2+(Coordenadas!$D$31-Coordenadas!$D$188)^2)),0)</f>
        <v>0.40618605962334731</v>
      </c>
    </row>
    <row r="166" spans="1:3">
      <c r="A166" t="s">
        <v>76</v>
      </c>
      <c r="B166" t="s">
        <v>294</v>
      </c>
      <c r="C166" s="20">
        <f>IF(SQRT((Coordenadas!$C$31-Coordenadas!$C$189)^2+(Coordenadas!$D$31-Coordenadas!$D$189)^2)&lt;=LEEME!$B$20,EXP(-LEEME!$B$19*SQRT((Coordenadas!$C$31-Coordenadas!$C$189)^2+(Coordenadas!$D$31-Coordenadas!$D$189)^2)),0)</f>
        <v>0.83268627014287155</v>
      </c>
    </row>
    <row r="167" spans="1:3">
      <c r="A167" t="s">
        <v>76</v>
      </c>
      <c r="B167" t="s">
        <v>295</v>
      </c>
      <c r="C167" s="20">
        <f>IF(SQRT((Coordenadas!$C$31-Coordenadas!$C$190)^2+(Coordenadas!$D$31-Coordenadas!$D$190)^2)&lt;=LEEME!$B$20,EXP(-LEEME!$B$19*SQRT((Coordenadas!$C$31-Coordenadas!$C$190)^2+(Coordenadas!$D$31-Coordenadas!$D$190)^2)),0)</f>
        <v>0.61116266963412724</v>
      </c>
    </row>
    <row r="168" spans="1:3">
      <c r="A168" t="s">
        <v>77</v>
      </c>
      <c r="B168" t="s">
        <v>283</v>
      </c>
      <c r="C168" s="20">
        <f>IF(SQRT((Coordenadas!$C$32-Coordenadas!$C$178)^2+(Coordenadas!$D$32-Coordenadas!$D$178)^2)&lt;=LEEME!$B$20,EXP(-LEEME!$B$19*SQRT((Coordenadas!$C$32-Coordenadas!$C$178)^2+(Coordenadas!$D$32-Coordenadas!$D$178)^2)),0)</f>
        <v>0.36979312921237323</v>
      </c>
    </row>
    <row r="169" spans="1:3">
      <c r="A169" t="s">
        <v>77</v>
      </c>
      <c r="B169" t="s">
        <v>284</v>
      </c>
      <c r="C169" s="20">
        <f>IF(SQRT((Coordenadas!$C$32-Coordenadas!$C$179)^2+(Coordenadas!$D$32-Coordenadas!$D$179)^2)&lt;=LEEME!$B$20,EXP(-LEEME!$B$19*SQRT((Coordenadas!$C$32-Coordenadas!$C$179)^2+(Coordenadas!$D$32-Coordenadas!$D$179)^2)),0)</f>
        <v>0.39031123466600304</v>
      </c>
    </row>
    <row r="170" spans="1:3">
      <c r="A170" t="s">
        <v>77</v>
      </c>
      <c r="B170" t="s">
        <v>287</v>
      </c>
      <c r="C170" s="20">
        <f>IF(SQRT((Coordenadas!$C$32-Coordenadas!$C$182)^2+(Coordenadas!$D$32-Coordenadas!$D$182)^2)&lt;=LEEME!$B$20,EXP(-LEEME!$B$19*SQRT((Coordenadas!$C$32-Coordenadas!$C$182)^2+(Coordenadas!$D$32-Coordenadas!$D$182)^2)),0)</f>
        <v>0.49312099592448272</v>
      </c>
    </row>
    <row r="171" spans="1:3">
      <c r="A171" t="s">
        <v>77</v>
      </c>
      <c r="B171" t="s">
        <v>288</v>
      </c>
      <c r="C171" s="20">
        <f>IF(SQRT((Coordenadas!$C$32-Coordenadas!$C$183)^2+(Coordenadas!$D$32-Coordenadas!$D$183)^2)&lt;=LEEME!$B$20,EXP(-LEEME!$B$19*SQRT((Coordenadas!$C$32-Coordenadas!$C$183)^2+(Coordenadas!$D$32-Coordenadas!$D$183)^2)),0)</f>
        <v>0.51536879038093064</v>
      </c>
    </row>
    <row r="172" spans="1:3">
      <c r="A172" t="s">
        <v>77</v>
      </c>
      <c r="B172" t="s">
        <v>289</v>
      </c>
      <c r="C172" s="20">
        <f>IF(SQRT((Coordenadas!$C$32-Coordenadas!$C$184)^2+(Coordenadas!$D$32-Coordenadas!$D$184)^2)&lt;=LEEME!$B$20,EXP(-LEEME!$B$19*SQRT((Coordenadas!$C$32-Coordenadas!$C$184)^2+(Coordenadas!$D$32-Coordenadas!$D$184)^2)),0)</f>
        <v>0.49775027058933174</v>
      </c>
    </row>
    <row r="173" spans="1:3">
      <c r="A173" t="s">
        <v>77</v>
      </c>
      <c r="B173" t="s">
        <v>292</v>
      </c>
      <c r="C173" s="20">
        <f>IF(SQRT((Coordenadas!$C$32-Coordenadas!$C$187)^2+(Coordenadas!$D$32-Coordenadas!$D$187)^2)&lt;=LEEME!$B$20,EXP(-LEEME!$B$19*SQRT((Coordenadas!$C$32-Coordenadas!$C$187)^2+(Coordenadas!$D$32-Coordenadas!$D$187)^2)),0)</f>
        <v>0.4253142815002865</v>
      </c>
    </row>
    <row r="174" spans="1:3">
      <c r="A174" t="s">
        <v>77</v>
      </c>
      <c r="B174" t="s">
        <v>294</v>
      </c>
      <c r="C174" s="20">
        <f>IF(SQRT((Coordenadas!$C$32-Coordenadas!$C$189)^2+(Coordenadas!$D$32-Coordenadas!$D$189)^2)&lt;=LEEME!$B$20,EXP(-LEEME!$B$19*SQRT((Coordenadas!$C$32-Coordenadas!$C$189)^2+(Coordenadas!$D$32-Coordenadas!$D$189)^2)),0)</f>
        <v>0.62806757521812284</v>
      </c>
    </row>
    <row r="175" spans="1:3">
      <c r="A175" t="s">
        <v>78</v>
      </c>
      <c r="B175" t="s">
        <v>282</v>
      </c>
      <c r="C175" s="20">
        <f>IF(SQRT((Coordenadas!$C$33-Coordenadas!$C$177)^2+(Coordenadas!$D$33-Coordenadas!$D$177)^2)&lt;=LEEME!$B$20,EXP(-LEEME!$B$19*SQRT((Coordenadas!$C$33-Coordenadas!$C$177)^2+(Coordenadas!$D$33-Coordenadas!$D$177)^2)),0)</f>
        <v>0.38733223878047407</v>
      </c>
    </row>
    <row r="176" spans="1:3">
      <c r="A176" t="s">
        <v>78</v>
      </c>
      <c r="B176" t="s">
        <v>286</v>
      </c>
      <c r="C176" s="20">
        <f>IF(SQRT((Coordenadas!$C$33-Coordenadas!$C$181)^2+(Coordenadas!$D$33-Coordenadas!$D$181)^2)&lt;=LEEME!$B$20,EXP(-LEEME!$B$19*SQRT((Coordenadas!$C$33-Coordenadas!$C$181)^2+(Coordenadas!$D$33-Coordenadas!$D$181)^2)),0)</f>
        <v>0.42500980784318781</v>
      </c>
    </row>
    <row r="177" spans="1:3">
      <c r="A177" t="s">
        <v>78</v>
      </c>
      <c r="B177" t="s">
        <v>287</v>
      </c>
      <c r="C177" s="20">
        <f>IF(SQRT((Coordenadas!$C$33-Coordenadas!$C$182)^2+(Coordenadas!$D$33-Coordenadas!$D$182)^2)&lt;=LEEME!$B$20,EXP(-LEEME!$B$19*SQRT((Coordenadas!$C$33-Coordenadas!$C$182)^2+(Coordenadas!$D$33-Coordenadas!$D$182)^2)),0)</f>
        <v>0.48409089127803573</v>
      </c>
    </row>
    <row r="178" spans="1:3">
      <c r="A178" t="s">
        <v>78</v>
      </c>
      <c r="B178" t="s">
        <v>288</v>
      </c>
      <c r="C178" s="20">
        <f>IF(SQRT((Coordenadas!$C$33-Coordenadas!$C$183)^2+(Coordenadas!$D$33-Coordenadas!$D$183)^2)&lt;=LEEME!$B$20,EXP(-LEEME!$B$19*SQRT((Coordenadas!$C$33-Coordenadas!$C$183)^2+(Coordenadas!$D$33-Coordenadas!$D$183)^2)),0)</f>
        <v>0.48991177391443169</v>
      </c>
    </row>
    <row r="179" spans="1:3">
      <c r="A179" t="s">
        <v>78</v>
      </c>
      <c r="B179" t="s">
        <v>289</v>
      </c>
      <c r="C179" s="20">
        <f>IF(SQRT((Coordenadas!$C$33-Coordenadas!$C$184)^2+(Coordenadas!$D$33-Coordenadas!$D$184)^2)&lt;=LEEME!$B$20,EXP(-LEEME!$B$19*SQRT((Coordenadas!$C$33-Coordenadas!$C$184)^2+(Coordenadas!$D$33-Coordenadas!$D$184)^2)),0)</f>
        <v>0.3741181567137824</v>
      </c>
    </row>
    <row r="180" spans="1:3">
      <c r="A180" t="s">
        <v>78</v>
      </c>
      <c r="B180" t="s">
        <v>294</v>
      </c>
      <c r="C180" s="20">
        <f>IF(SQRT((Coordenadas!$C$33-Coordenadas!$C$189)^2+(Coordenadas!$D$33-Coordenadas!$D$189)^2)&lt;=LEEME!$B$20,EXP(-LEEME!$B$19*SQRT((Coordenadas!$C$33-Coordenadas!$C$189)^2+(Coordenadas!$D$33-Coordenadas!$D$189)^2)),0)</f>
        <v>0.82162694343669929</v>
      </c>
    </row>
    <row r="181" spans="1:3">
      <c r="A181" t="s">
        <v>78</v>
      </c>
      <c r="B181" t="s">
        <v>295</v>
      </c>
      <c r="C181" s="20">
        <f>IF(SQRT((Coordenadas!$C$33-Coordenadas!$C$190)^2+(Coordenadas!$D$33-Coordenadas!$D$190)^2)&lt;=LEEME!$B$20,EXP(-LEEME!$B$19*SQRT((Coordenadas!$C$33-Coordenadas!$C$190)^2+(Coordenadas!$D$33-Coordenadas!$D$190)^2)),0)</f>
        <v>0.55710586181217392</v>
      </c>
    </row>
    <row r="182" spans="1:3">
      <c r="A182" t="s">
        <v>79</v>
      </c>
      <c r="B182" t="s">
        <v>297</v>
      </c>
      <c r="C182" s="20">
        <f>IF(SQRT((Coordenadas!$C$34-Coordenadas!$C$192)^2+(Coordenadas!$D$34-Coordenadas!$D$192)^2)&lt;=LEEME!$B$20,EXP(-LEEME!$B$19*SQRT((Coordenadas!$C$34-Coordenadas!$C$192)^2+(Coordenadas!$D$34-Coordenadas!$D$192)^2)),0)</f>
        <v>0.76807684208673599</v>
      </c>
    </row>
    <row r="183" spans="1:3">
      <c r="A183" t="s">
        <v>79</v>
      </c>
      <c r="B183" t="s">
        <v>299</v>
      </c>
      <c r="C183" s="20">
        <f>IF(SQRT((Coordenadas!$C$34-Coordenadas!$C$194)^2+(Coordenadas!$D$34-Coordenadas!$D$194)^2)&lt;=LEEME!$B$20,EXP(-LEEME!$B$19*SQRT((Coordenadas!$C$34-Coordenadas!$C$194)^2+(Coordenadas!$D$34-Coordenadas!$D$194)^2)),0)</f>
        <v>0.58741458220306542</v>
      </c>
    </row>
    <row r="184" spans="1:3">
      <c r="A184" t="s">
        <v>79</v>
      </c>
      <c r="B184" t="s">
        <v>302</v>
      </c>
      <c r="C184" s="20">
        <f>IF(SQRT((Coordenadas!$C$34-Coordenadas!$C$197)^2+(Coordenadas!$D$34-Coordenadas!$D$197)^2)&lt;=LEEME!$B$20,EXP(-LEEME!$B$19*SQRT((Coordenadas!$C$34-Coordenadas!$C$197)^2+(Coordenadas!$D$34-Coordenadas!$D$197)^2)),0)</f>
        <v>0.79802904619545911</v>
      </c>
    </row>
    <row r="185" spans="1:3">
      <c r="A185" t="s">
        <v>79</v>
      </c>
      <c r="B185" t="s">
        <v>304</v>
      </c>
      <c r="C185" s="20">
        <f>IF(SQRT((Coordenadas!$C$34-Coordenadas!$C$199)^2+(Coordenadas!$D$34-Coordenadas!$D$199)^2)&lt;=LEEME!$B$20,EXP(-LEEME!$B$19*SQRT((Coordenadas!$C$34-Coordenadas!$C$199)^2+(Coordenadas!$D$34-Coordenadas!$D$199)^2)),0)</f>
        <v>0.84090445479025455</v>
      </c>
    </row>
    <row r="186" spans="1:3">
      <c r="A186" t="s">
        <v>79</v>
      </c>
      <c r="B186" t="s">
        <v>306</v>
      </c>
      <c r="C186" s="20">
        <f>IF(SQRT((Coordenadas!$C$34-Coordenadas!$C$201)^2+(Coordenadas!$D$34-Coordenadas!$D$201)^2)&lt;=LEEME!$B$20,EXP(-LEEME!$B$19*SQRT((Coordenadas!$C$34-Coordenadas!$C$201)^2+(Coordenadas!$D$34-Coordenadas!$D$201)^2)),0)</f>
        <v>0.63621624715432568</v>
      </c>
    </row>
    <row r="187" spans="1:3">
      <c r="A187" t="s">
        <v>79</v>
      </c>
      <c r="B187" t="s">
        <v>307</v>
      </c>
      <c r="C187" s="20">
        <f>IF(SQRT((Coordenadas!$C$34-Coordenadas!$C$202)^2+(Coordenadas!$D$34-Coordenadas!$D$202)^2)&lt;=LEEME!$B$20,EXP(-LEEME!$B$19*SQRT((Coordenadas!$C$34-Coordenadas!$C$202)^2+(Coordenadas!$D$34-Coordenadas!$D$202)^2)),0)</f>
        <v>0.59347994490766753</v>
      </c>
    </row>
    <row r="188" spans="1:3">
      <c r="A188" t="s">
        <v>79</v>
      </c>
      <c r="B188" t="s">
        <v>308</v>
      </c>
      <c r="C188" s="20">
        <f>IF(SQRT((Coordenadas!$C$34-Coordenadas!$C$203)^2+(Coordenadas!$D$34-Coordenadas!$D$203)^2)&lt;=LEEME!$B$20,EXP(-LEEME!$B$19*SQRT((Coordenadas!$C$34-Coordenadas!$C$203)^2+(Coordenadas!$D$34-Coordenadas!$D$203)^2)),0)</f>
        <v>0.68312051858183809</v>
      </c>
    </row>
    <row r="189" spans="1:3">
      <c r="A189" t="s">
        <v>81</v>
      </c>
      <c r="B189" t="s">
        <v>297</v>
      </c>
      <c r="C189" s="20">
        <f>IF(SQRT((Coordenadas!$C$35-Coordenadas!$C$192)^2+(Coordenadas!$D$35-Coordenadas!$D$192)^2)&lt;=LEEME!$B$20,EXP(-LEEME!$B$19*SQRT((Coordenadas!$C$35-Coordenadas!$C$192)^2+(Coordenadas!$D$35-Coordenadas!$D$192)^2)),0)</f>
        <v>0.61004866169496563</v>
      </c>
    </row>
    <row r="190" spans="1:3">
      <c r="A190" t="s">
        <v>81</v>
      </c>
      <c r="B190" t="s">
        <v>299</v>
      </c>
      <c r="C190" s="20">
        <f>IF(SQRT((Coordenadas!$C$35-Coordenadas!$C$194)^2+(Coordenadas!$D$35-Coordenadas!$D$194)^2)&lt;=LEEME!$B$20,EXP(-LEEME!$B$19*SQRT((Coordenadas!$C$35-Coordenadas!$C$194)^2+(Coordenadas!$D$35-Coordenadas!$D$194)^2)),0)</f>
        <v>0.54231798029845291</v>
      </c>
    </row>
    <row r="191" spans="1:3">
      <c r="A191" t="s">
        <v>81</v>
      </c>
      <c r="B191" t="s">
        <v>302</v>
      </c>
      <c r="C191" s="20">
        <f>IF(SQRT((Coordenadas!$C$35-Coordenadas!$C$197)^2+(Coordenadas!$D$35-Coordenadas!$D$197)^2)&lt;=LEEME!$B$20,EXP(-LEEME!$B$19*SQRT((Coordenadas!$C$35-Coordenadas!$C$197)^2+(Coordenadas!$D$35-Coordenadas!$D$197)^2)),0)</f>
        <v>0.78350529585967288</v>
      </c>
    </row>
    <row r="192" spans="1:3">
      <c r="A192" t="s">
        <v>81</v>
      </c>
      <c r="B192" t="s">
        <v>304</v>
      </c>
      <c r="C192" s="20">
        <f>IF(SQRT((Coordenadas!$C$35-Coordenadas!$C$199)^2+(Coordenadas!$D$35-Coordenadas!$D$199)^2)&lt;=LEEME!$B$20,EXP(-LEEME!$B$19*SQRT((Coordenadas!$C$35-Coordenadas!$C$199)^2+(Coordenadas!$D$35-Coordenadas!$D$199)^2)),0)</f>
        <v>0.81539443269399681</v>
      </c>
    </row>
    <row r="193" spans="1:3">
      <c r="A193" t="s">
        <v>81</v>
      </c>
      <c r="B193" t="s">
        <v>306</v>
      </c>
      <c r="C193" s="20">
        <f>IF(SQRT((Coordenadas!$C$35-Coordenadas!$C$201)^2+(Coordenadas!$D$35-Coordenadas!$D$201)^2)&lt;=LEEME!$B$20,EXP(-LEEME!$B$19*SQRT((Coordenadas!$C$35-Coordenadas!$C$201)^2+(Coordenadas!$D$35-Coordenadas!$D$201)^2)),0)</f>
        <v>0.72476459597707521</v>
      </c>
    </row>
    <row r="194" spans="1:3">
      <c r="A194" t="s">
        <v>81</v>
      </c>
      <c r="B194" t="s">
        <v>307</v>
      </c>
      <c r="C194" s="20">
        <f>IF(SQRT((Coordenadas!$C$35-Coordenadas!$C$202)^2+(Coordenadas!$D$35-Coordenadas!$D$202)^2)&lt;=LEEME!$B$20,EXP(-LEEME!$B$19*SQRT((Coordenadas!$C$35-Coordenadas!$C$202)^2+(Coordenadas!$D$35-Coordenadas!$D$202)^2)),0)</f>
        <v>0.6928936695503386</v>
      </c>
    </row>
    <row r="195" spans="1:3">
      <c r="A195" t="s">
        <v>81</v>
      </c>
      <c r="B195" t="s">
        <v>308</v>
      </c>
      <c r="C195" s="20">
        <f>IF(SQRT((Coordenadas!$C$35-Coordenadas!$C$203)^2+(Coordenadas!$D$35-Coordenadas!$D$203)^2)&lt;=LEEME!$B$20,EXP(-LEEME!$B$19*SQRT((Coordenadas!$C$35-Coordenadas!$C$203)^2+(Coordenadas!$D$35-Coordenadas!$D$203)^2)),0)</f>
        <v>0.85689965826171477</v>
      </c>
    </row>
    <row r="196" spans="1:3">
      <c r="A196" t="s">
        <v>82</v>
      </c>
      <c r="B196" t="s">
        <v>297</v>
      </c>
      <c r="C196" s="20">
        <f>IF(SQRT((Coordenadas!$C$36-Coordenadas!$C$192)^2+(Coordenadas!$D$36-Coordenadas!$D$192)^2)&lt;=LEEME!$B$20,EXP(-LEEME!$B$19*SQRT((Coordenadas!$C$36-Coordenadas!$C$192)^2+(Coordenadas!$D$36-Coordenadas!$D$192)^2)),0)</f>
        <v>0.52144429670879955</v>
      </c>
    </row>
    <row r="197" spans="1:3">
      <c r="A197" t="s">
        <v>82</v>
      </c>
      <c r="B197" t="s">
        <v>299</v>
      </c>
      <c r="C197" s="20">
        <f>IF(SQRT((Coordenadas!$C$36-Coordenadas!$C$194)^2+(Coordenadas!$D$36-Coordenadas!$D$194)^2)&lt;=LEEME!$B$20,EXP(-LEEME!$B$19*SQRT((Coordenadas!$C$36-Coordenadas!$C$194)^2+(Coordenadas!$D$36-Coordenadas!$D$194)^2)),0)</f>
        <v>0.49063398376697231</v>
      </c>
    </row>
    <row r="198" spans="1:3">
      <c r="A198" t="s">
        <v>82</v>
      </c>
      <c r="B198" t="s">
        <v>302</v>
      </c>
      <c r="C198" s="20">
        <f>IF(SQRT((Coordenadas!$C$36-Coordenadas!$C$197)^2+(Coordenadas!$D$36-Coordenadas!$D$197)^2)&lt;=LEEME!$B$20,EXP(-LEEME!$B$19*SQRT((Coordenadas!$C$36-Coordenadas!$C$197)^2+(Coordenadas!$D$36-Coordenadas!$D$197)^2)),0)</f>
        <v>0.6973616708936089</v>
      </c>
    </row>
    <row r="199" spans="1:3">
      <c r="A199" t="s">
        <v>82</v>
      </c>
      <c r="B199" t="s">
        <v>304</v>
      </c>
      <c r="C199" s="20">
        <f>IF(SQRT((Coordenadas!$C$36-Coordenadas!$C$199)^2+(Coordenadas!$D$36-Coordenadas!$D$199)^2)&lt;=LEEME!$B$20,EXP(-LEEME!$B$19*SQRT((Coordenadas!$C$36-Coordenadas!$C$199)^2+(Coordenadas!$D$36-Coordenadas!$D$199)^2)),0)</f>
        <v>0.72034545074300305</v>
      </c>
    </row>
    <row r="200" spans="1:3">
      <c r="A200" t="s">
        <v>82</v>
      </c>
      <c r="B200" t="s">
        <v>306</v>
      </c>
      <c r="C200" s="20">
        <f>IF(SQRT((Coordenadas!$C$36-Coordenadas!$C$201)^2+(Coordenadas!$D$36-Coordenadas!$D$201)^2)&lt;=LEEME!$B$20,EXP(-LEEME!$B$19*SQRT((Coordenadas!$C$36-Coordenadas!$C$201)^2+(Coordenadas!$D$36-Coordenadas!$D$201)^2)),0)</f>
        <v>0.72725877273944228</v>
      </c>
    </row>
    <row r="201" spans="1:3">
      <c r="A201" t="s">
        <v>82</v>
      </c>
      <c r="B201" t="s">
        <v>307</v>
      </c>
      <c r="C201" s="20">
        <f>IF(SQRT((Coordenadas!$C$36-Coordenadas!$C$202)^2+(Coordenadas!$D$36-Coordenadas!$D$202)^2)&lt;=LEEME!$B$20,EXP(-LEEME!$B$19*SQRT((Coordenadas!$C$36-Coordenadas!$C$202)^2+(Coordenadas!$D$36-Coordenadas!$D$202)^2)),0)</f>
        <v>0.72029055891428062</v>
      </c>
    </row>
    <row r="202" spans="1:3">
      <c r="A202" t="s">
        <v>82</v>
      </c>
      <c r="B202" t="s">
        <v>308</v>
      </c>
      <c r="C202" s="20">
        <f>IF(SQRT((Coordenadas!$C$36-Coordenadas!$C$203)^2+(Coordenadas!$D$36-Coordenadas!$D$203)^2)&lt;=LEEME!$B$20,EXP(-LEEME!$B$19*SQRT((Coordenadas!$C$36-Coordenadas!$C$203)^2+(Coordenadas!$D$36-Coordenadas!$D$203)^2)),0)</f>
        <v>0.94757267030826553</v>
      </c>
    </row>
    <row r="203" spans="1:3">
      <c r="A203" t="s">
        <v>83</v>
      </c>
      <c r="B203" t="s">
        <v>297</v>
      </c>
      <c r="C203" s="20">
        <f>IF(SQRT((Coordenadas!$C$37-Coordenadas!$C$192)^2+(Coordenadas!$D$37-Coordenadas!$D$192)^2)&lt;=LEEME!$B$20,EXP(-LEEME!$B$19*SQRT((Coordenadas!$C$37-Coordenadas!$C$192)^2+(Coordenadas!$D$37-Coordenadas!$D$192)^2)),0)</f>
        <v>0.37545476833255326</v>
      </c>
    </row>
    <row r="204" spans="1:3">
      <c r="A204" t="s">
        <v>83</v>
      </c>
      <c r="B204" t="s">
        <v>299</v>
      </c>
      <c r="C204" s="20">
        <f>IF(SQRT((Coordenadas!$C$37-Coordenadas!$C$194)^2+(Coordenadas!$D$37-Coordenadas!$D$194)^2)&lt;=LEEME!$B$20,EXP(-LEEME!$B$19*SQRT((Coordenadas!$C$37-Coordenadas!$C$194)^2+(Coordenadas!$D$37-Coordenadas!$D$194)^2)),0)</f>
        <v>0.42483603504030432</v>
      </c>
    </row>
    <row r="205" spans="1:3">
      <c r="A205" t="s">
        <v>83</v>
      </c>
      <c r="B205" t="s">
        <v>302</v>
      </c>
      <c r="C205" s="20">
        <f>IF(SQRT((Coordenadas!$C$37-Coordenadas!$C$197)^2+(Coordenadas!$D$37-Coordenadas!$D$197)^2)&lt;=LEEME!$B$20,EXP(-LEEME!$B$19*SQRT((Coordenadas!$C$37-Coordenadas!$C$197)^2+(Coordenadas!$D$37-Coordenadas!$D$197)^2)),0)</f>
        <v>0.54602930146840689</v>
      </c>
    </row>
    <row r="206" spans="1:3">
      <c r="A206" t="s">
        <v>83</v>
      </c>
      <c r="B206" t="s">
        <v>304</v>
      </c>
      <c r="C206" s="20">
        <f>IF(SQRT((Coordenadas!$C$37-Coordenadas!$C$199)^2+(Coordenadas!$D$37-Coordenadas!$D$199)^2)&lt;=LEEME!$B$20,EXP(-LEEME!$B$19*SQRT((Coordenadas!$C$37-Coordenadas!$C$199)^2+(Coordenadas!$D$37-Coordenadas!$D$199)^2)),0)</f>
        <v>0.49920913468586287</v>
      </c>
    </row>
    <row r="207" spans="1:3">
      <c r="A207" t="s">
        <v>83</v>
      </c>
      <c r="B207" t="s">
        <v>306</v>
      </c>
      <c r="C207" s="20">
        <f>IF(SQRT((Coordenadas!$C$37-Coordenadas!$C$201)^2+(Coordenadas!$D$37-Coordenadas!$D$201)^2)&lt;=LEEME!$B$20,EXP(-LEEME!$B$19*SQRT((Coordenadas!$C$37-Coordenadas!$C$201)^2+(Coordenadas!$D$37-Coordenadas!$D$201)^2)),0)</f>
        <v>0.6790419680898363</v>
      </c>
    </row>
    <row r="208" spans="1:3">
      <c r="A208" t="s">
        <v>83</v>
      </c>
      <c r="B208" t="s">
        <v>307</v>
      </c>
      <c r="C208" s="20">
        <f>IF(SQRT((Coordenadas!$C$37-Coordenadas!$C$202)^2+(Coordenadas!$D$37-Coordenadas!$D$202)^2)&lt;=LEEME!$B$20,EXP(-LEEME!$B$19*SQRT((Coordenadas!$C$37-Coordenadas!$C$202)^2+(Coordenadas!$D$37-Coordenadas!$D$202)^2)),0)</f>
        <v>0.72774470543059411</v>
      </c>
    </row>
    <row r="209" spans="1:3">
      <c r="A209" t="s">
        <v>83</v>
      </c>
      <c r="B209" t="s">
        <v>308</v>
      </c>
      <c r="C209" s="20">
        <f>IF(SQRT((Coordenadas!$C$37-Coordenadas!$C$203)^2+(Coordenadas!$D$37-Coordenadas!$D$203)^2)&lt;=LEEME!$B$20,EXP(-LEEME!$B$19*SQRT((Coordenadas!$C$37-Coordenadas!$C$203)^2+(Coordenadas!$D$37-Coordenadas!$D$203)^2)),0)</f>
        <v>0.7039346219879532</v>
      </c>
    </row>
    <row r="210" spans="1:3">
      <c r="A210" t="s">
        <v>84</v>
      </c>
      <c r="B210" t="s">
        <v>296</v>
      </c>
      <c r="C210" s="20">
        <f>IF(SQRT((Coordenadas!$C$38-Coordenadas!$C$191)^2+(Coordenadas!$D$38-Coordenadas!$D$191)^2)&lt;=LEEME!$B$20,EXP(-LEEME!$B$19*SQRT((Coordenadas!$C$38-Coordenadas!$C$191)^2+(Coordenadas!$D$38-Coordenadas!$D$191)^2)),0)</f>
        <v>0.40785576649724192</v>
      </c>
    </row>
    <row r="211" spans="1:3">
      <c r="A211" t="s">
        <v>84</v>
      </c>
      <c r="B211" t="s">
        <v>297</v>
      </c>
      <c r="C211" s="20">
        <f>IF(SQRT((Coordenadas!$C$38-Coordenadas!$C$192)^2+(Coordenadas!$D$38-Coordenadas!$D$192)^2)&lt;=LEEME!$B$20,EXP(-LEEME!$B$19*SQRT((Coordenadas!$C$38-Coordenadas!$C$192)^2+(Coordenadas!$D$38-Coordenadas!$D$192)^2)),0)</f>
        <v>0.46094170424149322</v>
      </c>
    </row>
    <row r="212" spans="1:3">
      <c r="A212" t="s">
        <v>84</v>
      </c>
      <c r="B212" t="s">
        <v>299</v>
      </c>
      <c r="C212" s="20">
        <f>IF(SQRT((Coordenadas!$C$38-Coordenadas!$C$194)^2+(Coordenadas!$D$38-Coordenadas!$D$194)^2)&lt;=LEEME!$B$20,EXP(-LEEME!$B$19*SQRT((Coordenadas!$C$38-Coordenadas!$C$194)^2+(Coordenadas!$D$38-Coordenadas!$D$194)^2)),0)</f>
        <v>0.6095555146785504</v>
      </c>
    </row>
    <row r="213" spans="1:3">
      <c r="A213" t="s">
        <v>84</v>
      </c>
      <c r="B213" t="s">
        <v>302</v>
      </c>
      <c r="C213" s="20">
        <f>IF(SQRT((Coordenadas!$C$38-Coordenadas!$C$197)^2+(Coordenadas!$D$38-Coordenadas!$D$197)^2)&lt;=LEEME!$B$20,EXP(-LEEME!$B$19*SQRT((Coordenadas!$C$38-Coordenadas!$C$197)^2+(Coordenadas!$D$38-Coordenadas!$D$197)^2)),0)</f>
        <v>0.69213975209529022</v>
      </c>
    </row>
    <row r="214" spans="1:3">
      <c r="A214" t="s">
        <v>84</v>
      </c>
      <c r="B214" t="s">
        <v>303</v>
      </c>
      <c r="C214" s="20">
        <f>IF(SQRT((Coordenadas!$C$38-Coordenadas!$C$198)^2+(Coordenadas!$D$38-Coordenadas!$D$198)^2)&lt;=LEEME!$B$20,EXP(-LEEME!$B$19*SQRT((Coordenadas!$C$38-Coordenadas!$C$198)^2+(Coordenadas!$D$38-Coordenadas!$D$198)^2)),0)</f>
        <v>0.39816741211266171</v>
      </c>
    </row>
    <row r="215" spans="1:3">
      <c r="A215" t="s">
        <v>84</v>
      </c>
      <c r="B215" t="s">
        <v>304</v>
      </c>
      <c r="C215" s="20">
        <f>IF(SQRT((Coordenadas!$C$38-Coordenadas!$C$199)^2+(Coordenadas!$D$38-Coordenadas!$D$199)^2)&lt;=LEEME!$B$20,EXP(-LEEME!$B$19*SQRT((Coordenadas!$C$38-Coordenadas!$C$199)^2+(Coordenadas!$D$38-Coordenadas!$D$199)^2)),0)</f>
        <v>0.52687061079505226</v>
      </c>
    </row>
    <row r="216" spans="1:3">
      <c r="A216" t="s">
        <v>84</v>
      </c>
      <c r="B216" t="s">
        <v>305</v>
      </c>
      <c r="C216" s="20">
        <f>IF(SQRT((Coordenadas!$C$38-Coordenadas!$C$200)^2+(Coordenadas!$D$38-Coordenadas!$D$200)^2)&lt;=LEEME!$B$20,EXP(-LEEME!$B$19*SQRT((Coordenadas!$C$38-Coordenadas!$C$200)^2+(Coordenadas!$D$38-Coordenadas!$D$200)^2)),0)</f>
        <v>0.39764387519390176</v>
      </c>
    </row>
    <row r="217" spans="1:3">
      <c r="A217" t="s">
        <v>84</v>
      </c>
      <c r="B217" t="s">
        <v>306</v>
      </c>
      <c r="C217" s="20">
        <f>IF(SQRT((Coordenadas!$C$38-Coordenadas!$C$201)^2+(Coordenadas!$D$38-Coordenadas!$D$201)^2)&lt;=LEEME!$B$20,EXP(-LEEME!$B$19*SQRT((Coordenadas!$C$38-Coordenadas!$C$201)^2+(Coordenadas!$D$38-Coordenadas!$D$201)^2)),0)</f>
        <v>0.88118198638284584</v>
      </c>
    </row>
    <row r="218" spans="1:3">
      <c r="A218" t="s">
        <v>84</v>
      </c>
      <c r="B218" t="s">
        <v>307</v>
      </c>
      <c r="C218" s="20">
        <f>IF(SQRT((Coordenadas!$C$38-Coordenadas!$C$202)^2+(Coordenadas!$D$38-Coordenadas!$D$202)^2)&lt;=LEEME!$B$20,EXP(-LEEME!$B$19*SQRT((Coordenadas!$C$38-Coordenadas!$C$202)^2+(Coordenadas!$D$38-Coordenadas!$D$202)^2)),0)</f>
        <v>0.90794993498823207</v>
      </c>
    </row>
    <row r="219" spans="1:3">
      <c r="A219" t="s">
        <v>84</v>
      </c>
      <c r="B219" t="s">
        <v>308</v>
      </c>
      <c r="C219" s="20">
        <f>IF(SQRT((Coordenadas!$C$38-Coordenadas!$C$203)^2+(Coordenadas!$D$38-Coordenadas!$D$203)^2)&lt;=LEEME!$B$20,EXP(-LEEME!$B$19*SQRT((Coordenadas!$C$38-Coordenadas!$C$203)^2+(Coordenadas!$D$38-Coordenadas!$D$203)^2)),0)</f>
        <v>0.69080435063478296</v>
      </c>
    </row>
    <row r="220" spans="1:3">
      <c r="A220" t="s">
        <v>85</v>
      </c>
      <c r="B220" t="s">
        <v>296</v>
      </c>
      <c r="C220" s="20">
        <f>IF(SQRT((Coordenadas!$C$39-Coordenadas!$C$191)^2+(Coordenadas!$D$39-Coordenadas!$D$191)^2)&lt;=LEEME!$B$20,EXP(-LEEME!$B$19*SQRT((Coordenadas!$C$39-Coordenadas!$C$191)^2+(Coordenadas!$D$39-Coordenadas!$D$191)^2)),0)</f>
        <v>0.45099277387192976</v>
      </c>
    </row>
    <row r="221" spans="1:3">
      <c r="A221" t="s">
        <v>85</v>
      </c>
      <c r="B221" t="s">
        <v>297</v>
      </c>
      <c r="C221" s="20">
        <f>IF(SQRT((Coordenadas!$C$39-Coordenadas!$C$192)^2+(Coordenadas!$D$39-Coordenadas!$D$192)^2)&lt;=LEEME!$B$20,EXP(-LEEME!$B$19*SQRT((Coordenadas!$C$39-Coordenadas!$C$192)^2+(Coordenadas!$D$39-Coordenadas!$D$192)^2)),0)</f>
        <v>0.54357367438302862</v>
      </c>
    </row>
    <row r="222" spans="1:3">
      <c r="A222" t="s">
        <v>85</v>
      </c>
      <c r="B222" t="s">
        <v>299</v>
      </c>
      <c r="C222" s="20">
        <f>IF(SQRT((Coordenadas!$C$39-Coordenadas!$C$194)^2+(Coordenadas!$D$39-Coordenadas!$D$194)^2)&lt;=LEEME!$B$20,EXP(-LEEME!$B$19*SQRT((Coordenadas!$C$39-Coordenadas!$C$194)^2+(Coordenadas!$D$39-Coordenadas!$D$194)^2)),0)</f>
        <v>0.70863138073750642</v>
      </c>
    </row>
    <row r="223" spans="1:3">
      <c r="A223" t="s">
        <v>85</v>
      </c>
      <c r="B223" t="s">
        <v>302</v>
      </c>
      <c r="C223" s="20">
        <f>IF(SQRT((Coordenadas!$C$39-Coordenadas!$C$197)^2+(Coordenadas!$D$39-Coordenadas!$D$197)^2)&lt;=LEEME!$B$20,EXP(-LEEME!$B$19*SQRT((Coordenadas!$C$39-Coordenadas!$C$197)^2+(Coordenadas!$D$39-Coordenadas!$D$197)^2)),0)</f>
        <v>0.80672913134233304</v>
      </c>
    </row>
    <row r="224" spans="1:3">
      <c r="A224" t="s">
        <v>85</v>
      </c>
      <c r="B224" t="s">
        <v>303</v>
      </c>
      <c r="C224" s="20">
        <f>IF(SQRT((Coordenadas!$C$39-Coordenadas!$C$198)^2+(Coordenadas!$D$39-Coordenadas!$D$198)^2)&lt;=LEEME!$B$20,EXP(-LEEME!$B$19*SQRT((Coordenadas!$C$39-Coordenadas!$C$198)^2+(Coordenadas!$D$39-Coordenadas!$D$198)^2)),0)</f>
        <v>0.376955550043933</v>
      </c>
    </row>
    <row r="225" spans="1:3">
      <c r="A225" t="s">
        <v>85</v>
      </c>
      <c r="B225" t="s">
        <v>304</v>
      </c>
      <c r="C225" s="20">
        <f>IF(SQRT((Coordenadas!$C$39-Coordenadas!$C$199)^2+(Coordenadas!$D$39-Coordenadas!$D$199)^2)&lt;=LEEME!$B$20,EXP(-LEEME!$B$19*SQRT((Coordenadas!$C$39-Coordenadas!$C$199)^2+(Coordenadas!$D$39-Coordenadas!$D$199)^2)),0)</f>
        <v>0.58253253359059587</v>
      </c>
    </row>
    <row r="226" spans="1:3">
      <c r="A226" t="s">
        <v>85</v>
      </c>
      <c r="B226" t="s">
        <v>305</v>
      </c>
      <c r="C226" s="20">
        <f>IF(SQRT((Coordenadas!$C$39-Coordenadas!$C$200)^2+(Coordenadas!$D$39-Coordenadas!$D$200)^2)&lt;=LEEME!$B$20,EXP(-LEEME!$B$19*SQRT((Coordenadas!$C$39-Coordenadas!$C$200)^2+(Coordenadas!$D$39-Coordenadas!$D$200)^2)),0)</f>
        <v>0.37119705955847659</v>
      </c>
    </row>
    <row r="227" spans="1:3">
      <c r="A227" t="s">
        <v>85</v>
      </c>
      <c r="B227" t="s">
        <v>306</v>
      </c>
      <c r="C227" s="20">
        <f>IF(SQRT((Coordenadas!$C$39-Coordenadas!$C$201)^2+(Coordenadas!$D$39-Coordenadas!$D$201)^2)&lt;=LEEME!$B$20,EXP(-LEEME!$B$19*SQRT((Coordenadas!$C$39-Coordenadas!$C$201)^2+(Coordenadas!$D$39-Coordenadas!$D$201)^2)),0)</f>
        <v>0.87971256444345858</v>
      </c>
    </row>
    <row r="228" spans="1:3">
      <c r="A228" t="s">
        <v>85</v>
      </c>
      <c r="B228" t="s">
        <v>307</v>
      </c>
      <c r="C228" s="20">
        <f>IF(SQRT((Coordenadas!$C$39-Coordenadas!$C$202)^2+(Coordenadas!$D$39-Coordenadas!$D$202)^2)&lt;=LEEME!$B$20,EXP(-LEEME!$B$19*SQRT((Coordenadas!$C$39-Coordenadas!$C$202)^2+(Coordenadas!$D$39-Coordenadas!$D$202)^2)),0)</f>
        <v>0.82236078242683774</v>
      </c>
    </row>
    <row r="229" spans="1:3">
      <c r="A229" t="s">
        <v>85</v>
      </c>
      <c r="B229" t="s">
        <v>308</v>
      </c>
      <c r="C229" s="20">
        <f>IF(SQRT((Coordenadas!$C$39-Coordenadas!$C$203)^2+(Coordenadas!$D$39-Coordenadas!$D$203)^2)&lt;=LEEME!$B$20,EXP(-LEEME!$B$19*SQRT((Coordenadas!$C$39-Coordenadas!$C$203)^2+(Coordenadas!$D$39-Coordenadas!$D$203)^2)),0)</f>
        <v>0.69488737669872824</v>
      </c>
    </row>
    <row r="230" spans="1:3">
      <c r="A230" t="s">
        <v>86</v>
      </c>
      <c r="B230" t="s">
        <v>291</v>
      </c>
      <c r="C230" s="20">
        <f>IF(SQRT((Coordenadas!$C$40-Coordenadas!$C$186)^2+(Coordenadas!$D$40-Coordenadas!$D$186)^2)&lt;=LEEME!$B$20,EXP(-LEEME!$B$19*SQRT((Coordenadas!$C$40-Coordenadas!$C$186)^2+(Coordenadas!$D$40-Coordenadas!$D$186)^2)),0)</f>
        <v>0.37177854104617414</v>
      </c>
    </row>
    <row r="231" spans="1:3">
      <c r="A231" t="s">
        <v>86</v>
      </c>
      <c r="B231" t="s">
        <v>296</v>
      </c>
      <c r="C231" s="20">
        <f>IF(SQRT((Coordenadas!$C$40-Coordenadas!$C$191)^2+(Coordenadas!$D$40-Coordenadas!$D$191)^2)&lt;=LEEME!$B$20,EXP(-LEEME!$B$19*SQRT((Coordenadas!$C$40-Coordenadas!$C$191)^2+(Coordenadas!$D$40-Coordenadas!$D$191)^2)),0)</f>
        <v>0.60464407797407305</v>
      </c>
    </row>
    <row r="232" spans="1:3">
      <c r="A232" t="s">
        <v>86</v>
      </c>
      <c r="B232" t="s">
        <v>297</v>
      </c>
      <c r="C232" s="20">
        <f>IF(SQRT((Coordenadas!$C$40-Coordenadas!$C$192)^2+(Coordenadas!$D$40-Coordenadas!$D$192)^2)&lt;=LEEME!$B$20,EXP(-LEEME!$B$19*SQRT((Coordenadas!$C$40-Coordenadas!$C$192)^2+(Coordenadas!$D$40-Coordenadas!$D$192)^2)),0)</f>
        <v>0.48519487061633121</v>
      </c>
    </row>
    <row r="233" spans="1:3">
      <c r="A233" t="s">
        <v>86</v>
      </c>
      <c r="B233" t="s">
        <v>299</v>
      </c>
      <c r="C233" s="20">
        <f>IF(SQRT((Coordenadas!$C$40-Coordenadas!$C$194)^2+(Coordenadas!$D$40-Coordenadas!$D$194)^2)&lt;=LEEME!$B$20,EXP(-LEEME!$B$19*SQRT((Coordenadas!$C$40-Coordenadas!$C$194)^2+(Coordenadas!$D$40-Coordenadas!$D$194)^2)),0)</f>
        <v>0.81420097297146532</v>
      </c>
    </row>
    <row r="234" spans="1:3">
      <c r="A234" t="s">
        <v>86</v>
      </c>
      <c r="B234" t="s">
        <v>302</v>
      </c>
      <c r="C234" s="20">
        <f>IF(SQRT((Coordenadas!$C$40-Coordenadas!$C$197)^2+(Coordenadas!$D$40-Coordenadas!$D$197)^2)&lt;=LEEME!$B$20,EXP(-LEEME!$B$19*SQRT((Coordenadas!$C$40-Coordenadas!$C$197)^2+(Coordenadas!$D$40-Coordenadas!$D$197)^2)),0)</f>
        <v>0.64156368775490924</v>
      </c>
    </row>
    <row r="235" spans="1:3">
      <c r="A235" t="s">
        <v>86</v>
      </c>
      <c r="B235" t="s">
        <v>303</v>
      </c>
      <c r="C235" s="20">
        <f>IF(SQRT((Coordenadas!$C$40-Coordenadas!$C$198)^2+(Coordenadas!$D$40-Coordenadas!$D$198)^2)&lt;=LEEME!$B$20,EXP(-LEEME!$B$19*SQRT((Coordenadas!$C$40-Coordenadas!$C$198)^2+(Coordenadas!$D$40-Coordenadas!$D$198)^2)),0)</f>
        <v>0.46852203560167094</v>
      </c>
    </row>
    <row r="236" spans="1:3">
      <c r="A236" t="s">
        <v>86</v>
      </c>
      <c r="B236" t="s">
        <v>304</v>
      </c>
      <c r="C236" s="20">
        <f>IF(SQRT((Coordenadas!$C$40-Coordenadas!$C$199)^2+(Coordenadas!$D$40-Coordenadas!$D$199)^2)&lt;=LEEME!$B$20,EXP(-LEEME!$B$19*SQRT((Coordenadas!$C$40-Coordenadas!$C$199)^2+(Coordenadas!$D$40-Coordenadas!$D$199)^2)),0)</f>
        <v>0.45129742304421011</v>
      </c>
    </row>
    <row r="237" spans="1:3">
      <c r="A237" t="s">
        <v>86</v>
      </c>
      <c r="B237" t="s">
        <v>305</v>
      </c>
      <c r="C237" s="20">
        <f>IF(SQRT((Coordenadas!$C$40-Coordenadas!$C$200)^2+(Coordenadas!$D$40-Coordenadas!$D$200)^2)&lt;=LEEME!$B$20,EXP(-LEEME!$B$19*SQRT((Coordenadas!$C$40-Coordenadas!$C$200)^2+(Coordenadas!$D$40-Coordenadas!$D$200)^2)),0)</f>
        <v>0.45214294925580384</v>
      </c>
    </row>
    <row r="238" spans="1:3">
      <c r="A238" t="s">
        <v>86</v>
      </c>
      <c r="B238" t="s">
        <v>306</v>
      </c>
      <c r="C238" s="20">
        <f>IF(SQRT((Coordenadas!$C$40-Coordenadas!$C$201)^2+(Coordenadas!$D$40-Coordenadas!$D$201)^2)&lt;=LEEME!$B$20,EXP(-LEEME!$B$19*SQRT((Coordenadas!$C$40-Coordenadas!$C$201)^2+(Coordenadas!$D$40-Coordenadas!$D$201)^2)),0)</f>
        <v>0.65363523190260253</v>
      </c>
    </row>
    <row r="239" spans="1:3">
      <c r="A239" t="s">
        <v>86</v>
      </c>
      <c r="B239" t="s">
        <v>307</v>
      </c>
      <c r="C239" s="20">
        <f>IF(SQRT((Coordenadas!$C$40-Coordenadas!$C$202)^2+(Coordenadas!$D$40-Coordenadas!$D$202)^2)&lt;=LEEME!$B$20,EXP(-LEEME!$B$19*SQRT((Coordenadas!$C$40-Coordenadas!$C$202)^2+(Coordenadas!$D$40-Coordenadas!$D$202)^2)),0)</f>
        <v>0.62658767121409376</v>
      </c>
    </row>
    <row r="240" spans="1:3">
      <c r="A240" t="s">
        <v>86</v>
      </c>
      <c r="B240" t="s">
        <v>308</v>
      </c>
      <c r="C240" s="20">
        <f>IF(SQRT((Coordenadas!$C$40-Coordenadas!$C$203)^2+(Coordenadas!$D$40-Coordenadas!$D$203)^2)&lt;=LEEME!$B$20,EXP(-LEEME!$B$19*SQRT((Coordenadas!$C$40-Coordenadas!$C$203)^2+(Coordenadas!$D$40-Coordenadas!$D$203)^2)),0)</f>
        <v>0.51051868282803747</v>
      </c>
    </row>
    <row r="241" spans="1:3">
      <c r="A241" t="s">
        <v>87</v>
      </c>
      <c r="B241" t="s">
        <v>296</v>
      </c>
      <c r="C241" s="20">
        <f>IF(SQRT((Coordenadas!$C$41-Coordenadas!$C$191)^2+(Coordenadas!$D$41-Coordenadas!$D$191)^2)&lt;=LEEME!$B$20,EXP(-LEEME!$B$19*SQRT((Coordenadas!$C$41-Coordenadas!$C$191)^2+(Coordenadas!$D$41-Coordenadas!$D$191)^2)),0)</f>
        <v>0.49133282958100744</v>
      </c>
    </row>
    <row r="242" spans="1:3">
      <c r="A242" t="s">
        <v>87</v>
      </c>
      <c r="B242" t="s">
        <v>297</v>
      </c>
      <c r="C242" s="20">
        <f>IF(SQRT((Coordenadas!$C$41-Coordenadas!$C$192)^2+(Coordenadas!$D$41-Coordenadas!$D$192)^2)&lt;=LEEME!$B$20,EXP(-LEEME!$B$19*SQRT((Coordenadas!$C$41-Coordenadas!$C$192)^2+(Coordenadas!$D$41-Coordenadas!$D$192)^2)),0)</f>
        <v>0.65665611347588126</v>
      </c>
    </row>
    <row r="243" spans="1:3">
      <c r="A243" t="s">
        <v>87</v>
      </c>
      <c r="B243" t="s">
        <v>299</v>
      </c>
      <c r="C243" s="20">
        <f>IF(SQRT((Coordenadas!$C$41-Coordenadas!$C$194)^2+(Coordenadas!$D$41-Coordenadas!$D$194)^2)&lt;=LEEME!$B$20,EXP(-LEEME!$B$19*SQRT((Coordenadas!$C$41-Coordenadas!$C$194)^2+(Coordenadas!$D$41-Coordenadas!$D$194)^2)),0)</f>
        <v>0.80486321644490655</v>
      </c>
    </row>
    <row r="244" spans="1:3">
      <c r="A244" t="s">
        <v>87</v>
      </c>
      <c r="B244" t="s">
        <v>302</v>
      </c>
      <c r="C244" s="20">
        <f>IF(SQRT((Coordenadas!$C$41-Coordenadas!$C$197)^2+(Coordenadas!$D$41-Coordenadas!$D$197)^2)&lt;=LEEME!$B$20,EXP(-LEEME!$B$19*SQRT((Coordenadas!$C$41-Coordenadas!$C$197)^2+(Coordenadas!$D$41-Coordenadas!$D$197)^2)),0)</f>
        <v>0.85892895826086491</v>
      </c>
    </row>
    <row r="245" spans="1:3">
      <c r="A245" t="s">
        <v>87</v>
      </c>
      <c r="B245" t="s">
        <v>304</v>
      </c>
      <c r="C245" s="20">
        <f>IF(SQRT((Coordenadas!$C$41-Coordenadas!$C$199)^2+(Coordenadas!$D$41-Coordenadas!$D$199)^2)&lt;=LEEME!$B$20,EXP(-LEEME!$B$19*SQRT((Coordenadas!$C$41-Coordenadas!$C$199)^2+(Coordenadas!$D$41-Coordenadas!$D$199)^2)),0)</f>
        <v>0.61590359295368835</v>
      </c>
    </row>
    <row r="246" spans="1:3">
      <c r="A246" t="s">
        <v>87</v>
      </c>
      <c r="B246" t="s">
        <v>306</v>
      </c>
      <c r="C246" s="20">
        <f>IF(SQRT((Coordenadas!$C$41-Coordenadas!$C$201)^2+(Coordenadas!$D$41-Coordenadas!$D$201)^2)&lt;=LEEME!$B$20,EXP(-LEEME!$B$19*SQRT((Coordenadas!$C$41-Coordenadas!$C$201)^2+(Coordenadas!$D$41-Coordenadas!$D$201)^2)),0)</f>
        <v>0.72386629965030458</v>
      </c>
    </row>
    <row r="247" spans="1:3">
      <c r="A247" t="s">
        <v>87</v>
      </c>
      <c r="B247" t="s">
        <v>307</v>
      </c>
      <c r="C247" s="20">
        <f>IF(SQRT((Coordenadas!$C$41-Coordenadas!$C$202)^2+(Coordenadas!$D$41-Coordenadas!$D$202)^2)&lt;=LEEME!$B$20,EXP(-LEEME!$B$19*SQRT((Coordenadas!$C$41-Coordenadas!$C$202)^2+(Coordenadas!$D$41-Coordenadas!$D$202)^2)),0)</f>
        <v>0.66894247449063804</v>
      </c>
    </row>
    <row r="248" spans="1:3">
      <c r="A248" t="s">
        <v>87</v>
      </c>
      <c r="B248" t="s">
        <v>308</v>
      </c>
      <c r="C248" s="20">
        <f>IF(SQRT((Coordenadas!$C$41-Coordenadas!$C$203)^2+(Coordenadas!$D$41-Coordenadas!$D$203)^2)&lt;=LEEME!$B$20,EXP(-LEEME!$B$19*SQRT((Coordenadas!$C$41-Coordenadas!$C$203)^2+(Coordenadas!$D$41-Coordenadas!$D$203)^2)),0)</f>
        <v>0.62801694274501874</v>
      </c>
    </row>
    <row r="249" spans="1:3">
      <c r="A249" t="s">
        <v>88</v>
      </c>
      <c r="B249" t="s">
        <v>291</v>
      </c>
      <c r="C249" s="20">
        <f>IF(SQRT((Coordenadas!$C$42-Coordenadas!$C$186)^2+(Coordenadas!$D$42-Coordenadas!$D$186)^2)&lt;=LEEME!$B$20,EXP(-LEEME!$B$19*SQRT((Coordenadas!$C$42-Coordenadas!$C$186)^2+(Coordenadas!$D$42-Coordenadas!$D$186)^2)),0)</f>
        <v>0.43427108221734578</v>
      </c>
    </row>
    <row r="250" spans="1:3">
      <c r="A250" t="s">
        <v>88</v>
      </c>
      <c r="B250" t="s">
        <v>296</v>
      </c>
      <c r="C250" s="20">
        <f>IF(SQRT((Coordenadas!$C$42-Coordenadas!$C$191)^2+(Coordenadas!$D$42-Coordenadas!$D$191)^2)&lt;=LEEME!$B$20,EXP(-LEEME!$B$19*SQRT((Coordenadas!$C$42-Coordenadas!$C$191)^2+(Coordenadas!$D$42-Coordenadas!$D$191)^2)),0)</f>
        <v>0.67519972854756216</v>
      </c>
    </row>
    <row r="251" spans="1:3">
      <c r="A251" t="s">
        <v>88</v>
      </c>
      <c r="B251" t="s">
        <v>297</v>
      </c>
      <c r="C251" s="20">
        <f>IF(SQRT((Coordenadas!$C$42-Coordenadas!$C$192)^2+(Coordenadas!$D$42-Coordenadas!$D$192)^2)&lt;=LEEME!$B$20,EXP(-LEEME!$B$19*SQRT((Coordenadas!$C$42-Coordenadas!$C$192)^2+(Coordenadas!$D$42-Coordenadas!$D$192)^2)),0)</f>
        <v>0.55614389377117157</v>
      </c>
    </row>
    <row r="252" spans="1:3">
      <c r="A252" t="s">
        <v>88</v>
      </c>
      <c r="B252" t="s">
        <v>299</v>
      </c>
      <c r="C252" s="20">
        <f>IF(SQRT((Coordenadas!$C$42-Coordenadas!$C$194)^2+(Coordenadas!$D$42-Coordenadas!$D$194)^2)&lt;=LEEME!$B$20,EXP(-LEEME!$B$19*SQRT((Coordenadas!$C$42-Coordenadas!$C$194)^2+(Coordenadas!$D$42-Coordenadas!$D$194)^2)),0)</f>
        <v>0.8879421866439835</v>
      </c>
    </row>
    <row r="253" spans="1:3">
      <c r="A253" t="s">
        <v>88</v>
      </c>
      <c r="B253" t="s">
        <v>302</v>
      </c>
      <c r="C253" s="20">
        <f>IF(SQRT((Coordenadas!$C$42-Coordenadas!$C$197)^2+(Coordenadas!$D$42-Coordenadas!$D$197)^2)&lt;=LEEME!$B$20,EXP(-LEEME!$B$19*SQRT((Coordenadas!$C$42-Coordenadas!$C$197)^2+(Coordenadas!$D$42-Coordenadas!$D$197)^2)),0)</f>
        <v>0.62006046560171502</v>
      </c>
    </row>
    <row r="254" spans="1:3">
      <c r="A254" t="s">
        <v>88</v>
      </c>
      <c r="B254" t="s">
        <v>303</v>
      </c>
      <c r="C254" s="20">
        <f>IF(SQRT((Coordenadas!$C$42-Coordenadas!$C$198)^2+(Coordenadas!$D$42-Coordenadas!$D$198)^2)&lt;=LEEME!$B$20,EXP(-LEEME!$B$19*SQRT((Coordenadas!$C$42-Coordenadas!$C$198)^2+(Coordenadas!$D$42-Coordenadas!$D$198)^2)),0)</f>
        <v>0.38917893304884948</v>
      </c>
    </row>
    <row r="255" spans="1:3">
      <c r="A255" t="s">
        <v>88</v>
      </c>
      <c r="B255" t="s">
        <v>304</v>
      </c>
      <c r="C255" s="20">
        <f>IF(SQRT((Coordenadas!$C$42-Coordenadas!$C$199)^2+(Coordenadas!$D$42-Coordenadas!$D$199)^2)&lt;=LEEME!$B$20,EXP(-LEEME!$B$19*SQRT((Coordenadas!$C$42-Coordenadas!$C$199)^2+(Coordenadas!$D$42-Coordenadas!$D$199)^2)),0)</f>
        <v>0.45420417188633616</v>
      </c>
    </row>
    <row r="256" spans="1:3">
      <c r="A256" t="s">
        <v>88</v>
      </c>
      <c r="B256" t="s">
        <v>305</v>
      </c>
      <c r="C256" s="20">
        <f>IF(SQRT((Coordenadas!$C$42-Coordenadas!$C$200)^2+(Coordenadas!$D$42-Coordenadas!$D$200)^2)&lt;=LEEME!$B$20,EXP(-LEEME!$B$19*SQRT((Coordenadas!$C$42-Coordenadas!$C$200)^2+(Coordenadas!$D$42-Coordenadas!$D$200)^2)),0)</f>
        <v>0.3700395594581653</v>
      </c>
    </row>
    <row r="257" spans="1:3">
      <c r="A257" t="s">
        <v>88</v>
      </c>
      <c r="B257" t="s">
        <v>306</v>
      </c>
      <c r="C257" s="20">
        <f>IF(SQRT((Coordenadas!$C$42-Coordenadas!$C$201)^2+(Coordenadas!$D$42-Coordenadas!$D$201)^2)&lt;=LEEME!$B$20,EXP(-LEEME!$B$19*SQRT((Coordenadas!$C$42-Coordenadas!$C$201)^2+(Coordenadas!$D$42-Coordenadas!$D$201)^2)),0)</f>
        <v>0.5543155408476319</v>
      </c>
    </row>
    <row r="258" spans="1:3">
      <c r="A258" t="s">
        <v>88</v>
      </c>
      <c r="B258" t="s">
        <v>307</v>
      </c>
      <c r="C258" s="20">
        <f>IF(SQRT((Coordenadas!$C$42-Coordenadas!$C$202)^2+(Coordenadas!$D$42-Coordenadas!$D$202)^2)&lt;=LEEME!$B$20,EXP(-LEEME!$B$19*SQRT((Coordenadas!$C$42-Coordenadas!$C$202)^2+(Coordenadas!$D$42-Coordenadas!$D$202)^2)),0)</f>
        <v>0.51937268318031293</v>
      </c>
    </row>
    <row r="259" spans="1:3">
      <c r="A259" t="s">
        <v>88</v>
      </c>
      <c r="B259" t="s">
        <v>308</v>
      </c>
      <c r="C259" s="20">
        <f>IF(SQRT((Coordenadas!$C$42-Coordenadas!$C$203)^2+(Coordenadas!$D$42-Coordenadas!$D$203)^2)&lt;=LEEME!$B$20,EXP(-LEEME!$B$19*SQRT((Coordenadas!$C$42-Coordenadas!$C$203)^2+(Coordenadas!$D$42-Coordenadas!$D$203)^2)),0)</f>
        <v>0.45663604243435796</v>
      </c>
    </row>
    <row r="260" spans="1:3">
      <c r="A260" t="s">
        <v>89</v>
      </c>
      <c r="B260" t="s">
        <v>296</v>
      </c>
      <c r="C260" s="20">
        <f>IF(SQRT((Coordenadas!$C$43-Coordenadas!$C$191)^2+(Coordenadas!$D$43-Coordenadas!$D$191)^2)&lt;=LEEME!$B$20,EXP(-LEEME!$B$19*SQRT((Coordenadas!$C$43-Coordenadas!$C$191)^2+(Coordenadas!$D$43-Coordenadas!$D$191)^2)),0)</f>
        <v>0.54378556301639691</v>
      </c>
    </row>
    <row r="261" spans="1:3">
      <c r="A261" t="s">
        <v>89</v>
      </c>
      <c r="B261" t="s">
        <v>297</v>
      </c>
      <c r="C261" s="20">
        <f>IF(SQRT((Coordenadas!$C$43-Coordenadas!$C$192)^2+(Coordenadas!$D$43-Coordenadas!$D$192)^2)&lt;=LEEME!$B$20,EXP(-LEEME!$B$19*SQRT((Coordenadas!$C$43-Coordenadas!$C$192)^2+(Coordenadas!$D$43-Coordenadas!$D$192)^2)),0)</f>
        <v>0.70345902632008661</v>
      </c>
    </row>
    <row r="262" spans="1:3">
      <c r="A262" t="s">
        <v>89</v>
      </c>
      <c r="B262" t="s">
        <v>299</v>
      </c>
      <c r="C262" s="20">
        <f>IF(SQRT((Coordenadas!$C$43-Coordenadas!$C$194)^2+(Coordenadas!$D$43-Coordenadas!$D$194)^2)&lt;=LEEME!$B$20,EXP(-LEEME!$B$19*SQRT((Coordenadas!$C$43-Coordenadas!$C$194)^2+(Coordenadas!$D$43-Coordenadas!$D$194)^2)),0)</f>
        <v>0.80677609274530271</v>
      </c>
    </row>
    <row r="263" spans="1:3">
      <c r="A263" t="s">
        <v>89</v>
      </c>
      <c r="B263" t="s">
        <v>302</v>
      </c>
      <c r="C263" s="20">
        <f>IF(SQRT((Coordenadas!$C$43-Coordenadas!$C$197)^2+(Coordenadas!$D$43-Coordenadas!$D$197)^2)&lt;=LEEME!$B$20,EXP(-LEEME!$B$19*SQRT((Coordenadas!$C$43-Coordenadas!$C$197)^2+(Coordenadas!$D$43-Coordenadas!$D$197)^2)),0)</f>
        <v>0.70095137461952906</v>
      </c>
    </row>
    <row r="264" spans="1:3">
      <c r="A264" t="s">
        <v>89</v>
      </c>
      <c r="B264" t="s">
        <v>304</v>
      </c>
      <c r="C264" s="20">
        <f>IF(SQRT((Coordenadas!$C$43-Coordenadas!$C$199)^2+(Coordenadas!$D$43-Coordenadas!$D$199)^2)&lt;=LEEME!$B$20,EXP(-LEEME!$B$19*SQRT((Coordenadas!$C$43-Coordenadas!$C$199)^2+(Coordenadas!$D$43-Coordenadas!$D$199)^2)),0)</f>
        <v>0.55013071567884142</v>
      </c>
    </row>
    <row r="265" spans="1:3">
      <c r="A265" t="s">
        <v>89</v>
      </c>
      <c r="B265" t="s">
        <v>306</v>
      </c>
      <c r="C265" s="20">
        <f>IF(SQRT((Coordenadas!$C$43-Coordenadas!$C$201)^2+(Coordenadas!$D$43-Coordenadas!$D$201)^2)&lt;=LEEME!$B$20,EXP(-LEEME!$B$19*SQRT((Coordenadas!$C$43-Coordenadas!$C$201)^2+(Coordenadas!$D$43-Coordenadas!$D$201)^2)),0)</f>
        <v>0.5718987333703941</v>
      </c>
    </row>
    <row r="266" spans="1:3">
      <c r="A266" t="s">
        <v>89</v>
      </c>
      <c r="B266" t="s">
        <v>307</v>
      </c>
      <c r="C266" s="20">
        <f>IF(SQRT((Coordenadas!$C$43-Coordenadas!$C$202)^2+(Coordenadas!$D$43-Coordenadas!$D$202)^2)&lt;=LEEME!$B$20,EXP(-LEEME!$B$19*SQRT((Coordenadas!$C$43-Coordenadas!$C$202)^2+(Coordenadas!$D$43-Coordenadas!$D$202)^2)),0)</f>
        <v>0.52881192628348639</v>
      </c>
    </row>
    <row r="267" spans="1:3">
      <c r="A267" t="s">
        <v>89</v>
      </c>
      <c r="B267" t="s">
        <v>308</v>
      </c>
      <c r="C267" s="20">
        <f>IF(SQRT((Coordenadas!$C$43-Coordenadas!$C$203)^2+(Coordenadas!$D$43-Coordenadas!$D$203)^2)&lt;=LEEME!$B$20,EXP(-LEEME!$B$19*SQRT((Coordenadas!$C$43-Coordenadas!$C$203)^2+(Coordenadas!$D$43-Coordenadas!$D$203)^2)),0)</f>
        <v>0.50698051406684619</v>
      </c>
    </row>
    <row r="268" spans="1:3">
      <c r="A268" t="s">
        <v>90</v>
      </c>
      <c r="B268" t="s">
        <v>296</v>
      </c>
      <c r="C268" s="20">
        <f>IF(SQRT((Coordenadas!$C$44-Coordenadas!$C$191)^2+(Coordenadas!$D$44-Coordenadas!$D$191)^2)&lt;=LEEME!$B$20,EXP(-LEEME!$B$19*SQRT((Coordenadas!$C$44-Coordenadas!$C$191)^2+(Coordenadas!$D$44-Coordenadas!$D$191)^2)),0)</f>
        <v>0.4373340151673008</v>
      </c>
    </row>
    <row r="269" spans="1:3">
      <c r="A269" t="s">
        <v>90</v>
      </c>
      <c r="B269" t="s">
        <v>297</v>
      </c>
      <c r="C269" s="20">
        <f>IF(SQRT((Coordenadas!$C$44-Coordenadas!$C$192)^2+(Coordenadas!$D$44-Coordenadas!$D$192)^2)&lt;=LEEME!$B$20,EXP(-LEEME!$B$19*SQRT((Coordenadas!$C$44-Coordenadas!$C$192)^2+(Coordenadas!$D$44-Coordenadas!$D$192)^2)),0)</f>
        <v>0.86743506192529662</v>
      </c>
    </row>
    <row r="270" spans="1:3">
      <c r="A270" t="s">
        <v>90</v>
      </c>
      <c r="B270" t="s">
        <v>299</v>
      </c>
      <c r="C270" s="20">
        <f>IF(SQRT((Coordenadas!$C$44-Coordenadas!$C$194)^2+(Coordenadas!$D$44-Coordenadas!$D$194)^2)&lt;=LEEME!$B$20,EXP(-LEEME!$B$19*SQRT((Coordenadas!$C$44-Coordenadas!$C$194)^2+(Coordenadas!$D$44-Coordenadas!$D$194)^2)),0)</f>
        <v>0.66898407398163795</v>
      </c>
    </row>
    <row r="271" spans="1:3">
      <c r="A271" t="s">
        <v>90</v>
      </c>
      <c r="B271" t="s">
        <v>302</v>
      </c>
      <c r="C271" s="20">
        <f>IF(SQRT((Coordenadas!$C$44-Coordenadas!$C$197)^2+(Coordenadas!$D$44-Coordenadas!$D$197)^2)&lt;=LEEME!$B$20,EXP(-LEEME!$B$19*SQRT((Coordenadas!$C$44-Coordenadas!$C$197)^2+(Coordenadas!$D$44-Coordenadas!$D$197)^2)),0)</f>
        <v>0.7325619806916307</v>
      </c>
    </row>
    <row r="272" spans="1:3">
      <c r="A272" t="s">
        <v>90</v>
      </c>
      <c r="B272" t="s">
        <v>304</v>
      </c>
      <c r="C272" s="20">
        <f>IF(SQRT((Coordenadas!$C$44-Coordenadas!$C$199)^2+(Coordenadas!$D$44-Coordenadas!$D$199)^2)&lt;=LEEME!$B$20,EXP(-LEEME!$B$19*SQRT((Coordenadas!$C$44-Coordenadas!$C$199)^2+(Coordenadas!$D$44-Coordenadas!$D$199)^2)),0)</f>
        <v>0.65859783827065255</v>
      </c>
    </row>
    <row r="273" spans="1:3">
      <c r="A273" t="s">
        <v>90</v>
      </c>
      <c r="B273" t="s">
        <v>306</v>
      </c>
      <c r="C273" s="20">
        <f>IF(SQRT((Coordenadas!$C$44-Coordenadas!$C$201)^2+(Coordenadas!$D$44-Coordenadas!$D$201)^2)&lt;=LEEME!$B$20,EXP(-LEEME!$B$19*SQRT((Coordenadas!$C$44-Coordenadas!$C$201)^2+(Coordenadas!$D$44-Coordenadas!$D$201)^2)),0)</f>
        <v>0.56764465822139976</v>
      </c>
    </row>
    <row r="274" spans="1:3">
      <c r="A274" t="s">
        <v>90</v>
      </c>
      <c r="B274" t="s">
        <v>307</v>
      </c>
      <c r="C274" s="20">
        <f>IF(SQRT((Coordenadas!$C$44-Coordenadas!$C$202)^2+(Coordenadas!$D$44-Coordenadas!$D$202)^2)&lt;=LEEME!$B$20,EXP(-LEEME!$B$19*SQRT((Coordenadas!$C$44-Coordenadas!$C$202)^2+(Coordenadas!$D$44-Coordenadas!$D$202)^2)),0)</f>
        <v>0.52389123113014846</v>
      </c>
    </row>
    <row r="275" spans="1:3">
      <c r="A275" t="s">
        <v>90</v>
      </c>
      <c r="B275" t="s">
        <v>308</v>
      </c>
      <c r="C275" s="20">
        <f>IF(SQRT((Coordenadas!$C$44-Coordenadas!$C$203)^2+(Coordenadas!$D$44-Coordenadas!$D$203)^2)&lt;=LEEME!$B$20,EXP(-LEEME!$B$19*SQRT((Coordenadas!$C$44-Coordenadas!$C$203)^2+(Coordenadas!$D$44-Coordenadas!$D$203)^2)),0)</f>
        <v>0.55114583999535938</v>
      </c>
    </row>
    <row r="276" spans="1:3">
      <c r="A276" t="s">
        <v>91</v>
      </c>
      <c r="B276" t="s">
        <v>297</v>
      </c>
      <c r="C276" s="20">
        <f>IF(SQRT((Coordenadas!$C$45-Coordenadas!$C$192)^2+(Coordenadas!$D$45-Coordenadas!$D$192)^2)&lt;=LEEME!$B$20,EXP(-LEEME!$B$19*SQRT((Coordenadas!$C$45-Coordenadas!$C$192)^2+(Coordenadas!$D$45-Coordenadas!$D$192)^2)),0)</f>
        <v>0.67912970352162749</v>
      </c>
    </row>
    <row r="277" spans="1:3">
      <c r="A277" t="s">
        <v>91</v>
      </c>
      <c r="B277" t="s">
        <v>299</v>
      </c>
      <c r="C277" s="20">
        <f>IF(SQRT((Coordenadas!$C$45-Coordenadas!$C$194)^2+(Coordenadas!$D$45-Coordenadas!$D$194)^2)&lt;=LEEME!$B$20,EXP(-LEEME!$B$19*SQRT((Coordenadas!$C$45-Coordenadas!$C$194)^2+(Coordenadas!$D$45-Coordenadas!$D$194)^2)),0)</f>
        <v>0.44127941348968697</v>
      </c>
    </row>
    <row r="278" spans="1:3">
      <c r="A278" t="s">
        <v>91</v>
      </c>
      <c r="B278" t="s">
        <v>302</v>
      </c>
      <c r="C278" s="20">
        <f>IF(SQRT((Coordenadas!$C$45-Coordenadas!$C$197)^2+(Coordenadas!$D$45-Coordenadas!$D$197)^2)&lt;=LEEME!$B$20,EXP(-LEEME!$B$19*SQRT((Coordenadas!$C$45-Coordenadas!$C$197)^2+(Coordenadas!$D$45-Coordenadas!$D$197)^2)),0)</f>
        <v>0.45488154993670227</v>
      </c>
    </row>
    <row r="279" spans="1:3">
      <c r="A279" t="s">
        <v>91</v>
      </c>
      <c r="B279" t="s">
        <v>304</v>
      </c>
      <c r="C279" s="20">
        <f>IF(SQRT((Coordenadas!$C$45-Coordenadas!$C$199)^2+(Coordenadas!$D$45-Coordenadas!$D$199)^2)&lt;=LEEME!$B$20,EXP(-LEEME!$B$19*SQRT((Coordenadas!$C$45-Coordenadas!$C$199)^2+(Coordenadas!$D$45-Coordenadas!$D$199)^2)),0)</f>
        <v>0.47953808101317291</v>
      </c>
    </row>
    <row r="280" spans="1:3">
      <c r="A280" t="s">
        <v>92</v>
      </c>
      <c r="B280" t="s">
        <v>278</v>
      </c>
      <c r="C280" s="20">
        <f>IF(SQRT((Coordenadas!$C$46-Coordenadas!$C$173)^2+(Coordenadas!$D$46-Coordenadas!$D$173)^2)&lt;=LEEME!$B$20,EXP(-LEEME!$B$19*SQRT((Coordenadas!$C$46-Coordenadas!$C$173)^2+(Coordenadas!$D$46-Coordenadas!$D$173)^2)),0)</f>
        <v>0.38282808457438444</v>
      </c>
    </row>
    <row r="281" spans="1:3">
      <c r="A281" t="s">
        <v>92</v>
      </c>
      <c r="B281" t="s">
        <v>280</v>
      </c>
      <c r="C281" s="20">
        <f>IF(SQRT((Coordenadas!$C$46-Coordenadas!$C$175)^2+(Coordenadas!$D$46-Coordenadas!$D$175)^2)&lt;=LEEME!$B$20,EXP(-LEEME!$B$19*SQRT((Coordenadas!$C$46-Coordenadas!$C$175)^2+(Coordenadas!$D$46-Coordenadas!$D$175)^2)),0)</f>
        <v>0.40840226276522096</v>
      </c>
    </row>
    <row r="282" spans="1:3">
      <c r="A282" t="s">
        <v>92</v>
      </c>
      <c r="B282" t="s">
        <v>285</v>
      </c>
      <c r="C282" s="20">
        <f>IF(SQRT((Coordenadas!$C$46-Coordenadas!$C$180)^2+(Coordenadas!$D$46-Coordenadas!$D$180)^2)&lt;=LEEME!$B$20,EXP(-LEEME!$B$19*SQRT((Coordenadas!$C$46-Coordenadas!$C$180)^2+(Coordenadas!$D$46-Coordenadas!$D$180)^2)),0)</f>
        <v>0.40938528927719237</v>
      </c>
    </row>
    <row r="283" spans="1:3">
      <c r="A283" t="s">
        <v>92</v>
      </c>
      <c r="B283" t="s">
        <v>290</v>
      </c>
      <c r="C283" s="20">
        <f>IF(SQRT((Coordenadas!$C$46-Coordenadas!$C$185)^2+(Coordenadas!$D$46-Coordenadas!$D$185)^2)&lt;=LEEME!$B$20,EXP(-LEEME!$B$19*SQRT((Coordenadas!$C$46-Coordenadas!$C$185)^2+(Coordenadas!$D$46-Coordenadas!$D$185)^2)),0)</f>
        <v>0.59059985286652728</v>
      </c>
    </row>
    <row r="284" spans="1:3">
      <c r="A284" t="s">
        <v>92</v>
      </c>
      <c r="B284" t="s">
        <v>291</v>
      </c>
      <c r="C284" s="20">
        <f>IF(SQRT((Coordenadas!$C$46-Coordenadas!$C$186)^2+(Coordenadas!$D$46-Coordenadas!$D$186)^2)&lt;=LEEME!$B$20,EXP(-LEEME!$B$19*SQRT((Coordenadas!$C$46-Coordenadas!$C$186)^2+(Coordenadas!$D$46-Coordenadas!$D$186)^2)),0)</f>
        <v>0.94648514795348393</v>
      </c>
    </row>
    <row r="285" spans="1:3">
      <c r="A285" t="s">
        <v>92</v>
      </c>
      <c r="B285" t="s">
        <v>296</v>
      </c>
      <c r="C285" s="20">
        <f>IF(SQRT((Coordenadas!$C$46-Coordenadas!$C$191)^2+(Coordenadas!$D$46-Coordenadas!$D$191)^2)&lt;=LEEME!$B$20,EXP(-LEEME!$B$19*SQRT((Coordenadas!$C$46-Coordenadas!$C$191)^2+(Coordenadas!$D$46-Coordenadas!$D$191)^2)),0)</f>
        <v>0.64622584572360042</v>
      </c>
    </row>
    <row r="286" spans="1:3">
      <c r="A286" t="s">
        <v>92</v>
      </c>
      <c r="B286" t="s">
        <v>299</v>
      </c>
      <c r="C286" s="20">
        <f>IF(SQRT((Coordenadas!$C$46-Coordenadas!$C$194)^2+(Coordenadas!$D$46-Coordenadas!$D$194)^2)&lt;=LEEME!$B$20,EXP(-LEEME!$B$19*SQRT((Coordenadas!$C$46-Coordenadas!$C$194)^2+(Coordenadas!$D$46-Coordenadas!$D$194)^2)),0)</f>
        <v>0.40449160332552542</v>
      </c>
    </row>
    <row r="287" spans="1:3">
      <c r="A287" t="s">
        <v>93</v>
      </c>
      <c r="B287" t="s">
        <v>278</v>
      </c>
      <c r="C287" s="20">
        <f>IF(SQRT((Coordenadas!$C$47-Coordenadas!$C$173)^2+(Coordenadas!$D$47-Coordenadas!$D$173)^2)&lt;=LEEME!$B$20,EXP(-LEEME!$B$19*SQRT((Coordenadas!$C$47-Coordenadas!$C$173)^2+(Coordenadas!$D$47-Coordenadas!$D$173)^2)),0)</f>
        <v>0.37207937760738841</v>
      </c>
    </row>
    <row r="288" spans="1:3">
      <c r="A288" t="s">
        <v>93</v>
      </c>
      <c r="B288" t="s">
        <v>280</v>
      </c>
      <c r="C288" s="20">
        <f>IF(SQRT((Coordenadas!$C$47-Coordenadas!$C$175)^2+(Coordenadas!$D$47-Coordenadas!$D$175)^2)&lt;=LEEME!$B$20,EXP(-LEEME!$B$19*SQRT((Coordenadas!$C$47-Coordenadas!$C$175)^2+(Coordenadas!$D$47-Coordenadas!$D$175)^2)),0)</f>
        <v>0.41058078800429931</v>
      </c>
    </row>
    <row r="289" spans="1:3">
      <c r="A289" t="s">
        <v>93</v>
      </c>
      <c r="B289" t="s">
        <v>285</v>
      </c>
      <c r="C289" s="20">
        <f>IF(SQRT((Coordenadas!$C$47-Coordenadas!$C$180)^2+(Coordenadas!$D$47-Coordenadas!$D$180)^2)&lt;=LEEME!$B$20,EXP(-LEEME!$B$19*SQRT((Coordenadas!$C$47-Coordenadas!$C$180)^2+(Coordenadas!$D$47-Coordenadas!$D$180)^2)),0)</f>
        <v>0.51940241434474721</v>
      </c>
    </row>
    <row r="290" spans="1:3">
      <c r="A290" t="s">
        <v>93</v>
      </c>
      <c r="B290" t="s">
        <v>290</v>
      </c>
      <c r="C290" s="20">
        <f>IF(SQRT((Coordenadas!$C$47-Coordenadas!$C$185)^2+(Coordenadas!$D$47-Coordenadas!$D$185)^2)&lt;=LEEME!$B$20,EXP(-LEEME!$B$19*SQRT((Coordenadas!$C$47-Coordenadas!$C$185)^2+(Coordenadas!$D$47-Coordenadas!$D$185)^2)),0)</f>
        <v>0.76207708775168392</v>
      </c>
    </row>
    <row r="291" spans="1:3">
      <c r="A291" t="s">
        <v>93</v>
      </c>
      <c r="B291" t="s">
        <v>291</v>
      </c>
      <c r="C291" s="20">
        <f>IF(SQRT((Coordenadas!$C$47-Coordenadas!$C$186)^2+(Coordenadas!$D$47-Coordenadas!$D$186)^2)&lt;=LEEME!$B$20,EXP(-LEEME!$B$19*SQRT((Coordenadas!$C$47-Coordenadas!$C$186)^2+(Coordenadas!$D$47-Coordenadas!$D$186)^2)),0)</f>
        <v>0.77876184789876668</v>
      </c>
    </row>
    <row r="292" spans="1:3">
      <c r="A292" t="s">
        <v>93</v>
      </c>
      <c r="B292" t="s">
        <v>293</v>
      </c>
      <c r="C292" s="20">
        <f>IF(SQRT((Coordenadas!$C$47-Coordenadas!$C$188)^2+(Coordenadas!$D$47-Coordenadas!$D$188)^2)&lt;=LEEME!$B$20,EXP(-LEEME!$B$19*SQRT((Coordenadas!$C$47-Coordenadas!$C$188)^2+(Coordenadas!$D$47-Coordenadas!$D$188)^2)),0)</f>
        <v>0.42692527293735355</v>
      </c>
    </row>
    <row r="293" spans="1:3">
      <c r="A293" t="s">
        <v>93</v>
      </c>
      <c r="B293" t="s">
        <v>296</v>
      </c>
      <c r="C293" s="20">
        <f>IF(SQRT((Coordenadas!$C$47-Coordenadas!$C$191)^2+(Coordenadas!$D$47-Coordenadas!$D$191)^2)&lt;=LEEME!$B$20,EXP(-LEEME!$B$19*SQRT((Coordenadas!$C$47-Coordenadas!$C$191)^2+(Coordenadas!$D$47-Coordenadas!$D$191)^2)),0)</f>
        <v>0.53849831031280393</v>
      </c>
    </row>
    <row r="294" spans="1:3">
      <c r="A294" t="s">
        <v>94</v>
      </c>
      <c r="B294" t="s">
        <v>285</v>
      </c>
      <c r="C294" s="20">
        <f>IF(SQRT((Coordenadas!$C$48-Coordenadas!$C$180)^2+(Coordenadas!$D$48-Coordenadas!$D$180)^2)&lt;=LEEME!$B$20,EXP(-LEEME!$B$19*SQRT((Coordenadas!$C$48-Coordenadas!$C$180)^2+(Coordenadas!$D$48-Coordenadas!$D$180)^2)),0)</f>
        <v>0.41025243909358144</v>
      </c>
    </row>
    <row r="295" spans="1:3">
      <c r="A295" t="s">
        <v>94</v>
      </c>
      <c r="B295" t="s">
        <v>290</v>
      </c>
      <c r="C295" s="20">
        <f>IF(SQRT((Coordenadas!$C$48-Coordenadas!$C$185)^2+(Coordenadas!$D$48-Coordenadas!$D$185)^2)&lt;=LEEME!$B$20,EXP(-LEEME!$B$19*SQRT((Coordenadas!$C$48-Coordenadas!$C$185)^2+(Coordenadas!$D$48-Coordenadas!$D$185)^2)),0)</f>
        <v>0.62183596629332383</v>
      </c>
    </row>
    <row r="296" spans="1:3">
      <c r="A296" t="s">
        <v>94</v>
      </c>
      <c r="B296" t="s">
        <v>291</v>
      </c>
      <c r="C296" s="20">
        <f>IF(SQRT((Coordenadas!$C$48-Coordenadas!$C$186)^2+(Coordenadas!$D$48-Coordenadas!$D$186)^2)&lt;=LEEME!$B$20,EXP(-LEEME!$B$19*SQRT((Coordenadas!$C$48-Coordenadas!$C$186)^2+(Coordenadas!$D$48-Coordenadas!$D$186)^2)),0)</f>
        <v>0.74199522864905887</v>
      </c>
    </row>
    <row r="297" spans="1:3">
      <c r="A297" t="s">
        <v>94</v>
      </c>
      <c r="B297" t="s">
        <v>293</v>
      </c>
      <c r="C297" s="20">
        <f>IF(SQRT((Coordenadas!$C$48-Coordenadas!$C$188)^2+(Coordenadas!$D$48-Coordenadas!$D$188)^2)&lt;=LEEME!$B$20,EXP(-LEEME!$B$19*SQRT((Coordenadas!$C$48-Coordenadas!$C$188)^2+(Coordenadas!$D$48-Coordenadas!$D$188)^2)),0)</f>
        <v>0.39302725037416514</v>
      </c>
    </row>
    <row r="298" spans="1:3">
      <c r="A298" t="s">
        <v>94</v>
      </c>
      <c r="B298" t="s">
        <v>296</v>
      </c>
      <c r="C298" s="20">
        <f>IF(SQRT((Coordenadas!$C$48-Coordenadas!$C$191)^2+(Coordenadas!$D$48-Coordenadas!$D$191)^2)&lt;=LEEME!$B$20,EXP(-LEEME!$B$19*SQRT((Coordenadas!$C$48-Coordenadas!$C$191)^2+(Coordenadas!$D$48-Coordenadas!$D$191)^2)),0)</f>
        <v>0.67985507560836833</v>
      </c>
    </row>
    <row r="299" spans="1:3">
      <c r="A299" t="s">
        <v>94</v>
      </c>
      <c r="B299" t="s">
        <v>298</v>
      </c>
      <c r="C299" s="20">
        <f>IF(SQRT((Coordenadas!$C$48-Coordenadas!$C$193)^2+(Coordenadas!$D$48-Coordenadas!$D$193)^2)&lt;=LEEME!$B$20,EXP(-LEEME!$B$19*SQRT((Coordenadas!$C$48-Coordenadas!$C$193)^2+(Coordenadas!$D$48-Coordenadas!$D$193)^2)),0)</f>
        <v>0.38765410847170967</v>
      </c>
    </row>
    <row r="300" spans="1:3">
      <c r="A300" t="s">
        <v>94</v>
      </c>
      <c r="B300" t="s">
        <v>299</v>
      </c>
      <c r="C300" s="20">
        <f>IF(SQRT((Coordenadas!$C$48-Coordenadas!$C$194)^2+(Coordenadas!$D$48-Coordenadas!$D$194)^2)&lt;=LEEME!$B$20,EXP(-LEEME!$B$19*SQRT((Coordenadas!$C$48-Coordenadas!$C$194)^2+(Coordenadas!$D$48-Coordenadas!$D$194)^2)),0)</f>
        <v>0.41598264536418517</v>
      </c>
    </row>
    <row r="301" spans="1:3">
      <c r="A301" t="s">
        <v>94</v>
      </c>
      <c r="B301" t="s">
        <v>303</v>
      </c>
      <c r="C301" s="20">
        <f>IF(SQRT((Coordenadas!$C$48-Coordenadas!$C$198)^2+(Coordenadas!$D$48-Coordenadas!$D$198)^2)&lt;=LEEME!$B$20,EXP(-LEEME!$B$19*SQRT((Coordenadas!$C$48-Coordenadas!$C$198)^2+(Coordenadas!$D$48-Coordenadas!$D$198)^2)),0)</f>
        <v>0.43355647647898943</v>
      </c>
    </row>
    <row r="302" spans="1:3">
      <c r="A302" t="s">
        <v>94</v>
      </c>
      <c r="B302" t="s">
        <v>305</v>
      </c>
      <c r="C302" s="20">
        <f>IF(SQRT((Coordenadas!$C$48-Coordenadas!$C$200)^2+(Coordenadas!$D$48-Coordenadas!$D$200)^2)&lt;=LEEME!$B$20,EXP(-LEEME!$B$19*SQRT((Coordenadas!$C$48-Coordenadas!$C$200)^2+(Coordenadas!$D$48-Coordenadas!$D$200)^2)),0)</f>
        <v>0.3996867547251105</v>
      </c>
    </row>
    <row r="303" spans="1:3">
      <c r="A303" t="s">
        <v>95</v>
      </c>
      <c r="B303" t="s">
        <v>297</v>
      </c>
      <c r="C303" s="20">
        <f>IF(SQRT((Coordenadas!$C$49-Coordenadas!$C$192)^2+(Coordenadas!$D$49-Coordenadas!$D$192)^2)&lt;=LEEME!$B$20,EXP(-LEEME!$B$19*SQRT((Coordenadas!$C$49-Coordenadas!$C$192)^2+(Coordenadas!$D$49-Coordenadas!$D$192)^2)),0)</f>
        <v>0.74672250857303657</v>
      </c>
    </row>
    <row r="304" spans="1:3">
      <c r="A304" t="s">
        <v>95</v>
      </c>
      <c r="B304" t="s">
        <v>299</v>
      </c>
      <c r="C304" s="20">
        <f>IF(SQRT((Coordenadas!$C$49-Coordenadas!$C$194)^2+(Coordenadas!$D$49-Coordenadas!$D$194)^2)&lt;=LEEME!$B$20,EXP(-LEEME!$B$19*SQRT((Coordenadas!$C$49-Coordenadas!$C$194)^2+(Coordenadas!$D$49-Coordenadas!$D$194)^2)),0)</f>
        <v>0.45928212253657552</v>
      </c>
    </row>
    <row r="305" spans="1:3">
      <c r="A305" t="s">
        <v>95</v>
      </c>
      <c r="B305" t="s">
        <v>302</v>
      </c>
      <c r="C305" s="20">
        <f>IF(SQRT((Coordenadas!$C$49-Coordenadas!$C$197)^2+(Coordenadas!$D$49-Coordenadas!$D$197)^2)&lt;=LEEME!$B$20,EXP(-LEEME!$B$19*SQRT((Coordenadas!$C$49-Coordenadas!$C$197)^2+(Coordenadas!$D$49-Coordenadas!$D$197)^2)),0)</f>
        <v>0.49671836099367866</v>
      </c>
    </row>
    <row r="306" spans="1:3">
      <c r="A306" t="s">
        <v>95</v>
      </c>
      <c r="B306" t="s">
        <v>304</v>
      </c>
      <c r="C306" s="20">
        <f>IF(SQRT((Coordenadas!$C$49-Coordenadas!$C$199)^2+(Coordenadas!$D$49-Coordenadas!$D$199)^2)&lt;=LEEME!$B$20,EXP(-LEEME!$B$19*SQRT((Coordenadas!$C$49-Coordenadas!$C$199)^2+(Coordenadas!$D$49-Coordenadas!$D$199)^2)),0)</f>
        <v>0.53894466352324699</v>
      </c>
    </row>
    <row r="307" spans="1:3">
      <c r="A307" t="s">
        <v>95</v>
      </c>
      <c r="B307" t="s">
        <v>306</v>
      </c>
      <c r="C307" s="20">
        <f>IF(SQRT((Coordenadas!$C$49-Coordenadas!$C$201)^2+(Coordenadas!$D$49-Coordenadas!$D$201)^2)&lt;=LEEME!$B$20,EXP(-LEEME!$B$19*SQRT((Coordenadas!$C$49-Coordenadas!$C$201)^2+(Coordenadas!$D$49-Coordenadas!$D$201)^2)),0)</f>
        <v>0.38390769922298551</v>
      </c>
    </row>
    <row r="308" spans="1:3">
      <c r="A308" t="s">
        <v>95</v>
      </c>
      <c r="B308" t="s">
        <v>308</v>
      </c>
      <c r="C308" s="20">
        <f>IF(SQRT((Coordenadas!$C$49-Coordenadas!$C$203)^2+(Coordenadas!$D$49-Coordenadas!$D$203)^2)&lt;=LEEME!$B$20,EXP(-LEEME!$B$19*SQRT((Coordenadas!$C$49-Coordenadas!$C$203)^2+(Coordenadas!$D$49-Coordenadas!$D$203)^2)),0)</f>
        <v>0.39882250306522021</v>
      </c>
    </row>
    <row r="309" spans="1:3">
      <c r="A309" t="s">
        <v>96</v>
      </c>
      <c r="B309" t="s">
        <v>278</v>
      </c>
      <c r="C309" s="20">
        <f>IF(SQRT((Coordenadas!$C$50-Coordenadas!$C$173)^2+(Coordenadas!$D$50-Coordenadas!$D$173)^2)&lt;=LEEME!$B$20,EXP(-LEEME!$B$19*SQRT((Coordenadas!$C$50-Coordenadas!$C$173)^2+(Coordenadas!$D$50-Coordenadas!$D$173)^2)),0)</f>
        <v>0.39455371037160109</v>
      </c>
    </row>
    <row r="310" spans="1:3">
      <c r="A310" t="s">
        <v>96</v>
      </c>
      <c r="B310" t="s">
        <v>280</v>
      </c>
      <c r="C310" s="20">
        <f>IF(SQRT((Coordenadas!$C$50-Coordenadas!$C$175)^2+(Coordenadas!$D$50-Coordenadas!$D$175)^2)&lt;=LEEME!$B$20,EXP(-LEEME!$B$19*SQRT((Coordenadas!$C$50-Coordenadas!$C$175)^2+(Coordenadas!$D$50-Coordenadas!$D$175)^2)),0)</f>
        <v>0.41021790847017664</v>
      </c>
    </row>
    <row r="311" spans="1:3">
      <c r="A311" t="s">
        <v>96</v>
      </c>
      <c r="B311" t="s">
        <v>290</v>
      </c>
      <c r="C311" s="20">
        <f>IF(SQRT((Coordenadas!$C$50-Coordenadas!$C$185)^2+(Coordenadas!$D$50-Coordenadas!$D$185)^2)&lt;=LEEME!$B$20,EXP(-LEEME!$B$19*SQRT((Coordenadas!$C$50-Coordenadas!$C$185)^2+(Coordenadas!$D$50-Coordenadas!$D$185)^2)),0)</f>
        <v>0.50079611536728064</v>
      </c>
    </row>
    <row r="312" spans="1:3">
      <c r="A312" t="s">
        <v>96</v>
      </c>
      <c r="B312" t="s">
        <v>291</v>
      </c>
      <c r="C312" s="20">
        <f>IF(SQRT((Coordenadas!$C$50-Coordenadas!$C$186)^2+(Coordenadas!$D$50-Coordenadas!$D$186)^2)&lt;=LEEME!$B$20,EXP(-LEEME!$B$19*SQRT((Coordenadas!$C$50-Coordenadas!$C$186)^2+(Coordenadas!$D$50-Coordenadas!$D$186)^2)),0)</f>
        <v>0.83975718705128855</v>
      </c>
    </row>
    <row r="313" spans="1:3">
      <c r="A313" t="s">
        <v>96</v>
      </c>
      <c r="B313" t="s">
        <v>296</v>
      </c>
      <c r="C313" s="20">
        <f>IF(SQRT((Coordenadas!$C$50-Coordenadas!$C$191)^2+(Coordenadas!$D$50-Coordenadas!$D$191)^2)&lt;=LEEME!$B$20,EXP(-LEEME!$B$19*SQRT((Coordenadas!$C$50-Coordenadas!$C$191)^2+(Coordenadas!$D$50-Coordenadas!$D$191)^2)),0)</f>
        <v>0.66032039195875381</v>
      </c>
    </row>
    <row r="314" spans="1:3">
      <c r="A314" t="s">
        <v>96</v>
      </c>
      <c r="B314" t="s">
        <v>299</v>
      </c>
      <c r="C314" s="20">
        <f>IF(SQRT((Coordenadas!$C$50-Coordenadas!$C$194)^2+(Coordenadas!$D$50-Coordenadas!$D$194)^2)&lt;=LEEME!$B$20,EXP(-LEEME!$B$19*SQRT((Coordenadas!$C$50-Coordenadas!$C$194)^2+(Coordenadas!$D$50-Coordenadas!$D$194)^2)),0)</f>
        <v>0.43810223847406304</v>
      </c>
    </row>
    <row r="315" spans="1:3">
      <c r="A315" t="s">
        <v>97</v>
      </c>
      <c r="B315" t="s">
        <v>290</v>
      </c>
      <c r="C315" s="20">
        <f>IF(SQRT((Coordenadas!$C$51-Coordenadas!$C$185)^2+(Coordenadas!$D$51-Coordenadas!$D$185)^2)&lt;=LEEME!$B$20,EXP(-LEEME!$B$19*SQRT((Coordenadas!$C$51-Coordenadas!$C$185)^2+(Coordenadas!$D$51-Coordenadas!$D$185)^2)),0)</f>
        <v>0.48404919133714464</v>
      </c>
    </row>
    <row r="316" spans="1:3">
      <c r="A316" t="s">
        <v>97</v>
      </c>
      <c r="B316" t="s">
        <v>291</v>
      </c>
      <c r="C316" s="20">
        <f>IF(SQRT((Coordenadas!$C$51-Coordenadas!$C$186)^2+(Coordenadas!$D$51-Coordenadas!$D$186)^2)&lt;=LEEME!$B$20,EXP(-LEEME!$B$19*SQRT((Coordenadas!$C$51-Coordenadas!$C$186)^2+(Coordenadas!$D$51-Coordenadas!$D$186)^2)),0)</f>
        <v>0.70834869958778568</v>
      </c>
    </row>
    <row r="317" spans="1:3">
      <c r="A317" t="s">
        <v>97</v>
      </c>
      <c r="B317" t="s">
        <v>296</v>
      </c>
      <c r="C317" s="20">
        <f>IF(SQRT((Coordenadas!$C$51-Coordenadas!$C$191)^2+(Coordenadas!$D$51-Coordenadas!$D$191)^2)&lt;=LEEME!$B$20,EXP(-LEEME!$B$19*SQRT((Coordenadas!$C$51-Coordenadas!$C$191)^2+(Coordenadas!$D$51-Coordenadas!$D$191)^2)),0)</f>
        <v>0.86435320003897687</v>
      </c>
    </row>
    <row r="318" spans="1:3">
      <c r="A318" t="s">
        <v>97</v>
      </c>
      <c r="B318" t="s">
        <v>299</v>
      </c>
      <c r="C318" s="20">
        <f>IF(SQRT((Coordenadas!$C$51-Coordenadas!$C$194)^2+(Coordenadas!$D$51-Coordenadas!$D$194)^2)&lt;=LEEME!$B$20,EXP(-LEEME!$B$19*SQRT((Coordenadas!$C$51-Coordenadas!$C$194)^2+(Coordenadas!$D$51-Coordenadas!$D$194)^2)),0)</f>
        <v>0.53102326504357267</v>
      </c>
    </row>
    <row r="319" spans="1:3">
      <c r="A319" t="s">
        <v>97</v>
      </c>
      <c r="B319" t="s">
        <v>303</v>
      </c>
      <c r="C319" s="20">
        <f>IF(SQRT((Coordenadas!$C$51-Coordenadas!$C$198)^2+(Coordenadas!$D$51-Coordenadas!$D$198)^2)&lt;=LEEME!$B$20,EXP(-LEEME!$B$19*SQRT((Coordenadas!$C$51-Coordenadas!$C$198)^2+(Coordenadas!$D$51-Coordenadas!$D$198)^2)),0)</f>
        <v>0.42276883866796883</v>
      </c>
    </row>
    <row r="320" spans="1:3">
      <c r="A320" t="s">
        <v>97</v>
      </c>
      <c r="B320" t="s">
        <v>305</v>
      </c>
      <c r="C320" s="20">
        <f>IF(SQRT((Coordenadas!$C$51-Coordenadas!$C$200)^2+(Coordenadas!$D$51-Coordenadas!$D$200)^2)&lt;=LEEME!$B$20,EXP(-LEEME!$B$19*SQRT((Coordenadas!$C$51-Coordenadas!$C$200)^2+(Coordenadas!$D$51-Coordenadas!$D$200)^2)),0)</f>
        <v>0.39149731341730909</v>
      </c>
    </row>
    <row r="321" spans="1:3">
      <c r="A321" t="s">
        <v>98</v>
      </c>
      <c r="B321" t="s">
        <v>275</v>
      </c>
      <c r="C321" s="20">
        <f>IF(SQRT((Coordenadas!$C$52-Coordenadas!$C$170)^2+(Coordenadas!$D$52-Coordenadas!$D$170)^2)&lt;=LEEME!$B$20,EXP(-LEEME!$B$19*SQRT((Coordenadas!$C$52-Coordenadas!$C$170)^2+(Coordenadas!$D$52-Coordenadas!$D$170)^2)),0)</f>
        <v>0.47276057471081273</v>
      </c>
    </row>
    <row r="322" spans="1:3">
      <c r="A322" t="s">
        <v>98</v>
      </c>
      <c r="B322" t="s">
        <v>277</v>
      </c>
      <c r="C322" s="20">
        <f>IF(SQRT((Coordenadas!$C$52-Coordenadas!$C$172)^2+(Coordenadas!$D$52-Coordenadas!$D$172)^2)&lt;=LEEME!$B$20,EXP(-LEEME!$B$19*SQRT((Coordenadas!$C$52-Coordenadas!$C$172)^2+(Coordenadas!$D$52-Coordenadas!$D$172)^2)),0)</f>
        <v>0.75874558618415688</v>
      </c>
    </row>
    <row r="323" spans="1:3">
      <c r="A323" t="s">
        <v>98</v>
      </c>
      <c r="B323" t="s">
        <v>278</v>
      </c>
      <c r="C323" s="20">
        <f>IF(SQRT((Coordenadas!$C$52-Coordenadas!$C$173)^2+(Coordenadas!$D$52-Coordenadas!$D$173)^2)&lt;=LEEME!$B$20,EXP(-LEEME!$B$19*SQRT((Coordenadas!$C$52-Coordenadas!$C$173)^2+(Coordenadas!$D$52-Coordenadas!$D$173)^2)),0)</f>
        <v>0.62693983418123345</v>
      </c>
    </row>
    <row r="324" spans="1:3">
      <c r="A324" t="s">
        <v>98</v>
      </c>
      <c r="B324" t="s">
        <v>280</v>
      </c>
      <c r="C324" s="20">
        <f>IF(SQRT((Coordenadas!$C$52-Coordenadas!$C$175)^2+(Coordenadas!$D$52-Coordenadas!$D$175)^2)&lt;=LEEME!$B$20,EXP(-LEEME!$B$19*SQRT((Coordenadas!$C$52-Coordenadas!$C$175)^2+(Coordenadas!$D$52-Coordenadas!$D$175)^2)),0)</f>
        <v>0.54712638539802727</v>
      </c>
    </row>
    <row r="325" spans="1:3">
      <c r="A325" t="s">
        <v>100</v>
      </c>
      <c r="B325" t="s">
        <v>271</v>
      </c>
      <c r="C325" s="20">
        <f>IF(SQRT((Coordenadas!$C$53-Coordenadas!$C$166)^2+(Coordenadas!$D$53-Coordenadas!$D$166)^2)&lt;=LEEME!$B$20,EXP(-LEEME!$B$19*SQRT((Coordenadas!$C$53-Coordenadas!$C$166)^2+(Coordenadas!$D$53-Coordenadas!$D$166)^2)),0)</f>
        <v>0.43559668117345463</v>
      </c>
    </row>
    <row r="326" spans="1:3">
      <c r="A326" t="s">
        <v>100</v>
      </c>
      <c r="B326" t="s">
        <v>274</v>
      </c>
      <c r="C326" s="20">
        <f>IF(SQRT((Coordenadas!$C$53-Coordenadas!$C$169)^2+(Coordenadas!$D$53-Coordenadas!$D$169)^2)&lt;=LEEME!$B$20,EXP(-LEEME!$B$19*SQRT((Coordenadas!$C$53-Coordenadas!$C$169)^2+(Coordenadas!$D$53-Coordenadas!$D$169)^2)),0)</f>
        <v>0.44662333024334738</v>
      </c>
    </row>
    <row r="327" spans="1:3">
      <c r="A327" t="s">
        <v>100</v>
      </c>
      <c r="B327" t="s">
        <v>275</v>
      </c>
      <c r="C327" s="20">
        <f>IF(SQRT((Coordenadas!$C$53-Coordenadas!$C$170)^2+(Coordenadas!$D$53-Coordenadas!$D$170)^2)&lt;=LEEME!$B$20,EXP(-LEEME!$B$19*SQRT((Coordenadas!$C$53-Coordenadas!$C$170)^2+(Coordenadas!$D$53-Coordenadas!$D$170)^2)),0)</f>
        <v>0.63568936701270207</v>
      </c>
    </row>
    <row r="328" spans="1:3">
      <c r="A328" t="s">
        <v>100</v>
      </c>
      <c r="B328" t="s">
        <v>276</v>
      </c>
      <c r="C328" s="20">
        <f>IF(SQRT((Coordenadas!$C$53-Coordenadas!$C$171)^2+(Coordenadas!$D$53-Coordenadas!$D$171)^2)&lt;=LEEME!$B$20,EXP(-LEEME!$B$19*SQRT((Coordenadas!$C$53-Coordenadas!$C$171)^2+(Coordenadas!$D$53-Coordenadas!$D$171)^2)),0)</f>
        <v>0.44181955800054279</v>
      </c>
    </row>
    <row r="329" spans="1:3">
      <c r="A329" t="s">
        <v>100</v>
      </c>
      <c r="B329" t="s">
        <v>277</v>
      </c>
      <c r="C329" s="20">
        <f>IF(SQRT((Coordenadas!$C$53-Coordenadas!$C$172)^2+(Coordenadas!$D$53-Coordenadas!$D$172)^2)&lt;=LEEME!$B$20,EXP(-LEEME!$B$19*SQRT((Coordenadas!$C$53-Coordenadas!$C$172)^2+(Coordenadas!$D$53-Coordenadas!$D$172)^2)),0)</f>
        <v>0.79500935671909034</v>
      </c>
    </row>
    <row r="330" spans="1:3">
      <c r="A330" t="s">
        <v>100</v>
      </c>
      <c r="B330" t="s">
        <v>278</v>
      </c>
      <c r="C330" s="20">
        <f>IF(SQRT((Coordenadas!$C$53-Coordenadas!$C$173)^2+(Coordenadas!$D$53-Coordenadas!$D$173)^2)&lt;=LEEME!$B$20,EXP(-LEEME!$B$19*SQRT((Coordenadas!$C$53-Coordenadas!$C$173)^2+(Coordenadas!$D$53-Coordenadas!$D$173)^2)),0)</f>
        <v>0.66956741631868877</v>
      </c>
    </row>
    <row r="331" spans="1:3">
      <c r="A331" t="s">
        <v>100</v>
      </c>
      <c r="B331" t="s">
        <v>280</v>
      </c>
      <c r="C331" s="20">
        <f>IF(SQRT((Coordenadas!$C$53-Coordenadas!$C$175)^2+(Coordenadas!$D$53-Coordenadas!$D$175)^2)&lt;=LEEME!$B$20,EXP(-LEEME!$B$19*SQRT((Coordenadas!$C$53-Coordenadas!$C$175)^2+(Coordenadas!$D$53-Coordenadas!$D$175)^2)),0)</f>
        <v>0.61813985852697617</v>
      </c>
    </row>
    <row r="332" spans="1:3">
      <c r="A332" t="s">
        <v>101</v>
      </c>
      <c r="B332" t="s">
        <v>271</v>
      </c>
      <c r="C332" s="20">
        <f>IF(SQRT((Coordenadas!$C$54-Coordenadas!$C$166)^2+(Coordenadas!$D$54-Coordenadas!$D$166)^2)&lt;=LEEME!$B$20,EXP(-LEEME!$B$19*SQRT((Coordenadas!$C$54-Coordenadas!$C$166)^2+(Coordenadas!$D$54-Coordenadas!$D$166)^2)),0)</f>
        <v>0.39149731341730898</v>
      </c>
    </row>
    <row r="333" spans="1:3">
      <c r="A333" t="s">
        <v>101</v>
      </c>
      <c r="B333" t="s">
        <v>274</v>
      </c>
      <c r="C333" s="20">
        <f>IF(SQRT((Coordenadas!$C$54-Coordenadas!$C$169)^2+(Coordenadas!$D$54-Coordenadas!$D$169)^2)&lt;=LEEME!$B$20,EXP(-LEEME!$B$19*SQRT((Coordenadas!$C$54-Coordenadas!$C$169)^2+(Coordenadas!$D$54-Coordenadas!$D$169)^2)),0)</f>
        <v>0.44654023317520725</v>
      </c>
    </row>
    <row r="334" spans="1:3">
      <c r="A334" t="s">
        <v>101</v>
      </c>
      <c r="B334" t="s">
        <v>275</v>
      </c>
      <c r="C334" s="20">
        <f>IF(SQRT((Coordenadas!$C$54-Coordenadas!$C$170)^2+(Coordenadas!$D$54-Coordenadas!$D$170)^2)&lt;=LEEME!$B$20,EXP(-LEEME!$B$19*SQRT((Coordenadas!$C$54-Coordenadas!$C$170)^2+(Coordenadas!$D$54-Coordenadas!$D$170)^2)),0)</f>
        <v>0.62825333770683067</v>
      </c>
    </row>
    <row r="335" spans="1:3">
      <c r="A335" t="s">
        <v>101</v>
      </c>
      <c r="B335" t="s">
        <v>276</v>
      </c>
      <c r="C335" s="20">
        <f>IF(SQRT((Coordenadas!$C$54-Coordenadas!$C$171)^2+(Coordenadas!$D$54-Coordenadas!$D$171)^2)&lt;=LEEME!$B$20,EXP(-LEEME!$B$19*SQRT((Coordenadas!$C$54-Coordenadas!$C$171)^2+(Coordenadas!$D$54-Coordenadas!$D$171)^2)),0)</f>
        <v>0.451744609307976</v>
      </c>
    </row>
    <row r="336" spans="1:3">
      <c r="A336" t="s">
        <v>101</v>
      </c>
      <c r="B336" t="s">
        <v>277</v>
      </c>
      <c r="C336" s="20">
        <f>IF(SQRT((Coordenadas!$C$54-Coordenadas!$C$172)^2+(Coordenadas!$D$54-Coordenadas!$D$172)^2)&lt;=LEEME!$B$20,EXP(-LEEME!$B$19*SQRT((Coordenadas!$C$54-Coordenadas!$C$172)^2+(Coordenadas!$D$54-Coordenadas!$D$172)^2)),0)</f>
        <v>0.8783490459473029</v>
      </c>
    </row>
    <row r="337" spans="1:3">
      <c r="A337" t="s">
        <v>101</v>
      </c>
      <c r="B337" t="s">
        <v>278</v>
      </c>
      <c r="C337" s="20">
        <f>IF(SQRT((Coordenadas!$C$54-Coordenadas!$C$173)^2+(Coordenadas!$D$54-Coordenadas!$D$173)^2)&lt;=LEEME!$B$20,EXP(-LEEME!$B$19*SQRT((Coordenadas!$C$54-Coordenadas!$C$173)^2+(Coordenadas!$D$54-Coordenadas!$D$173)^2)),0)</f>
        <v>0.78597374409053078</v>
      </c>
    </row>
    <row r="338" spans="1:3">
      <c r="A338" t="s">
        <v>101</v>
      </c>
      <c r="B338" t="s">
        <v>280</v>
      </c>
      <c r="C338" s="20">
        <f>IF(SQRT((Coordenadas!$C$54-Coordenadas!$C$175)^2+(Coordenadas!$D$54-Coordenadas!$D$175)^2)&lt;=LEEME!$B$20,EXP(-LEEME!$B$19*SQRT((Coordenadas!$C$54-Coordenadas!$C$175)^2+(Coordenadas!$D$54-Coordenadas!$D$175)^2)),0)</f>
        <v>0.73063073559410319</v>
      </c>
    </row>
    <row r="339" spans="1:3">
      <c r="A339" t="s">
        <v>102</v>
      </c>
      <c r="B339" t="s">
        <v>275</v>
      </c>
      <c r="C339" s="20">
        <f>IF(SQRT((Coordenadas!$C$55-Coordenadas!$C$170)^2+(Coordenadas!$D$55-Coordenadas!$D$170)^2)&lt;=LEEME!$B$20,EXP(-LEEME!$B$19*SQRT((Coordenadas!$C$55-Coordenadas!$C$170)^2+(Coordenadas!$D$55-Coordenadas!$D$170)^2)),0)</f>
        <v>0.45962920458825107</v>
      </c>
    </row>
    <row r="340" spans="1:3">
      <c r="A340" t="s">
        <v>102</v>
      </c>
      <c r="B340" t="s">
        <v>277</v>
      </c>
      <c r="C340" s="20">
        <f>IF(SQRT((Coordenadas!$C$55-Coordenadas!$C$172)^2+(Coordenadas!$D$55-Coordenadas!$D$172)^2)&lt;=LEEME!$B$20,EXP(-LEEME!$B$19*SQRT((Coordenadas!$C$55-Coordenadas!$C$172)^2+(Coordenadas!$D$55-Coordenadas!$D$172)^2)),0)</f>
        <v>0.81464731641141452</v>
      </c>
    </row>
    <row r="341" spans="1:3">
      <c r="A341" t="s">
        <v>102</v>
      </c>
      <c r="B341" t="s">
        <v>278</v>
      </c>
      <c r="C341" s="20">
        <f>IF(SQRT((Coordenadas!$C$55-Coordenadas!$C$173)^2+(Coordenadas!$D$55-Coordenadas!$D$173)^2)&lt;=LEEME!$B$20,EXP(-LEEME!$B$19*SQRT((Coordenadas!$C$55-Coordenadas!$C$173)^2+(Coordenadas!$D$55-Coordenadas!$D$173)^2)),0)</f>
        <v>0.70478878719302229</v>
      </c>
    </row>
    <row r="342" spans="1:3">
      <c r="A342" t="s">
        <v>102</v>
      </c>
      <c r="B342" t="s">
        <v>280</v>
      </c>
      <c r="C342" s="20">
        <f>IF(SQRT((Coordenadas!$C$55-Coordenadas!$C$175)^2+(Coordenadas!$D$55-Coordenadas!$D$175)^2)&lt;=LEEME!$B$20,EXP(-LEEME!$B$19*SQRT((Coordenadas!$C$55-Coordenadas!$C$175)^2+(Coordenadas!$D$55-Coordenadas!$D$175)^2)),0)</f>
        <v>0.60866474511090585</v>
      </c>
    </row>
    <row r="343" spans="1:3">
      <c r="A343" t="s">
        <v>103</v>
      </c>
      <c r="B343" t="s">
        <v>275</v>
      </c>
      <c r="C343" s="20">
        <f>IF(SQRT((Coordenadas!$C$56-Coordenadas!$C$170)^2+(Coordenadas!$D$56-Coordenadas!$D$170)^2)&lt;=LEEME!$B$20,EXP(-LEEME!$B$19*SQRT((Coordenadas!$C$56-Coordenadas!$C$170)^2+(Coordenadas!$D$56-Coordenadas!$D$170)^2)),0)</f>
        <v>0.37308413668431156</v>
      </c>
    </row>
    <row r="344" spans="1:3">
      <c r="A344" t="s">
        <v>103</v>
      </c>
      <c r="B344" t="s">
        <v>277</v>
      </c>
      <c r="C344" s="20">
        <f>IF(SQRT((Coordenadas!$C$56-Coordenadas!$C$172)^2+(Coordenadas!$D$56-Coordenadas!$D$172)^2)&lt;=LEEME!$B$20,EXP(-LEEME!$B$19*SQRT((Coordenadas!$C$56-Coordenadas!$C$172)^2+(Coordenadas!$D$56-Coordenadas!$D$172)^2)),0)</f>
        <v>0.62901508306056553</v>
      </c>
    </row>
    <row r="345" spans="1:3">
      <c r="A345" t="s">
        <v>103</v>
      </c>
      <c r="B345" t="s">
        <v>278</v>
      </c>
      <c r="C345" s="20">
        <f>IF(SQRT((Coordenadas!$C$56-Coordenadas!$C$173)^2+(Coordenadas!$D$56-Coordenadas!$D$173)^2)&lt;=LEEME!$B$20,EXP(-LEEME!$B$19*SQRT((Coordenadas!$C$56-Coordenadas!$C$173)^2+(Coordenadas!$D$56-Coordenadas!$D$173)^2)),0)</f>
        <v>0.70635674405651061</v>
      </c>
    </row>
    <row r="346" spans="1:3">
      <c r="A346" t="s">
        <v>103</v>
      </c>
      <c r="B346" t="s">
        <v>280</v>
      </c>
      <c r="C346" s="20">
        <f>IF(SQRT((Coordenadas!$C$56-Coordenadas!$C$175)^2+(Coordenadas!$D$56-Coordenadas!$D$175)^2)&lt;=LEEME!$B$20,EXP(-LEEME!$B$19*SQRT((Coordenadas!$C$56-Coordenadas!$C$175)^2+(Coordenadas!$D$56-Coordenadas!$D$175)^2)),0)</f>
        <v>0.65467562723990813</v>
      </c>
    </row>
    <row r="347" spans="1:3">
      <c r="A347" t="s">
        <v>103</v>
      </c>
      <c r="B347" t="s">
        <v>291</v>
      </c>
      <c r="C347" s="20">
        <f>IF(SQRT((Coordenadas!$C$56-Coordenadas!$C$186)^2+(Coordenadas!$D$56-Coordenadas!$D$186)^2)&lt;=LEEME!$B$20,EXP(-LEEME!$B$19*SQRT((Coordenadas!$C$56-Coordenadas!$C$186)^2+(Coordenadas!$D$56-Coordenadas!$D$186)^2)),0)</f>
        <v>0.47742040241447259</v>
      </c>
    </row>
    <row r="348" spans="1:3">
      <c r="A348" t="s">
        <v>104</v>
      </c>
      <c r="B348" t="s">
        <v>275</v>
      </c>
      <c r="C348" s="20">
        <f>IF(SQRT((Coordenadas!$C$57-Coordenadas!$C$170)^2+(Coordenadas!$D$57-Coordenadas!$D$170)^2)&lt;=LEEME!$B$20,EXP(-LEEME!$B$19*SQRT((Coordenadas!$C$57-Coordenadas!$C$170)^2+(Coordenadas!$D$57-Coordenadas!$D$170)^2)),0)</f>
        <v>0.42500980784318776</v>
      </c>
    </row>
    <row r="349" spans="1:3">
      <c r="A349" t="s">
        <v>104</v>
      </c>
      <c r="B349" t="s">
        <v>277</v>
      </c>
      <c r="C349" s="20">
        <f>IF(SQRT((Coordenadas!$C$57-Coordenadas!$C$172)^2+(Coordenadas!$D$57-Coordenadas!$D$172)^2)&lt;=LEEME!$B$20,EXP(-LEEME!$B$19*SQRT((Coordenadas!$C$57-Coordenadas!$C$172)^2+(Coordenadas!$D$57-Coordenadas!$D$172)^2)),0)</f>
        <v>0.768623560650874</v>
      </c>
    </row>
    <row r="350" spans="1:3">
      <c r="A350" t="s">
        <v>104</v>
      </c>
      <c r="B350" t="s">
        <v>278</v>
      </c>
      <c r="C350" s="20">
        <f>IF(SQRT((Coordenadas!$C$57-Coordenadas!$C$173)^2+(Coordenadas!$D$57-Coordenadas!$D$173)^2)&lt;=LEEME!$B$20,EXP(-LEEME!$B$19*SQRT((Coordenadas!$C$57-Coordenadas!$C$173)^2+(Coordenadas!$D$57-Coordenadas!$D$173)^2)),0)</f>
        <v>0.74054063927880798</v>
      </c>
    </row>
    <row r="351" spans="1:3">
      <c r="A351" t="s">
        <v>104</v>
      </c>
      <c r="B351" t="s">
        <v>280</v>
      </c>
      <c r="C351" s="20">
        <f>IF(SQRT((Coordenadas!$C$57-Coordenadas!$C$175)^2+(Coordenadas!$D$57-Coordenadas!$D$175)^2)&lt;=LEEME!$B$20,EXP(-LEEME!$B$19*SQRT((Coordenadas!$C$57-Coordenadas!$C$175)^2+(Coordenadas!$D$57-Coordenadas!$D$175)^2)),0)</f>
        <v>0.64096833405618037</v>
      </c>
    </row>
    <row r="352" spans="1:3">
      <c r="A352" t="s">
        <v>105</v>
      </c>
      <c r="B352" t="s">
        <v>274</v>
      </c>
      <c r="C352" s="20">
        <f>IF(SQRT((Coordenadas!$C$58-Coordenadas!$C$169)^2+(Coordenadas!$D$58-Coordenadas!$D$169)^2)&lt;=LEEME!$B$20,EXP(-LEEME!$B$19*SQRT((Coordenadas!$C$58-Coordenadas!$C$169)^2+(Coordenadas!$D$58-Coordenadas!$D$169)^2)),0)</f>
        <v>0.37286668429940895</v>
      </c>
    </row>
    <row r="353" spans="1:3">
      <c r="A353" t="s">
        <v>105</v>
      </c>
      <c r="B353" t="s">
        <v>275</v>
      </c>
      <c r="C353" s="20">
        <f>IF(SQRT((Coordenadas!$C$58-Coordenadas!$C$170)^2+(Coordenadas!$D$58-Coordenadas!$D$170)^2)&lt;=LEEME!$B$20,EXP(-LEEME!$B$19*SQRT((Coordenadas!$C$58-Coordenadas!$C$170)^2+(Coordenadas!$D$58-Coordenadas!$D$170)^2)),0)</f>
        <v>0.49955073824786644</v>
      </c>
    </row>
    <row r="354" spans="1:3">
      <c r="A354" t="s">
        <v>105</v>
      </c>
      <c r="B354" t="s">
        <v>276</v>
      </c>
      <c r="C354" s="20">
        <f>IF(SQRT((Coordenadas!$C$58-Coordenadas!$C$171)^2+(Coordenadas!$D$58-Coordenadas!$D$171)^2)&lt;=LEEME!$B$20,EXP(-LEEME!$B$19*SQRT((Coordenadas!$C$58-Coordenadas!$C$171)^2+(Coordenadas!$D$58-Coordenadas!$D$171)^2)),0)</f>
        <v>0.38944717674951879</v>
      </c>
    </row>
    <row r="355" spans="1:3">
      <c r="A355" t="s">
        <v>105</v>
      </c>
      <c r="B355" t="s">
        <v>277</v>
      </c>
      <c r="C355" s="20">
        <f>IF(SQRT((Coordenadas!$C$58-Coordenadas!$C$172)^2+(Coordenadas!$D$58-Coordenadas!$D$172)^2)&lt;=LEEME!$B$20,EXP(-LEEME!$B$19*SQRT((Coordenadas!$C$58-Coordenadas!$C$172)^2+(Coordenadas!$D$58-Coordenadas!$D$172)^2)),0)</f>
        <v>0.76040285140787534</v>
      </c>
    </row>
    <row r="356" spans="1:3">
      <c r="A356" t="s">
        <v>105</v>
      </c>
      <c r="B356" t="s">
        <v>278</v>
      </c>
      <c r="C356" s="20">
        <f>IF(SQRT((Coordenadas!$C$58-Coordenadas!$C$173)^2+(Coordenadas!$D$58-Coordenadas!$D$173)^2)&lt;=LEEME!$B$20,EXP(-LEEME!$B$19*SQRT((Coordenadas!$C$58-Coordenadas!$C$173)^2+(Coordenadas!$D$58-Coordenadas!$D$173)^2)),0)</f>
        <v>0.92758904669384179</v>
      </c>
    </row>
    <row r="357" spans="1:3">
      <c r="A357" t="s">
        <v>105</v>
      </c>
      <c r="B357" t="s">
        <v>280</v>
      </c>
      <c r="C357" s="20">
        <f>IF(SQRT((Coordenadas!$C$58-Coordenadas!$C$175)^2+(Coordenadas!$D$58-Coordenadas!$D$175)^2)&lt;=LEEME!$B$20,EXP(-LEEME!$B$19*SQRT((Coordenadas!$C$58-Coordenadas!$C$175)^2+(Coordenadas!$D$58-Coordenadas!$D$175)^2)),0)</f>
        <v>0.87171276944128417</v>
      </c>
    </row>
    <row r="358" spans="1:3">
      <c r="A358" t="s">
        <v>105</v>
      </c>
      <c r="B358" t="s">
        <v>291</v>
      </c>
      <c r="C358" s="20">
        <f>IF(SQRT((Coordenadas!$C$58-Coordenadas!$C$186)^2+(Coordenadas!$D$58-Coordenadas!$D$186)^2)&lt;=LEEME!$B$20,EXP(-LEEME!$B$19*SQRT((Coordenadas!$C$58-Coordenadas!$C$186)^2+(Coordenadas!$D$58-Coordenadas!$D$186)^2)),0)</f>
        <v>0.43538058355604847</v>
      </c>
    </row>
    <row r="359" spans="1:3">
      <c r="A359" t="s">
        <v>106</v>
      </c>
      <c r="B359" t="s">
        <v>275</v>
      </c>
      <c r="C359" s="20">
        <f>IF(SQRT((Coordenadas!$C$59-Coordenadas!$C$170)^2+(Coordenadas!$D$59-Coordenadas!$D$170)^2)&lt;=LEEME!$B$20,EXP(-LEEME!$B$19*SQRT((Coordenadas!$C$59-Coordenadas!$C$170)^2+(Coordenadas!$D$59-Coordenadas!$D$170)^2)),0)</f>
        <v>0.40681827937305348</v>
      </c>
    </row>
    <row r="360" spans="1:3">
      <c r="A360" t="s">
        <v>106</v>
      </c>
      <c r="B360" t="s">
        <v>277</v>
      </c>
      <c r="C360" s="20">
        <f>IF(SQRT((Coordenadas!$C$59-Coordenadas!$C$172)^2+(Coordenadas!$D$59-Coordenadas!$D$172)^2)&lt;=LEEME!$B$20,EXP(-LEEME!$B$19*SQRT((Coordenadas!$C$59-Coordenadas!$C$172)^2+(Coordenadas!$D$59-Coordenadas!$D$172)^2)),0)</f>
        <v>0.71491152593828933</v>
      </c>
    </row>
    <row r="361" spans="1:3">
      <c r="A361" t="s">
        <v>106</v>
      </c>
      <c r="B361" t="s">
        <v>278</v>
      </c>
      <c r="C361" s="20">
        <f>IF(SQRT((Coordenadas!$C$59-Coordenadas!$C$173)^2+(Coordenadas!$D$59-Coordenadas!$D$173)^2)&lt;=LEEME!$B$20,EXP(-LEEME!$B$19*SQRT((Coordenadas!$C$59-Coordenadas!$C$173)^2+(Coordenadas!$D$59-Coordenadas!$D$173)^2)),0)</f>
        <v>0.75598630759459162</v>
      </c>
    </row>
    <row r="362" spans="1:3">
      <c r="A362" t="s">
        <v>106</v>
      </c>
      <c r="B362" t="s">
        <v>280</v>
      </c>
      <c r="C362" s="20">
        <f>IF(SQRT((Coordenadas!$C$59-Coordenadas!$C$175)^2+(Coordenadas!$D$59-Coordenadas!$D$175)^2)&lt;=LEEME!$B$20,EXP(-LEEME!$B$19*SQRT((Coordenadas!$C$59-Coordenadas!$C$175)^2+(Coordenadas!$D$59-Coordenadas!$D$175)^2)),0)</f>
        <v>0.67011068548508645</v>
      </c>
    </row>
    <row r="363" spans="1:3">
      <c r="A363" t="s">
        <v>106</v>
      </c>
      <c r="B363" t="s">
        <v>291</v>
      </c>
      <c r="C363" s="20">
        <f>IF(SQRT((Coordenadas!$C$59-Coordenadas!$C$186)^2+(Coordenadas!$D$59-Coordenadas!$D$186)^2)&lt;=LEEME!$B$20,EXP(-LEEME!$B$19*SQRT((Coordenadas!$C$59-Coordenadas!$C$186)^2+(Coordenadas!$D$59-Coordenadas!$D$186)^2)),0)</f>
        <v>0.41317523570486175</v>
      </c>
    </row>
    <row r="364" spans="1:3">
      <c r="A364" t="s">
        <v>107</v>
      </c>
      <c r="B364" t="s">
        <v>271</v>
      </c>
      <c r="C364" s="20">
        <f>IF(SQRT((Coordenadas!$C$60-Coordenadas!$C$166)^2+(Coordenadas!$D$60-Coordenadas!$D$166)^2)&lt;=LEEME!$B$20,EXP(-LEEME!$B$19*SQRT((Coordenadas!$C$60-Coordenadas!$C$166)^2+(Coordenadas!$D$60-Coordenadas!$D$166)^2)),0)</f>
        <v>0.40546605609929692</v>
      </c>
    </row>
    <row r="365" spans="1:3">
      <c r="A365" t="s">
        <v>107</v>
      </c>
      <c r="B365" t="s">
        <v>272</v>
      </c>
      <c r="C365" s="20">
        <f>IF(SQRT((Coordenadas!$C$60-Coordenadas!$C$167)^2+(Coordenadas!$D$60-Coordenadas!$D$167)^2)&lt;=LEEME!$B$20,EXP(-LEEME!$B$19*SQRT((Coordenadas!$C$60-Coordenadas!$C$167)^2+(Coordenadas!$D$60-Coordenadas!$D$167)^2)),0)</f>
        <v>0.44615290430172777</v>
      </c>
    </row>
    <row r="366" spans="1:3">
      <c r="A366" t="s">
        <v>107</v>
      </c>
      <c r="B366" t="s">
        <v>273</v>
      </c>
      <c r="C366" s="20">
        <f>IF(SQRT((Coordenadas!$C$60-Coordenadas!$C$168)^2+(Coordenadas!$D$60-Coordenadas!$D$168)^2)&lt;=LEEME!$B$20,EXP(-LEEME!$B$19*SQRT((Coordenadas!$C$60-Coordenadas!$C$168)^2+(Coordenadas!$D$60-Coordenadas!$D$168)^2)),0)</f>
        <v>0.64066233635260883</v>
      </c>
    </row>
    <row r="367" spans="1:3">
      <c r="A367" t="s">
        <v>107</v>
      </c>
      <c r="B367" t="s">
        <v>274</v>
      </c>
      <c r="C367" s="20">
        <f>IF(SQRT((Coordenadas!$C$60-Coordenadas!$C$169)^2+(Coordenadas!$D$60-Coordenadas!$D$169)^2)&lt;=LEEME!$B$20,EXP(-LEEME!$B$19*SQRT((Coordenadas!$C$60-Coordenadas!$C$169)^2+(Coordenadas!$D$60-Coordenadas!$D$169)^2)),0)</f>
        <v>0.70597616183084</v>
      </c>
    </row>
    <row r="368" spans="1:3">
      <c r="A368" t="s">
        <v>107</v>
      </c>
      <c r="B368" t="s">
        <v>275</v>
      </c>
      <c r="C368" s="20">
        <f>IF(SQRT((Coordenadas!$C$60-Coordenadas!$C$170)^2+(Coordenadas!$D$60-Coordenadas!$D$170)^2)&lt;=LEEME!$B$20,EXP(-LEEME!$B$19*SQRT((Coordenadas!$C$60-Coordenadas!$C$170)^2+(Coordenadas!$D$60-Coordenadas!$D$170)^2)),0)</f>
        <v>0.52609099278918348</v>
      </c>
    </row>
    <row r="369" spans="1:3">
      <c r="A369" t="s">
        <v>107</v>
      </c>
      <c r="B369" t="s">
        <v>276</v>
      </c>
      <c r="C369" s="20">
        <f>IF(SQRT((Coordenadas!$C$60-Coordenadas!$C$171)^2+(Coordenadas!$D$60-Coordenadas!$D$171)^2)&lt;=LEEME!$B$20,EXP(-LEEME!$B$19*SQRT((Coordenadas!$C$60-Coordenadas!$C$171)^2+(Coordenadas!$D$60-Coordenadas!$D$171)^2)),0)</f>
        <v>0.75819686499094219</v>
      </c>
    </row>
    <row r="370" spans="1:3">
      <c r="A370" t="s">
        <v>107</v>
      </c>
      <c r="B370" t="s">
        <v>280</v>
      </c>
      <c r="C370" s="20">
        <f>IF(SQRT((Coordenadas!$C$60-Coordenadas!$C$175)^2+(Coordenadas!$D$60-Coordenadas!$D$175)^2)&lt;=LEEME!$B$20,EXP(-LEEME!$B$19*SQRT((Coordenadas!$C$60-Coordenadas!$C$175)^2+(Coordenadas!$D$60-Coordenadas!$D$175)^2)),0)</f>
        <v>0.37026302599809141</v>
      </c>
    </row>
    <row r="371" spans="1:3">
      <c r="A371" t="s">
        <v>107</v>
      </c>
      <c r="B371" t="s">
        <v>285</v>
      </c>
      <c r="C371" s="20">
        <f>IF(SQRT((Coordenadas!$C$60-Coordenadas!$C$180)^2+(Coordenadas!$D$60-Coordenadas!$D$180)^2)&lt;=LEEME!$B$20,EXP(-LEEME!$B$19*SQRT((Coordenadas!$C$60-Coordenadas!$C$180)^2+(Coordenadas!$D$60-Coordenadas!$D$180)^2)),0)</f>
        <v>0.41679057074075576</v>
      </c>
    </row>
    <row r="372" spans="1:3">
      <c r="A372" t="s">
        <v>108</v>
      </c>
      <c r="B372" t="s">
        <v>272</v>
      </c>
      <c r="C372" s="20">
        <f>IF(SQRT((Coordenadas!$C$61-Coordenadas!$C$167)^2+(Coordenadas!$D$61-Coordenadas!$D$167)^2)&lt;=LEEME!$B$20,EXP(-LEEME!$B$19*SQRT((Coordenadas!$C$61-Coordenadas!$C$167)^2+(Coordenadas!$D$61-Coordenadas!$D$167)^2)),0)</f>
        <v>0.52659330281064931</v>
      </c>
    </row>
    <row r="373" spans="1:3">
      <c r="A373" t="s">
        <v>108</v>
      </c>
      <c r="B373" t="s">
        <v>273</v>
      </c>
      <c r="C373" s="20">
        <f>IF(SQRT((Coordenadas!$C$61-Coordenadas!$C$168)^2+(Coordenadas!$D$61-Coordenadas!$D$168)^2)&lt;=LEEME!$B$20,EXP(-LEEME!$B$19*SQRT((Coordenadas!$C$61-Coordenadas!$C$168)^2+(Coordenadas!$D$61-Coordenadas!$D$168)^2)),0)</f>
        <v>0.55977773422183685</v>
      </c>
    </row>
    <row r="374" spans="1:3">
      <c r="A374" t="s">
        <v>108</v>
      </c>
      <c r="B374" t="s">
        <v>274</v>
      </c>
      <c r="C374" s="20">
        <f>IF(SQRT((Coordenadas!$C$61-Coordenadas!$C$169)^2+(Coordenadas!$D$61-Coordenadas!$D$169)^2)&lt;=LEEME!$B$20,EXP(-LEEME!$B$19*SQRT((Coordenadas!$C$61-Coordenadas!$C$169)^2+(Coordenadas!$D$61-Coordenadas!$D$169)^2)),0)</f>
        <v>0.52968527724847458</v>
      </c>
    </row>
    <row r="375" spans="1:3">
      <c r="A375" t="s">
        <v>108</v>
      </c>
      <c r="B375" t="s">
        <v>275</v>
      </c>
      <c r="C375" s="20">
        <f>IF(SQRT((Coordenadas!$C$61-Coordenadas!$C$170)^2+(Coordenadas!$D$61-Coordenadas!$D$170)^2)&lt;=LEEME!$B$20,EXP(-LEEME!$B$19*SQRT((Coordenadas!$C$61-Coordenadas!$C$170)^2+(Coordenadas!$D$61-Coordenadas!$D$170)^2)),0)</f>
        <v>0.38145756194503155</v>
      </c>
    </row>
    <row r="376" spans="1:3">
      <c r="A376" t="s">
        <v>108</v>
      </c>
      <c r="B376" t="s">
        <v>276</v>
      </c>
      <c r="C376" s="20">
        <f>IF(SQRT((Coordenadas!$C$61-Coordenadas!$C$171)^2+(Coordenadas!$D$61-Coordenadas!$D$171)^2)&lt;=LEEME!$B$20,EXP(-LEEME!$B$19*SQRT((Coordenadas!$C$61-Coordenadas!$C$171)^2+(Coordenadas!$D$61-Coordenadas!$D$171)^2)),0)</f>
        <v>0.55291111981590368</v>
      </c>
    </row>
    <row r="377" spans="1:3">
      <c r="A377" t="s">
        <v>108</v>
      </c>
      <c r="B377" t="s">
        <v>282</v>
      </c>
      <c r="C377" s="20">
        <f>IF(SQRT((Coordenadas!$C$61-Coordenadas!$C$177)^2+(Coordenadas!$D$61-Coordenadas!$D$177)^2)&lt;=LEEME!$B$20,EXP(-LEEME!$B$19*SQRT((Coordenadas!$C$61-Coordenadas!$C$177)^2+(Coordenadas!$D$61-Coordenadas!$D$177)^2)),0)</f>
        <v>0.38693958725005462</v>
      </c>
    </row>
    <row r="378" spans="1:3">
      <c r="A378" t="s">
        <v>109</v>
      </c>
      <c r="B378" t="s">
        <v>272</v>
      </c>
      <c r="C378" s="20">
        <f>IF(SQRT((Coordenadas!$C$62-Coordenadas!$C$167)^2+(Coordenadas!$D$62-Coordenadas!$D$167)^2)&lt;=LEEME!$B$20,EXP(-LEEME!$B$19*SQRT((Coordenadas!$C$62-Coordenadas!$C$167)^2+(Coordenadas!$D$62-Coordenadas!$D$167)^2)),0)</f>
        <v>0.57800150705785391</v>
      </c>
    </row>
    <row r="379" spans="1:3">
      <c r="A379" t="s">
        <v>109</v>
      </c>
      <c r="B379" t="s">
        <v>273</v>
      </c>
      <c r="C379" s="20">
        <f>IF(SQRT((Coordenadas!$C$62-Coordenadas!$C$168)^2+(Coordenadas!$D$62-Coordenadas!$D$168)^2)&lt;=LEEME!$B$20,EXP(-LEEME!$B$19*SQRT((Coordenadas!$C$62-Coordenadas!$C$168)^2+(Coordenadas!$D$62-Coordenadas!$D$168)^2)),0)</f>
        <v>0.4743443735946134</v>
      </c>
    </row>
    <row r="380" spans="1:3">
      <c r="A380" t="s">
        <v>109</v>
      </c>
      <c r="B380" t="s">
        <v>274</v>
      </c>
      <c r="C380" s="20">
        <f>IF(SQRT((Coordenadas!$C$62-Coordenadas!$C$169)^2+(Coordenadas!$D$62-Coordenadas!$D$169)^2)&lt;=LEEME!$B$20,EXP(-LEEME!$B$19*SQRT((Coordenadas!$C$62-Coordenadas!$C$169)^2+(Coordenadas!$D$62-Coordenadas!$D$169)^2)),0)</f>
        <v>0.41600636001785196</v>
      </c>
    </row>
    <row r="381" spans="1:3">
      <c r="A381" t="s">
        <v>109</v>
      </c>
      <c r="B381" t="s">
        <v>276</v>
      </c>
      <c r="C381" s="20">
        <f>IF(SQRT((Coordenadas!$C$62-Coordenadas!$C$171)^2+(Coordenadas!$D$62-Coordenadas!$D$171)^2)&lt;=LEEME!$B$20,EXP(-LEEME!$B$19*SQRT((Coordenadas!$C$62-Coordenadas!$C$171)^2+(Coordenadas!$D$62-Coordenadas!$D$171)^2)),0)</f>
        <v>0.42690646426602719</v>
      </c>
    </row>
    <row r="382" spans="1:3">
      <c r="A382" t="s">
        <v>109</v>
      </c>
      <c r="B382" t="s">
        <v>282</v>
      </c>
      <c r="C382" s="20">
        <f>IF(SQRT((Coordenadas!$C$62-Coordenadas!$C$177)^2+(Coordenadas!$D$62-Coordenadas!$D$177)^2)&lt;=LEEME!$B$20,EXP(-LEEME!$B$19*SQRT((Coordenadas!$C$62-Coordenadas!$C$177)^2+(Coordenadas!$D$62-Coordenadas!$D$177)^2)),0)</f>
        <v>0.38730671708360898</v>
      </c>
    </row>
    <row r="383" spans="1:3">
      <c r="A383" t="s">
        <v>110</v>
      </c>
      <c r="B383" t="s">
        <v>272</v>
      </c>
      <c r="C383" s="20">
        <f>IF(SQRT((Coordenadas!$C$63-Coordenadas!$C$167)^2+(Coordenadas!$D$63-Coordenadas!$D$167)^2)&lt;=LEEME!$B$20,EXP(-LEEME!$B$19*SQRT((Coordenadas!$C$63-Coordenadas!$C$167)^2+(Coordenadas!$D$63-Coordenadas!$D$167)^2)),0)</f>
        <v>0.45840601130522368</v>
      </c>
    </row>
    <row r="384" spans="1:3">
      <c r="A384" t="s">
        <v>110</v>
      </c>
      <c r="B384" t="s">
        <v>273</v>
      </c>
      <c r="C384" s="20">
        <f>IF(SQRT((Coordenadas!$C$63-Coordenadas!$C$168)^2+(Coordenadas!$D$63-Coordenadas!$D$168)^2)&lt;=LEEME!$B$20,EXP(-LEEME!$B$19*SQRT((Coordenadas!$C$63-Coordenadas!$C$168)^2+(Coordenadas!$D$63-Coordenadas!$D$168)^2)),0)</f>
        <v>0.3774585126365842</v>
      </c>
    </row>
    <row r="385" spans="1:3">
      <c r="A385" t="s">
        <v>110</v>
      </c>
      <c r="B385" t="s">
        <v>279</v>
      </c>
      <c r="C385" s="20">
        <f>IF(SQRT((Coordenadas!$C$63-Coordenadas!$C$174)^2+(Coordenadas!$D$63-Coordenadas!$D$174)^2)&lt;=LEEME!$B$20,EXP(-LEEME!$B$19*SQRT((Coordenadas!$C$63-Coordenadas!$C$174)^2+(Coordenadas!$D$63-Coordenadas!$D$174)^2)),0)</f>
        <v>0.45511267006880585</v>
      </c>
    </row>
    <row r="386" spans="1:3">
      <c r="A386" t="s">
        <v>110</v>
      </c>
      <c r="B386" t="s">
        <v>282</v>
      </c>
      <c r="C386" s="20">
        <f>IF(SQRT((Coordenadas!$C$63-Coordenadas!$C$177)^2+(Coordenadas!$D$63-Coordenadas!$D$177)^2)&lt;=LEEME!$B$20,EXP(-LEEME!$B$19*SQRT((Coordenadas!$C$63-Coordenadas!$C$177)^2+(Coordenadas!$D$63-Coordenadas!$D$177)^2)),0)</f>
        <v>0.47869160622810447</v>
      </c>
    </row>
    <row r="387" spans="1:3">
      <c r="A387" t="s">
        <v>110</v>
      </c>
      <c r="B387" t="s">
        <v>286</v>
      </c>
      <c r="C387" s="20">
        <f>IF(SQRT((Coordenadas!$C$63-Coordenadas!$C$181)^2+(Coordenadas!$D$63-Coordenadas!$D$181)^2)&lt;=LEEME!$B$20,EXP(-LEEME!$B$19*SQRT((Coordenadas!$C$63-Coordenadas!$C$181)^2+(Coordenadas!$D$63-Coordenadas!$D$181)^2)),0)</f>
        <v>0.41468866571681212</v>
      </c>
    </row>
    <row r="388" spans="1:3">
      <c r="A388" t="s">
        <v>111</v>
      </c>
      <c r="B388" t="s">
        <v>272</v>
      </c>
      <c r="C388" s="20">
        <f>IF(SQRT((Coordenadas!$C$64-Coordenadas!$C$167)^2+(Coordenadas!$D$64-Coordenadas!$D$167)^2)&lt;=LEEME!$B$20,EXP(-LEEME!$B$19*SQRT((Coordenadas!$C$64-Coordenadas!$C$167)^2+(Coordenadas!$D$64-Coordenadas!$D$167)^2)),0)</f>
        <v>0.45056139200610595</v>
      </c>
    </row>
    <row r="389" spans="1:3">
      <c r="A389" t="s">
        <v>111</v>
      </c>
      <c r="B389" t="s">
        <v>279</v>
      </c>
      <c r="C389" s="20">
        <f>IF(SQRT((Coordenadas!$C$64-Coordenadas!$C$174)^2+(Coordenadas!$D$64-Coordenadas!$D$174)^2)&lt;=LEEME!$B$20,EXP(-LEEME!$B$19*SQRT((Coordenadas!$C$64-Coordenadas!$C$174)^2+(Coordenadas!$D$64-Coordenadas!$D$174)^2)),0)</f>
        <v>0.50964730609890097</v>
      </c>
    </row>
    <row r="390" spans="1:3">
      <c r="A390" t="s">
        <v>111</v>
      </c>
      <c r="B390" t="s">
        <v>282</v>
      </c>
      <c r="C390" s="20">
        <f>IF(SQRT((Coordenadas!$C$64-Coordenadas!$C$177)^2+(Coordenadas!$D$64-Coordenadas!$D$177)^2)&lt;=LEEME!$B$20,EXP(-LEEME!$B$19*SQRT((Coordenadas!$C$64-Coordenadas!$C$177)^2+(Coordenadas!$D$64-Coordenadas!$D$177)^2)),0)</f>
        <v>0.38173978430936861</v>
      </c>
    </row>
    <row r="391" spans="1:3">
      <c r="A391" t="s">
        <v>112</v>
      </c>
      <c r="B391" t="s">
        <v>272</v>
      </c>
      <c r="C391" s="20">
        <f>IF(SQRT((Coordenadas!$C$65-Coordenadas!$C$167)^2+(Coordenadas!$D$65-Coordenadas!$D$167)^2)&lt;=LEEME!$B$20,EXP(-LEEME!$B$19*SQRT((Coordenadas!$C$65-Coordenadas!$C$167)^2+(Coordenadas!$D$65-Coordenadas!$D$167)^2)),0)</f>
        <v>0.38049034801875692</v>
      </c>
    </row>
    <row r="392" spans="1:3">
      <c r="A392" t="s">
        <v>112</v>
      </c>
      <c r="B392" t="s">
        <v>279</v>
      </c>
      <c r="C392" s="20">
        <f>IF(SQRT((Coordenadas!$C$65-Coordenadas!$C$174)^2+(Coordenadas!$D$65-Coordenadas!$D$174)^2)&lt;=LEEME!$B$20,EXP(-LEEME!$B$19*SQRT((Coordenadas!$C$65-Coordenadas!$C$174)^2+(Coordenadas!$D$65-Coordenadas!$D$174)^2)),0)</f>
        <v>0.60736636446330228</v>
      </c>
    </row>
    <row r="393" spans="1:3">
      <c r="A393" t="s">
        <v>112</v>
      </c>
      <c r="B393" t="s">
        <v>282</v>
      </c>
      <c r="C393" s="20">
        <f>IF(SQRT((Coordenadas!$C$65-Coordenadas!$C$177)^2+(Coordenadas!$D$65-Coordenadas!$D$177)^2)&lt;=LEEME!$B$20,EXP(-LEEME!$B$19*SQRT((Coordenadas!$C$65-Coordenadas!$C$177)^2+(Coordenadas!$D$65-Coordenadas!$D$177)^2)),0)</f>
        <v>0.45000409731846203</v>
      </c>
    </row>
    <row r="394" spans="1:3">
      <c r="A394" t="s">
        <v>112</v>
      </c>
      <c r="B394" t="s">
        <v>286</v>
      </c>
      <c r="C394" s="20">
        <f>IF(SQRT((Coordenadas!$C$65-Coordenadas!$C$181)^2+(Coordenadas!$D$65-Coordenadas!$D$181)^2)&lt;=LEEME!$B$20,EXP(-LEEME!$B$19*SQRT((Coordenadas!$C$65-Coordenadas!$C$181)^2+(Coordenadas!$D$65-Coordenadas!$D$181)^2)),0)</f>
        <v>0.38318726635359446</v>
      </c>
    </row>
    <row r="395" spans="1:3">
      <c r="A395" t="s">
        <v>113</v>
      </c>
      <c r="B395" t="s">
        <v>272</v>
      </c>
      <c r="C395" s="20">
        <f>IF(SQRT((Coordenadas!$C$66-Coordenadas!$C$167)^2+(Coordenadas!$D$66-Coordenadas!$D$167)^2)&lt;=LEEME!$B$20,EXP(-LEEME!$B$19*SQRT((Coordenadas!$C$66-Coordenadas!$C$167)^2+(Coordenadas!$D$66-Coordenadas!$D$167)^2)),0)</f>
        <v>0.44040480073442362</v>
      </c>
    </row>
    <row r="396" spans="1:3">
      <c r="A396" t="s">
        <v>113</v>
      </c>
      <c r="B396" t="s">
        <v>273</v>
      </c>
      <c r="C396" s="20">
        <f>IF(SQRT((Coordenadas!$C$66-Coordenadas!$C$168)^2+(Coordenadas!$D$66-Coordenadas!$D$168)^2)&lt;=LEEME!$B$20,EXP(-LEEME!$B$19*SQRT((Coordenadas!$C$66-Coordenadas!$C$168)^2+(Coordenadas!$D$66-Coordenadas!$D$168)^2)),0)</f>
        <v>0.45259916811913353</v>
      </c>
    </row>
    <row r="397" spans="1:3">
      <c r="A397" t="s">
        <v>113</v>
      </c>
      <c r="B397" t="s">
        <v>274</v>
      </c>
      <c r="C397" s="20">
        <f>IF(SQRT((Coordenadas!$C$66-Coordenadas!$C$169)^2+(Coordenadas!$D$66-Coordenadas!$D$169)^2)&lt;=LEEME!$B$20,EXP(-LEEME!$B$19*SQRT((Coordenadas!$C$66-Coordenadas!$C$169)^2+(Coordenadas!$D$66-Coordenadas!$D$169)^2)),0)</f>
        <v>0.44706015905647234</v>
      </c>
    </row>
    <row r="398" spans="1:3">
      <c r="A398" t="s">
        <v>113</v>
      </c>
      <c r="B398" t="s">
        <v>276</v>
      </c>
      <c r="C398" s="20">
        <f>IF(SQRT((Coordenadas!$C$66-Coordenadas!$C$171)^2+(Coordenadas!$D$66-Coordenadas!$D$171)^2)&lt;=LEEME!$B$20,EXP(-LEEME!$B$19*SQRT((Coordenadas!$C$66-Coordenadas!$C$171)^2+(Coordenadas!$D$66-Coordenadas!$D$171)^2)),0)</f>
        <v>0.47633366019613266</v>
      </c>
    </row>
    <row r="399" spans="1:3">
      <c r="A399" t="s">
        <v>113</v>
      </c>
      <c r="B399" t="s">
        <v>282</v>
      </c>
      <c r="C399" s="20">
        <f>IF(SQRT((Coordenadas!$C$66-Coordenadas!$C$177)^2+(Coordenadas!$D$66-Coordenadas!$D$177)^2)&lt;=LEEME!$B$20,EXP(-LEEME!$B$19*SQRT((Coordenadas!$C$66-Coordenadas!$C$177)^2+(Coordenadas!$D$66-Coordenadas!$D$177)^2)),0)</f>
        <v>0.48193374719599286</v>
      </c>
    </row>
    <row r="400" spans="1:3">
      <c r="A400" t="s">
        <v>113</v>
      </c>
      <c r="B400" t="s">
        <v>285</v>
      </c>
      <c r="C400" s="20">
        <f>IF(SQRT((Coordenadas!$C$66-Coordenadas!$C$180)^2+(Coordenadas!$D$66-Coordenadas!$D$180)^2)&lt;=LEEME!$B$20,EXP(-LEEME!$B$19*SQRT((Coordenadas!$C$66-Coordenadas!$C$180)^2+(Coordenadas!$D$66-Coordenadas!$D$180)^2)),0)</f>
        <v>0.40778756321474413</v>
      </c>
    </row>
    <row r="401" spans="1:3">
      <c r="A401" t="s">
        <v>113</v>
      </c>
      <c r="B401" t="s">
        <v>286</v>
      </c>
      <c r="C401" s="20">
        <f>IF(SQRT((Coordenadas!$C$66-Coordenadas!$C$181)^2+(Coordenadas!$D$66-Coordenadas!$D$181)^2)&lt;=LEEME!$B$20,EXP(-LEEME!$B$19*SQRT((Coordenadas!$C$66-Coordenadas!$C$181)^2+(Coordenadas!$D$66-Coordenadas!$D$181)^2)),0)</f>
        <v>0.43510589146829204</v>
      </c>
    </row>
    <row r="402" spans="1:3">
      <c r="A402" t="s">
        <v>114</v>
      </c>
      <c r="B402" t="s">
        <v>272</v>
      </c>
      <c r="C402" s="20">
        <f>IF(SQRT((Coordenadas!$C$67-Coordenadas!$C$167)^2+(Coordenadas!$D$67-Coordenadas!$D$167)^2)&lt;=LEEME!$B$20,EXP(-LEEME!$B$19*SQRT((Coordenadas!$C$67-Coordenadas!$C$167)^2+(Coordenadas!$D$67-Coordenadas!$D$167)^2)),0)</f>
        <v>0.47710585632440322</v>
      </c>
    </row>
    <row r="403" spans="1:3">
      <c r="A403" t="s">
        <v>114</v>
      </c>
      <c r="B403" t="s">
        <v>279</v>
      </c>
      <c r="C403" s="20">
        <f>IF(SQRT((Coordenadas!$C$67-Coordenadas!$C$174)^2+(Coordenadas!$D$67-Coordenadas!$D$174)^2)&lt;=LEEME!$B$20,EXP(-LEEME!$B$19*SQRT((Coordenadas!$C$67-Coordenadas!$C$174)^2+(Coordenadas!$D$67-Coordenadas!$D$174)^2)),0)</f>
        <v>0.479212096150953</v>
      </c>
    </row>
    <row r="404" spans="1:3">
      <c r="A404" t="s">
        <v>114</v>
      </c>
      <c r="B404" t="s">
        <v>282</v>
      </c>
      <c r="C404" s="20">
        <f>IF(SQRT((Coordenadas!$C$67-Coordenadas!$C$177)^2+(Coordenadas!$D$67-Coordenadas!$D$177)^2)&lt;=LEEME!$B$20,EXP(-LEEME!$B$19*SQRT((Coordenadas!$C$67-Coordenadas!$C$177)^2+(Coordenadas!$D$67-Coordenadas!$D$177)^2)),0)</f>
        <v>0.42117937020589008</v>
      </c>
    </row>
    <row r="405" spans="1:3">
      <c r="A405" t="s">
        <v>115</v>
      </c>
      <c r="B405" t="s">
        <v>270</v>
      </c>
      <c r="C405" s="20">
        <f>IF(SQRT((Coordenadas!$C$68-Coordenadas!$C$165)^2+(Coordenadas!$D$68-Coordenadas!$D$165)^2)&lt;=LEEME!$B$20,EXP(-LEEME!$B$19*SQRT((Coordenadas!$C$68-Coordenadas!$C$165)^2+(Coordenadas!$D$68-Coordenadas!$D$165)^2)),0)</f>
        <v>0.44209018207786843</v>
      </c>
    </row>
    <row r="406" spans="1:3">
      <c r="A406" t="s">
        <v>115</v>
      </c>
      <c r="B406" t="s">
        <v>271</v>
      </c>
      <c r="C406" s="20">
        <f>IF(SQRT((Coordenadas!$C$68-Coordenadas!$C$166)^2+(Coordenadas!$D$68-Coordenadas!$D$166)^2)&lt;=LEEME!$B$20,EXP(-LEEME!$B$19*SQRT((Coordenadas!$C$68-Coordenadas!$C$166)^2+(Coordenadas!$D$68-Coordenadas!$D$166)^2)),0)</f>
        <v>0.46059235127679654</v>
      </c>
    </row>
    <row r="407" spans="1:3">
      <c r="A407" t="s">
        <v>115</v>
      </c>
      <c r="B407" t="s">
        <v>272</v>
      </c>
      <c r="C407" s="20">
        <f>IF(SQRT((Coordenadas!$C$68-Coordenadas!$C$167)^2+(Coordenadas!$D$68-Coordenadas!$D$167)^2)&lt;=LEEME!$B$20,EXP(-LEEME!$B$19*SQRT((Coordenadas!$C$68-Coordenadas!$C$167)^2+(Coordenadas!$D$68-Coordenadas!$D$167)^2)),0)</f>
        <v>0.60526093983442986</v>
      </c>
    </row>
    <row r="408" spans="1:3">
      <c r="A408" t="s">
        <v>115</v>
      </c>
      <c r="B408" t="s">
        <v>273</v>
      </c>
      <c r="C408" s="20">
        <f>IF(SQRT((Coordenadas!$C$68-Coordenadas!$C$168)^2+(Coordenadas!$D$68-Coordenadas!$D$168)^2)&lt;=LEEME!$B$20,EXP(-LEEME!$B$19*SQRT((Coordenadas!$C$68-Coordenadas!$C$168)^2+(Coordenadas!$D$68-Coordenadas!$D$168)^2)),0)</f>
        <v>0.79324377466254037</v>
      </c>
    </row>
    <row r="409" spans="1:3">
      <c r="A409" t="s">
        <v>115</v>
      </c>
      <c r="B409" t="s">
        <v>274</v>
      </c>
      <c r="C409" s="20">
        <f>IF(SQRT((Coordenadas!$C$68-Coordenadas!$C$169)^2+(Coordenadas!$D$68-Coordenadas!$D$169)^2)&lt;=LEEME!$B$20,EXP(-LEEME!$B$19*SQRT((Coordenadas!$C$68-Coordenadas!$C$169)^2+(Coordenadas!$D$68-Coordenadas!$D$169)^2)),0)</f>
        <v>0.67004792191381835</v>
      </c>
    </row>
    <row r="410" spans="1:3">
      <c r="A410" t="s">
        <v>115</v>
      </c>
      <c r="B410" t="s">
        <v>275</v>
      </c>
      <c r="C410" s="20">
        <f>IF(SQRT((Coordenadas!$C$68-Coordenadas!$C$170)^2+(Coordenadas!$D$68-Coordenadas!$D$170)^2)&lt;=LEEME!$B$20,EXP(-LEEME!$B$19*SQRT((Coordenadas!$C$68-Coordenadas!$C$170)^2+(Coordenadas!$D$68-Coordenadas!$D$170)^2)),0)</f>
        <v>0.4709153047055798</v>
      </c>
    </row>
    <row r="411" spans="1:3">
      <c r="A411" t="s">
        <v>115</v>
      </c>
      <c r="B411" t="s">
        <v>276</v>
      </c>
      <c r="C411" s="20">
        <f>IF(SQRT((Coordenadas!$C$68-Coordenadas!$C$171)^2+(Coordenadas!$D$68-Coordenadas!$D$171)^2)&lt;=LEEME!$B$20,EXP(-LEEME!$B$19*SQRT((Coordenadas!$C$68-Coordenadas!$C$171)^2+(Coordenadas!$D$68-Coordenadas!$D$171)^2)),0)</f>
        <v>0.65749710534655759</v>
      </c>
    </row>
    <row r="412" spans="1:3">
      <c r="A412" t="s">
        <v>116</v>
      </c>
      <c r="B412" t="s">
        <v>272</v>
      </c>
      <c r="C412" s="20">
        <f>IF(SQRT((Coordenadas!$C$69-Coordenadas!$C$167)^2+(Coordenadas!$D$69-Coordenadas!$D$167)^2)&lt;=LEEME!$B$20,EXP(-LEEME!$B$19*SQRT((Coordenadas!$C$69-Coordenadas!$C$167)^2+(Coordenadas!$D$69-Coordenadas!$D$167)^2)),0)</f>
        <v>0.66823665955648326</v>
      </c>
    </row>
    <row r="413" spans="1:3">
      <c r="A413" t="s">
        <v>116</v>
      </c>
      <c r="B413" t="s">
        <v>273</v>
      </c>
      <c r="C413" s="20">
        <f>IF(SQRT((Coordenadas!$C$69-Coordenadas!$C$168)^2+(Coordenadas!$D$69-Coordenadas!$D$168)^2)&lt;=LEEME!$B$20,EXP(-LEEME!$B$19*SQRT((Coordenadas!$C$69-Coordenadas!$C$168)^2+(Coordenadas!$D$69-Coordenadas!$D$168)^2)),0)</f>
        <v>0.43743318676584975</v>
      </c>
    </row>
    <row r="414" spans="1:3">
      <c r="A414" t="s">
        <v>117</v>
      </c>
      <c r="B414" t="s">
        <v>270</v>
      </c>
      <c r="C414" s="20">
        <f>IF(SQRT((Coordenadas!$C$70-Coordenadas!$C$165)^2+(Coordenadas!$D$70-Coordenadas!$D$165)^2)&lt;=LEEME!$B$20,EXP(-LEEME!$B$19*SQRT((Coordenadas!$C$70-Coordenadas!$C$165)^2+(Coordenadas!$D$70-Coordenadas!$D$165)^2)),0)</f>
        <v>0.37422282844034271</v>
      </c>
    </row>
    <row r="415" spans="1:3">
      <c r="A415" t="s">
        <v>117</v>
      </c>
      <c r="B415" t="s">
        <v>272</v>
      </c>
      <c r="C415" s="20">
        <f>IF(SQRT((Coordenadas!$C$70-Coordenadas!$C$167)^2+(Coordenadas!$D$70-Coordenadas!$D$167)^2)&lt;=LEEME!$B$20,EXP(-LEEME!$B$19*SQRT((Coordenadas!$C$70-Coordenadas!$C$167)^2+(Coordenadas!$D$70-Coordenadas!$D$167)^2)),0)</f>
        <v>0.72183397340881061</v>
      </c>
    </row>
    <row r="416" spans="1:3">
      <c r="A416" t="s">
        <v>117</v>
      </c>
      <c r="B416" t="s">
        <v>273</v>
      </c>
      <c r="C416" s="20">
        <f>IF(SQRT((Coordenadas!$C$70-Coordenadas!$C$168)^2+(Coordenadas!$D$70-Coordenadas!$D$168)^2)&lt;=LEEME!$B$20,EXP(-LEEME!$B$19*SQRT((Coordenadas!$C$70-Coordenadas!$C$168)^2+(Coordenadas!$D$70-Coordenadas!$D$168)^2)),0)</f>
        <v>0.58994203534993261</v>
      </c>
    </row>
    <row r="417" spans="1:3">
      <c r="A417" t="s">
        <v>117</v>
      </c>
      <c r="B417" t="s">
        <v>274</v>
      </c>
      <c r="C417" s="20">
        <f>IF(SQRT((Coordenadas!$C$70-Coordenadas!$C$169)^2+(Coordenadas!$D$70-Coordenadas!$D$169)^2)&lt;=LEEME!$B$20,EXP(-LEEME!$B$19*SQRT((Coordenadas!$C$70-Coordenadas!$C$169)^2+(Coordenadas!$D$70-Coordenadas!$D$169)^2)),0)</f>
        <v>0.48449164597453775</v>
      </c>
    </row>
    <row r="418" spans="1:3">
      <c r="A418" t="s">
        <v>117</v>
      </c>
      <c r="B418" t="s">
        <v>276</v>
      </c>
      <c r="C418" s="20">
        <f>IF(SQRT((Coordenadas!$C$70-Coordenadas!$C$171)^2+(Coordenadas!$D$70-Coordenadas!$D$171)^2)&lt;=LEEME!$B$20,EXP(-LEEME!$B$19*SQRT((Coordenadas!$C$70-Coordenadas!$C$171)^2+(Coordenadas!$D$70-Coordenadas!$D$171)^2)),0)</f>
        <v>0.48229719810736132</v>
      </c>
    </row>
    <row r="419" spans="1:3">
      <c r="A419" t="s">
        <v>118</v>
      </c>
      <c r="B419" t="s">
        <v>272</v>
      </c>
      <c r="C419" s="20">
        <f>IF(SQRT((Coordenadas!$C$71-Coordenadas!$C$167)^2+(Coordenadas!$D$71-Coordenadas!$D$167)^2)&lt;=LEEME!$B$20,EXP(-LEEME!$B$19*SQRT((Coordenadas!$C$71-Coordenadas!$C$167)^2+(Coordenadas!$D$71-Coordenadas!$D$167)^2)),0)</f>
        <v>0.56625845624911642</v>
      </c>
    </row>
    <row r="420" spans="1:3">
      <c r="A420" t="s">
        <v>118</v>
      </c>
      <c r="B420" t="s">
        <v>279</v>
      </c>
      <c r="C420" s="20">
        <f>IF(SQRT((Coordenadas!$C$71-Coordenadas!$C$174)^2+(Coordenadas!$D$71-Coordenadas!$D$174)^2)&lt;=LEEME!$B$20,EXP(-LEEME!$B$19*SQRT((Coordenadas!$C$71-Coordenadas!$C$174)^2+(Coordenadas!$D$71-Coordenadas!$D$174)^2)),0)</f>
        <v>0.39271187074824698</v>
      </c>
    </row>
    <row r="421" spans="1:3">
      <c r="A421" t="s">
        <v>119</v>
      </c>
      <c r="B421" t="s">
        <v>270</v>
      </c>
      <c r="C421" s="20">
        <f>IF(SQRT((Coordenadas!$C$72-Coordenadas!$C$165)^2+(Coordenadas!$D$72-Coordenadas!$D$165)^2)&lt;=LEEME!$B$20,EXP(-LEEME!$B$19*SQRT((Coordenadas!$C$72-Coordenadas!$C$165)^2+(Coordenadas!$D$72-Coordenadas!$D$165)^2)),0)</f>
        <v>0.54152186839868233</v>
      </c>
    </row>
    <row r="422" spans="1:3">
      <c r="A422" t="s">
        <v>119</v>
      </c>
      <c r="B422" t="s">
        <v>271</v>
      </c>
      <c r="C422" s="20">
        <f>IF(SQRT((Coordenadas!$C$72-Coordenadas!$C$166)^2+(Coordenadas!$D$72-Coordenadas!$D$166)^2)&lt;=LEEME!$B$20,EXP(-LEEME!$B$19*SQRT((Coordenadas!$C$72-Coordenadas!$C$166)^2+(Coordenadas!$D$72-Coordenadas!$D$166)^2)),0)</f>
        <v>0.43572776447986988</v>
      </c>
    </row>
    <row r="423" spans="1:3">
      <c r="A423" t="s">
        <v>119</v>
      </c>
      <c r="B423" t="s">
        <v>272</v>
      </c>
      <c r="C423" s="20">
        <f>IF(SQRT((Coordenadas!$C$72-Coordenadas!$C$167)^2+(Coordenadas!$D$72-Coordenadas!$D$167)^2)&lt;=LEEME!$B$20,EXP(-LEEME!$B$19*SQRT((Coordenadas!$C$72-Coordenadas!$C$167)^2+(Coordenadas!$D$72-Coordenadas!$D$167)^2)),0)</f>
        <v>0.81806714918508094</v>
      </c>
    </row>
    <row r="424" spans="1:3">
      <c r="A424" t="s">
        <v>119</v>
      </c>
      <c r="B424" t="s">
        <v>273</v>
      </c>
      <c r="C424" s="20">
        <f>IF(SQRT((Coordenadas!$C$72-Coordenadas!$C$168)^2+(Coordenadas!$D$72-Coordenadas!$D$168)^2)&lt;=LEEME!$B$20,EXP(-LEEME!$B$19*SQRT((Coordenadas!$C$72-Coordenadas!$C$168)^2+(Coordenadas!$D$72-Coordenadas!$D$168)^2)),0)</f>
        <v>0.62827023379184621</v>
      </c>
    </row>
    <row r="425" spans="1:3">
      <c r="A425" t="s">
        <v>119</v>
      </c>
      <c r="B425" t="s">
        <v>274</v>
      </c>
      <c r="C425" s="20">
        <f>IF(SQRT((Coordenadas!$C$72-Coordenadas!$C$169)^2+(Coordenadas!$D$72-Coordenadas!$D$169)^2)&lt;=LEEME!$B$20,EXP(-LEEME!$B$19*SQRT((Coordenadas!$C$72-Coordenadas!$C$169)^2+(Coordenadas!$D$72-Coordenadas!$D$169)^2)),0)</f>
        <v>0.46593550328418581</v>
      </c>
    </row>
    <row r="426" spans="1:3">
      <c r="A426" t="s">
        <v>119</v>
      </c>
      <c r="B426" t="s">
        <v>276</v>
      </c>
      <c r="C426" s="20">
        <f>IF(SQRT((Coordenadas!$C$72-Coordenadas!$C$171)^2+(Coordenadas!$D$72-Coordenadas!$D$171)^2)&lt;=LEEME!$B$20,EXP(-LEEME!$B$19*SQRT((Coordenadas!$C$72-Coordenadas!$C$171)^2+(Coordenadas!$D$72-Coordenadas!$D$171)^2)),0)</f>
        <v>0.43840106015103386</v>
      </c>
    </row>
    <row r="427" spans="1:3">
      <c r="A427" t="s">
        <v>120</v>
      </c>
      <c r="B427" t="s">
        <v>270</v>
      </c>
      <c r="C427" s="20">
        <f>IF(SQRT((Coordenadas!$C$73-Coordenadas!$C$165)^2+(Coordenadas!$D$73-Coordenadas!$D$165)^2)&lt;=LEEME!$B$20,EXP(-LEEME!$B$19*SQRT((Coordenadas!$C$73-Coordenadas!$C$165)^2+(Coordenadas!$D$73-Coordenadas!$D$165)^2)),0)</f>
        <v>0.43408243497009952</v>
      </c>
    </row>
    <row r="428" spans="1:3">
      <c r="A428" t="s">
        <v>120</v>
      </c>
      <c r="B428" t="s">
        <v>272</v>
      </c>
      <c r="C428" s="20">
        <f>IF(SQRT((Coordenadas!$C$73-Coordenadas!$C$167)^2+(Coordenadas!$D$73-Coordenadas!$D$167)^2)&lt;=LEEME!$B$20,EXP(-LEEME!$B$19*SQRT((Coordenadas!$C$73-Coordenadas!$C$167)^2+(Coordenadas!$D$73-Coordenadas!$D$167)^2)),0)</f>
        <v>0.84738092453980696</v>
      </c>
    </row>
    <row r="429" spans="1:3">
      <c r="A429" t="s">
        <v>120</v>
      </c>
      <c r="B429" t="s">
        <v>273</v>
      </c>
      <c r="C429" s="20">
        <f>IF(SQRT((Coordenadas!$C$73-Coordenadas!$C$168)^2+(Coordenadas!$D$73-Coordenadas!$D$168)^2)&lt;=LEEME!$B$20,EXP(-LEEME!$B$19*SQRT((Coordenadas!$C$73-Coordenadas!$C$168)^2+(Coordenadas!$D$73-Coordenadas!$D$168)^2)),0)</f>
        <v>0.48120878848448473</v>
      </c>
    </row>
    <row r="430" spans="1:3">
      <c r="A430" t="s">
        <v>121</v>
      </c>
      <c r="B430" t="s">
        <v>272</v>
      </c>
      <c r="C430" s="20">
        <f>IF(SQRT((Coordenadas!$C$74-Coordenadas!$C$167)^2+(Coordenadas!$D$74-Coordenadas!$D$167)^2)&lt;=LEEME!$B$20,EXP(-LEEME!$B$19*SQRT((Coordenadas!$C$74-Coordenadas!$C$167)^2+(Coordenadas!$D$74-Coordenadas!$D$167)^2)),0)</f>
        <v>0.77280349051876773</v>
      </c>
    </row>
    <row r="431" spans="1:3">
      <c r="A431" t="s">
        <v>121</v>
      </c>
      <c r="B431" t="s">
        <v>273</v>
      </c>
      <c r="C431" s="20">
        <f>IF(SQRT((Coordenadas!$C$74-Coordenadas!$C$168)^2+(Coordenadas!$D$74-Coordenadas!$D$168)^2)&lt;=LEEME!$B$20,EXP(-LEEME!$B$19*SQRT((Coordenadas!$C$74-Coordenadas!$C$168)^2+(Coordenadas!$D$74-Coordenadas!$D$168)^2)),0)</f>
        <v>0.44706015905647239</v>
      </c>
    </row>
    <row r="432" spans="1:3">
      <c r="A432" t="s">
        <v>122</v>
      </c>
      <c r="B432" t="s">
        <v>270</v>
      </c>
      <c r="C432" s="20">
        <f>IF(SQRT((Coordenadas!$C$75-Coordenadas!$C$165)^2+(Coordenadas!$D$75-Coordenadas!$D$165)^2)&lt;=LEEME!$B$20,EXP(-LEEME!$B$19*SQRT((Coordenadas!$C$75-Coordenadas!$C$165)^2+(Coordenadas!$D$75-Coordenadas!$D$165)^2)),0)</f>
        <v>0.4426325385305529</v>
      </c>
    </row>
    <row r="433" spans="1:3">
      <c r="A433" t="s">
        <v>122</v>
      </c>
      <c r="B433" t="s">
        <v>271</v>
      </c>
      <c r="C433" s="20">
        <f>IF(SQRT((Coordenadas!$C$75-Coordenadas!$C$166)^2+(Coordenadas!$D$75-Coordenadas!$D$166)^2)&lt;=LEEME!$B$20,EXP(-LEEME!$B$19*SQRT((Coordenadas!$C$75-Coordenadas!$C$166)^2+(Coordenadas!$D$75-Coordenadas!$D$166)^2)),0)</f>
        <v>0.38221606958992749</v>
      </c>
    </row>
    <row r="434" spans="1:3">
      <c r="A434" t="s">
        <v>122</v>
      </c>
      <c r="B434" t="s">
        <v>272</v>
      </c>
      <c r="C434" s="20">
        <f>IF(SQRT((Coordenadas!$C$75-Coordenadas!$C$167)^2+(Coordenadas!$D$75-Coordenadas!$D$167)^2)&lt;=LEEME!$B$20,EXP(-LEEME!$B$19*SQRT((Coordenadas!$C$75-Coordenadas!$C$167)^2+(Coordenadas!$D$75-Coordenadas!$D$167)^2)),0)</f>
        <v>0.87029378546416436</v>
      </c>
    </row>
    <row r="435" spans="1:3">
      <c r="A435" t="s">
        <v>122</v>
      </c>
      <c r="B435" t="s">
        <v>273</v>
      </c>
      <c r="C435" s="20">
        <f>IF(SQRT((Coordenadas!$C$75-Coordenadas!$C$168)^2+(Coordenadas!$D$75-Coordenadas!$D$168)^2)&lt;=LEEME!$B$20,EXP(-LEEME!$B$19*SQRT((Coordenadas!$C$75-Coordenadas!$C$168)^2+(Coordenadas!$D$75-Coordenadas!$D$168)^2)),0)</f>
        <v>0.61340932495957712</v>
      </c>
    </row>
    <row r="436" spans="1:3">
      <c r="A436" t="s">
        <v>122</v>
      </c>
      <c r="B436" t="s">
        <v>274</v>
      </c>
      <c r="C436" s="20">
        <f>IF(SQRT((Coordenadas!$C$75-Coordenadas!$C$169)^2+(Coordenadas!$D$75-Coordenadas!$D$169)^2)&lt;=LEEME!$B$20,EXP(-LEEME!$B$19*SQRT((Coordenadas!$C$75-Coordenadas!$C$169)^2+(Coordenadas!$D$75-Coordenadas!$D$169)^2)),0)</f>
        <v>0.47166708559999404</v>
      </c>
    </row>
    <row r="437" spans="1:3">
      <c r="A437" t="s">
        <v>122</v>
      </c>
      <c r="B437" t="s">
        <v>276</v>
      </c>
      <c r="C437" s="20">
        <f>IF(SQRT((Coordenadas!$C$75-Coordenadas!$C$171)^2+(Coordenadas!$D$75-Coordenadas!$D$171)^2)&lt;=LEEME!$B$20,EXP(-LEEME!$B$19*SQRT((Coordenadas!$C$75-Coordenadas!$C$171)^2+(Coordenadas!$D$75-Coordenadas!$D$171)^2)),0)</f>
        <v>0.45600352659410043</v>
      </c>
    </row>
    <row r="438" spans="1:3">
      <c r="A438" t="s">
        <v>123</v>
      </c>
      <c r="B438" t="s">
        <v>270</v>
      </c>
      <c r="C438" s="20">
        <f>IF(SQRT((Coordenadas!$C$76-Coordenadas!$C$165)^2+(Coordenadas!$D$76-Coordenadas!$D$165)^2)&lt;=LEEME!$B$20,EXP(-LEEME!$B$19*SQRT((Coordenadas!$C$76-Coordenadas!$C$165)^2+(Coordenadas!$D$76-Coordenadas!$D$165)^2)),0)</f>
        <v>0.49778594670427051</v>
      </c>
    </row>
    <row r="439" spans="1:3">
      <c r="A439" t="s">
        <v>123</v>
      </c>
      <c r="B439" t="s">
        <v>271</v>
      </c>
      <c r="C439" s="20">
        <f>IF(SQRT((Coordenadas!$C$76-Coordenadas!$C$166)^2+(Coordenadas!$D$76-Coordenadas!$D$166)^2)&lt;=LEEME!$B$20,EXP(-LEEME!$B$19*SQRT((Coordenadas!$C$76-Coordenadas!$C$166)^2+(Coordenadas!$D$76-Coordenadas!$D$166)^2)),0)</f>
        <v>0.38491290771704983</v>
      </c>
    </row>
    <row r="440" spans="1:3">
      <c r="A440" t="s">
        <v>123</v>
      </c>
      <c r="B440" t="s">
        <v>272</v>
      </c>
      <c r="C440" s="20">
        <f>IF(SQRT((Coordenadas!$C$76-Coordenadas!$C$167)^2+(Coordenadas!$D$76-Coordenadas!$D$167)^2)&lt;=LEEME!$B$20,EXP(-LEEME!$B$19*SQRT((Coordenadas!$C$76-Coordenadas!$C$167)^2+(Coordenadas!$D$76-Coordenadas!$D$167)^2)),0)</f>
        <v>0.86652398679152631</v>
      </c>
    </row>
    <row r="441" spans="1:3">
      <c r="A441" t="s">
        <v>123</v>
      </c>
      <c r="B441" t="s">
        <v>273</v>
      </c>
      <c r="C441" s="20">
        <f>IF(SQRT((Coordenadas!$C$76-Coordenadas!$C$168)^2+(Coordenadas!$D$76-Coordenadas!$D$168)^2)&lt;=LEEME!$B$20,EXP(-LEEME!$B$19*SQRT((Coordenadas!$C$76-Coordenadas!$C$168)^2+(Coordenadas!$D$76-Coordenadas!$D$168)^2)),0)</f>
        <v>0.55100711871333874</v>
      </c>
    </row>
    <row r="442" spans="1:3">
      <c r="A442" t="s">
        <v>123</v>
      </c>
      <c r="B442" t="s">
        <v>274</v>
      </c>
      <c r="C442" s="20">
        <f>IF(SQRT((Coordenadas!$C$76-Coordenadas!$C$169)^2+(Coordenadas!$D$76-Coordenadas!$D$169)^2)&lt;=LEEME!$B$20,EXP(-LEEME!$B$19*SQRT((Coordenadas!$C$76-Coordenadas!$C$169)^2+(Coordenadas!$D$76-Coordenadas!$D$169)^2)),0)</f>
        <v>0.40970068811244825</v>
      </c>
    </row>
    <row r="443" spans="1:3">
      <c r="A443" t="s">
        <v>123</v>
      </c>
      <c r="B443" t="s">
        <v>276</v>
      </c>
      <c r="C443" s="20">
        <f>IF(SQRT((Coordenadas!$C$76-Coordenadas!$C$171)^2+(Coordenadas!$D$76-Coordenadas!$D$171)^2)&lt;=LEEME!$B$20,EXP(-LEEME!$B$19*SQRT((Coordenadas!$C$76-Coordenadas!$C$171)^2+(Coordenadas!$D$76-Coordenadas!$D$171)^2)),0)</f>
        <v>0.38733223878047424</v>
      </c>
    </row>
    <row r="444" spans="1:3">
      <c r="A444" t="s">
        <v>124</v>
      </c>
      <c r="B444" t="s">
        <v>270</v>
      </c>
      <c r="C444" s="20">
        <f>IF(SQRT((Coordenadas!$C$77-Coordenadas!$C$165)^2+(Coordenadas!$D$77-Coordenadas!$D$165)^2)&lt;=LEEME!$B$20,EXP(-LEEME!$B$19*SQRT((Coordenadas!$C$77-Coordenadas!$C$165)^2+(Coordenadas!$D$77-Coordenadas!$D$165)^2)),0)</f>
        <v>0.38499355715131878</v>
      </c>
    </row>
    <row r="445" spans="1:3">
      <c r="A445" t="s">
        <v>124</v>
      </c>
      <c r="B445" t="s">
        <v>272</v>
      </c>
      <c r="C445" s="20">
        <f>IF(SQRT((Coordenadas!$C$77-Coordenadas!$C$167)^2+(Coordenadas!$D$77-Coordenadas!$D$167)^2)&lt;=LEEME!$B$20,EXP(-LEEME!$B$19*SQRT((Coordenadas!$C$77-Coordenadas!$C$167)^2+(Coordenadas!$D$77-Coordenadas!$D$167)^2)),0)</f>
        <v>0.77567806007614604</v>
      </c>
    </row>
    <row r="446" spans="1:3">
      <c r="A446" t="s">
        <v>124</v>
      </c>
      <c r="B446" t="s">
        <v>273</v>
      </c>
      <c r="C446" s="20">
        <f>IF(SQRT((Coordenadas!$C$77-Coordenadas!$C$168)^2+(Coordenadas!$D$77-Coordenadas!$D$168)^2)&lt;=LEEME!$B$20,EXP(-LEEME!$B$19*SQRT((Coordenadas!$C$77-Coordenadas!$C$168)^2+(Coordenadas!$D$77-Coordenadas!$D$168)^2)),0)</f>
        <v>0.43039793160333101</v>
      </c>
    </row>
    <row r="447" spans="1:3">
      <c r="A447" t="s">
        <v>125</v>
      </c>
      <c r="B447" t="s">
        <v>270</v>
      </c>
      <c r="C447" s="20">
        <f>IF(SQRT((Coordenadas!$C$78-Coordenadas!$C$165)^2+(Coordenadas!$D$78-Coordenadas!$D$165)^2)&lt;=LEEME!$B$20,EXP(-LEEME!$B$19*SQRT((Coordenadas!$C$78-Coordenadas!$C$165)^2+(Coordenadas!$D$78-Coordenadas!$D$165)^2)),0)</f>
        <v>0.65810566829934991</v>
      </c>
    </row>
    <row r="448" spans="1:3">
      <c r="A448" t="s">
        <v>125</v>
      </c>
      <c r="B448" t="s">
        <v>271</v>
      </c>
      <c r="C448" s="20">
        <f>IF(SQRT((Coordenadas!$C$78-Coordenadas!$C$166)^2+(Coordenadas!$D$78-Coordenadas!$D$166)^2)&lt;=LEEME!$B$20,EXP(-LEEME!$B$19*SQRT((Coordenadas!$C$78-Coordenadas!$C$166)^2+(Coordenadas!$D$78-Coordenadas!$D$166)^2)),0)</f>
        <v>0.66625765753317745</v>
      </c>
    </row>
    <row r="449" spans="1:3">
      <c r="A449" t="s">
        <v>125</v>
      </c>
      <c r="B449" t="s">
        <v>272</v>
      </c>
      <c r="C449" s="20">
        <f>IF(SQRT((Coordenadas!$C$78-Coordenadas!$C$167)^2+(Coordenadas!$D$78-Coordenadas!$D$167)^2)&lt;=LEEME!$B$20,EXP(-LEEME!$B$19*SQRT((Coordenadas!$C$78-Coordenadas!$C$167)^2+(Coordenadas!$D$78-Coordenadas!$D$167)^2)),0)</f>
        <v>0.53725148323064809</v>
      </c>
    </row>
    <row r="450" spans="1:3">
      <c r="A450" t="s">
        <v>125</v>
      </c>
      <c r="B450" t="s">
        <v>273</v>
      </c>
      <c r="C450" s="20">
        <f>IF(SQRT((Coordenadas!$C$78-Coordenadas!$C$168)^2+(Coordenadas!$D$78-Coordenadas!$D$168)^2)&lt;=LEEME!$B$20,EXP(-LEEME!$B$19*SQRT((Coordenadas!$C$78-Coordenadas!$C$168)^2+(Coordenadas!$D$78-Coordenadas!$D$168)^2)),0)</f>
        <v>0.81145542380062963</v>
      </c>
    </row>
    <row r="451" spans="1:3">
      <c r="A451" t="s">
        <v>125</v>
      </c>
      <c r="B451" t="s">
        <v>274</v>
      </c>
      <c r="C451" s="20">
        <f>IF(SQRT((Coordenadas!$C$78-Coordenadas!$C$169)^2+(Coordenadas!$D$78-Coordenadas!$D$169)^2)&lt;=LEEME!$B$20,EXP(-LEEME!$B$19*SQRT((Coordenadas!$C$78-Coordenadas!$C$169)^2+(Coordenadas!$D$78-Coordenadas!$D$169)^2)),0)</f>
        <v>0.64075228643641069</v>
      </c>
    </row>
    <row r="452" spans="1:3">
      <c r="A452" t="s">
        <v>125</v>
      </c>
      <c r="B452" t="s">
        <v>275</v>
      </c>
      <c r="C452" s="20">
        <f>IF(SQRT((Coordenadas!$C$78-Coordenadas!$C$170)^2+(Coordenadas!$D$78-Coordenadas!$D$170)^2)&lt;=LEEME!$B$20,EXP(-LEEME!$B$19*SQRT((Coordenadas!$C$78-Coordenadas!$C$170)^2+(Coordenadas!$D$78-Coordenadas!$D$170)^2)),0)</f>
        <v>0.50504913697180986</v>
      </c>
    </row>
    <row r="453" spans="1:3">
      <c r="A453" t="s">
        <v>125</v>
      </c>
      <c r="B453" t="s">
        <v>276</v>
      </c>
      <c r="C453" s="20">
        <f>IF(SQRT((Coordenadas!$C$78-Coordenadas!$C$171)^2+(Coordenadas!$D$78-Coordenadas!$D$171)^2)&lt;=LEEME!$B$20,EXP(-LEEME!$B$19*SQRT((Coordenadas!$C$78-Coordenadas!$C$171)^2+(Coordenadas!$D$78-Coordenadas!$D$171)^2)),0)</f>
        <v>0.58128315617207948</v>
      </c>
    </row>
    <row r="454" spans="1:3">
      <c r="A454" t="s">
        <v>126</v>
      </c>
      <c r="B454" t="s">
        <v>270</v>
      </c>
      <c r="C454" s="20">
        <f>IF(SQRT((Coordenadas!$C$79-Coordenadas!$C$165)^2+(Coordenadas!$D$79-Coordenadas!$D$165)^2)&lt;=LEEME!$B$20,EXP(-LEEME!$B$19*SQRT((Coordenadas!$C$79-Coordenadas!$C$165)^2+(Coordenadas!$D$79-Coordenadas!$D$165)^2)),0)</f>
        <v>0.6591703239476715</v>
      </c>
    </row>
    <row r="455" spans="1:3">
      <c r="A455" t="s">
        <v>126</v>
      </c>
      <c r="B455" t="s">
        <v>271</v>
      </c>
      <c r="C455" s="20">
        <f>IF(SQRT((Coordenadas!$C$79-Coordenadas!$C$166)^2+(Coordenadas!$D$79-Coordenadas!$D$166)^2)&lt;=LEEME!$B$20,EXP(-LEEME!$B$19*SQRT((Coordenadas!$C$79-Coordenadas!$C$166)^2+(Coordenadas!$D$79-Coordenadas!$D$166)^2)),0)</f>
        <v>0.51333798247611406</v>
      </c>
    </row>
    <row r="456" spans="1:3">
      <c r="A456" t="s">
        <v>126</v>
      </c>
      <c r="B456" t="s">
        <v>272</v>
      </c>
      <c r="C456" s="20">
        <f>IF(SQRT((Coordenadas!$C$79-Coordenadas!$C$167)^2+(Coordenadas!$D$79-Coordenadas!$D$167)^2)&lt;=LEEME!$B$20,EXP(-LEEME!$B$19*SQRT((Coordenadas!$C$79-Coordenadas!$C$167)^2+(Coordenadas!$D$79-Coordenadas!$D$167)^2)),0)</f>
        <v>0.67263825756576123</v>
      </c>
    </row>
    <row r="457" spans="1:3">
      <c r="A457" t="s">
        <v>126</v>
      </c>
      <c r="B457" t="s">
        <v>273</v>
      </c>
      <c r="C457" s="20">
        <f>IF(SQRT((Coordenadas!$C$79-Coordenadas!$C$168)^2+(Coordenadas!$D$79-Coordenadas!$D$168)^2)&lt;=LEEME!$B$20,EXP(-LEEME!$B$19*SQRT((Coordenadas!$C$79-Coordenadas!$C$168)^2+(Coordenadas!$D$79-Coordenadas!$D$168)^2)),0)</f>
        <v>0.65081189135635498</v>
      </c>
    </row>
    <row r="458" spans="1:3">
      <c r="A458" t="s">
        <v>126</v>
      </c>
      <c r="B458" t="s">
        <v>274</v>
      </c>
      <c r="C458" s="20">
        <f>IF(SQRT((Coordenadas!$C$79-Coordenadas!$C$169)^2+(Coordenadas!$D$79-Coordenadas!$D$169)^2)&lt;=LEEME!$B$20,EXP(-LEEME!$B$19*SQRT((Coordenadas!$C$79-Coordenadas!$C$169)^2+(Coordenadas!$D$79-Coordenadas!$D$169)^2)),0)</f>
        <v>0.48369092409828185</v>
      </c>
    </row>
    <row r="459" spans="1:3">
      <c r="A459" t="s">
        <v>126</v>
      </c>
      <c r="B459" t="s">
        <v>276</v>
      </c>
      <c r="C459" s="20">
        <f>IF(SQRT((Coordenadas!$C$79-Coordenadas!$C$171)^2+(Coordenadas!$D$79-Coordenadas!$D$171)^2)&lt;=LEEME!$B$20,EXP(-LEEME!$B$19*SQRT((Coordenadas!$C$79-Coordenadas!$C$171)^2+(Coordenadas!$D$79-Coordenadas!$D$171)^2)),0)</f>
        <v>0.44600784984834169</v>
      </c>
    </row>
    <row r="460" spans="1:3">
      <c r="A460" t="s">
        <v>127</v>
      </c>
      <c r="B460" t="s">
        <v>270</v>
      </c>
      <c r="C460" s="20">
        <f>IF(SQRT((Coordenadas!$C$80-Coordenadas!$C$165)^2+(Coordenadas!$D$80-Coordenadas!$D$165)^2)&lt;=LEEME!$B$20,EXP(-LEEME!$B$19*SQRT((Coordenadas!$C$80-Coordenadas!$C$165)^2+(Coordenadas!$D$80-Coordenadas!$D$165)^2)),0)</f>
        <v>0.53039500013356</v>
      </c>
    </row>
    <row r="461" spans="1:3">
      <c r="A461" t="s">
        <v>127</v>
      </c>
      <c r="B461" t="s">
        <v>271</v>
      </c>
      <c r="C461" s="20">
        <f>IF(SQRT((Coordenadas!$C$80-Coordenadas!$C$166)^2+(Coordenadas!$D$80-Coordenadas!$D$166)^2)&lt;=LEEME!$B$20,EXP(-LEEME!$B$19*SQRT((Coordenadas!$C$80-Coordenadas!$C$166)^2+(Coordenadas!$D$80-Coordenadas!$D$166)^2)),0)</f>
        <v>0.50211287684435058</v>
      </c>
    </row>
    <row r="462" spans="1:3">
      <c r="A462" t="s">
        <v>127</v>
      </c>
      <c r="B462" t="s">
        <v>272</v>
      </c>
      <c r="C462" s="20">
        <f>IF(SQRT((Coordenadas!$C$80-Coordenadas!$C$167)^2+(Coordenadas!$D$80-Coordenadas!$D$167)^2)&lt;=LEEME!$B$20,EXP(-LEEME!$B$19*SQRT((Coordenadas!$C$80-Coordenadas!$C$167)^2+(Coordenadas!$D$80-Coordenadas!$D$167)^2)),0)</f>
        <v>0.68018571116023718</v>
      </c>
    </row>
    <row r="463" spans="1:3">
      <c r="A463" t="s">
        <v>127</v>
      </c>
      <c r="B463" t="s">
        <v>273</v>
      </c>
      <c r="C463" s="20">
        <f>IF(SQRT((Coordenadas!$C$80-Coordenadas!$C$168)^2+(Coordenadas!$D$80-Coordenadas!$D$168)^2)&lt;=LEEME!$B$20,EXP(-LEEME!$B$19*SQRT((Coordenadas!$C$80-Coordenadas!$C$168)^2+(Coordenadas!$D$80-Coordenadas!$D$168)^2)),0)</f>
        <v>0.81208798972165819</v>
      </c>
    </row>
    <row r="464" spans="1:3">
      <c r="A464" t="s">
        <v>127</v>
      </c>
      <c r="B464" t="s">
        <v>274</v>
      </c>
      <c r="C464" s="20">
        <f>IF(SQRT((Coordenadas!$C$80-Coordenadas!$C$169)^2+(Coordenadas!$D$80-Coordenadas!$D$169)^2)&lt;=LEEME!$B$20,EXP(-LEEME!$B$19*SQRT((Coordenadas!$C$80-Coordenadas!$C$169)^2+(Coordenadas!$D$80-Coordenadas!$D$169)^2)),0)</f>
        <v>0.60848093758760746</v>
      </c>
    </row>
    <row r="465" spans="1:3">
      <c r="A465" t="s">
        <v>127</v>
      </c>
      <c r="B465" t="s">
        <v>275</v>
      </c>
      <c r="C465" s="20">
        <f>IF(SQRT((Coordenadas!$C$80-Coordenadas!$C$170)^2+(Coordenadas!$D$80-Coordenadas!$D$170)^2)&lt;=LEEME!$B$20,EXP(-LEEME!$B$19*SQRT((Coordenadas!$C$80-Coordenadas!$C$170)^2+(Coordenadas!$D$80-Coordenadas!$D$170)^2)),0)</f>
        <v>0.43796294247097928</v>
      </c>
    </row>
    <row r="466" spans="1:3">
      <c r="A466" t="s">
        <v>127</v>
      </c>
      <c r="B466" t="s">
        <v>276</v>
      </c>
      <c r="C466" s="20">
        <f>IF(SQRT((Coordenadas!$C$80-Coordenadas!$C$171)^2+(Coordenadas!$D$80-Coordenadas!$D$171)^2)&lt;=LEEME!$B$20,EXP(-LEEME!$B$19*SQRT((Coordenadas!$C$80-Coordenadas!$C$171)^2+(Coordenadas!$D$80-Coordenadas!$D$171)^2)),0)</f>
        <v>0.57478462374168937</v>
      </c>
    </row>
    <row r="467" spans="1:3">
      <c r="A467" t="s">
        <v>128</v>
      </c>
      <c r="B467" t="s">
        <v>270</v>
      </c>
      <c r="C467" s="20">
        <f>IF(SQRT((Coordenadas!$C$81-Coordenadas!$C$165)^2+(Coordenadas!$D$81-Coordenadas!$D$165)^2)&lt;=LEEME!$B$20,EXP(-LEEME!$B$19*SQRT((Coordenadas!$C$81-Coordenadas!$C$165)^2+(Coordenadas!$D$81-Coordenadas!$D$165)^2)),0)</f>
        <v>0.61362909210752481</v>
      </c>
    </row>
    <row r="468" spans="1:3">
      <c r="A468" t="s">
        <v>128</v>
      </c>
      <c r="B468" t="s">
        <v>271</v>
      </c>
      <c r="C468" s="20">
        <f>IF(SQRT((Coordenadas!$C$81-Coordenadas!$C$166)^2+(Coordenadas!$D$81-Coordenadas!$D$166)^2)&lt;=LEEME!$B$20,EXP(-LEEME!$B$19*SQRT((Coordenadas!$C$81-Coordenadas!$C$166)^2+(Coordenadas!$D$81-Coordenadas!$D$166)^2)),0)</f>
        <v>0.53499397161452944</v>
      </c>
    </row>
    <row r="469" spans="1:3">
      <c r="A469" t="s">
        <v>128</v>
      </c>
      <c r="B469" t="s">
        <v>272</v>
      </c>
      <c r="C469" s="20">
        <f>IF(SQRT((Coordenadas!$C$81-Coordenadas!$C$167)^2+(Coordenadas!$D$81-Coordenadas!$D$167)^2)&lt;=LEEME!$B$20,EXP(-LEEME!$B$19*SQRT((Coordenadas!$C$81-Coordenadas!$C$167)^2+(Coordenadas!$D$81-Coordenadas!$D$167)^2)),0)</f>
        <v>0.67365872145149985</v>
      </c>
    </row>
    <row r="470" spans="1:3">
      <c r="A470" t="s">
        <v>128</v>
      </c>
      <c r="B470" t="s">
        <v>273</v>
      </c>
      <c r="C470" s="20">
        <f>IF(SQRT((Coordenadas!$C$81-Coordenadas!$C$168)^2+(Coordenadas!$D$81-Coordenadas!$D$168)^2)&lt;=LEEME!$B$20,EXP(-LEEME!$B$19*SQRT((Coordenadas!$C$81-Coordenadas!$C$168)^2+(Coordenadas!$D$81-Coordenadas!$D$168)^2)),0)</f>
        <v>0.75350514412731451</v>
      </c>
    </row>
    <row r="471" spans="1:3">
      <c r="A471" t="s">
        <v>128</v>
      </c>
      <c r="B471" t="s">
        <v>274</v>
      </c>
      <c r="C471" s="20">
        <f>IF(SQRT((Coordenadas!$C$81-Coordenadas!$C$169)^2+(Coordenadas!$D$81-Coordenadas!$D$169)^2)&lt;=LEEME!$B$20,EXP(-LEEME!$B$19*SQRT((Coordenadas!$C$81-Coordenadas!$C$169)^2+(Coordenadas!$D$81-Coordenadas!$D$169)^2)),0)</f>
        <v>0.55758257286070256</v>
      </c>
    </row>
    <row r="472" spans="1:3">
      <c r="A472" t="s">
        <v>128</v>
      </c>
      <c r="B472" t="s">
        <v>275</v>
      </c>
      <c r="C472" s="20">
        <f>IF(SQRT((Coordenadas!$C$81-Coordenadas!$C$170)^2+(Coordenadas!$D$81-Coordenadas!$D$170)^2)&lt;=LEEME!$B$20,EXP(-LEEME!$B$19*SQRT((Coordenadas!$C$81-Coordenadas!$C$170)^2+(Coordenadas!$D$81-Coordenadas!$D$170)^2)),0)</f>
        <v>0.41541436008892346</v>
      </c>
    </row>
    <row r="473" spans="1:3">
      <c r="A473" t="s">
        <v>128</v>
      </c>
      <c r="B473" t="s">
        <v>276</v>
      </c>
      <c r="C473" s="20">
        <f>IF(SQRT((Coordenadas!$C$81-Coordenadas!$C$171)^2+(Coordenadas!$D$81-Coordenadas!$D$171)^2)&lt;=LEEME!$B$20,EXP(-LEEME!$B$19*SQRT((Coordenadas!$C$81-Coordenadas!$C$171)^2+(Coordenadas!$D$81-Coordenadas!$D$171)^2)),0)</f>
        <v>0.51684154587380826</v>
      </c>
    </row>
    <row r="474" spans="1:3">
      <c r="A474" t="s">
        <v>129</v>
      </c>
      <c r="B474" t="s">
        <v>270</v>
      </c>
      <c r="C474" s="20">
        <f>IF(SQRT((Coordenadas!$C$82-Coordenadas!$C$165)^2+(Coordenadas!$D$82-Coordenadas!$D$165)^2)&lt;=LEEME!$B$20,EXP(-LEEME!$B$19*SQRT((Coordenadas!$C$82-Coordenadas!$C$165)^2+(Coordenadas!$D$82-Coordenadas!$D$165)^2)),0)</f>
        <v>0.94137356599763433</v>
      </c>
    </row>
    <row r="475" spans="1:3">
      <c r="A475" t="s">
        <v>129</v>
      </c>
      <c r="B475" t="s">
        <v>271</v>
      </c>
      <c r="C475" s="20">
        <f>IF(SQRT((Coordenadas!$C$82-Coordenadas!$C$166)^2+(Coordenadas!$D$82-Coordenadas!$D$166)^2)&lt;=LEEME!$B$20,EXP(-LEEME!$B$19*SQRT((Coordenadas!$C$82-Coordenadas!$C$166)^2+(Coordenadas!$D$82-Coordenadas!$D$166)^2)),0)</f>
        <v>0.65363523190260264</v>
      </c>
    </row>
    <row r="476" spans="1:3">
      <c r="A476" t="s">
        <v>129</v>
      </c>
      <c r="B476" t="s">
        <v>272</v>
      </c>
      <c r="C476" s="20">
        <f>IF(SQRT((Coordenadas!$C$82-Coordenadas!$C$167)^2+(Coordenadas!$D$82-Coordenadas!$D$167)^2)&lt;=LEEME!$B$20,EXP(-LEEME!$B$19*SQRT((Coordenadas!$C$82-Coordenadas!$C$167)^2+(Coordenadas!$D$82-Coordenadas!$D$167)^2)),0)</f>
        <v>0.46506798405292821</v>
      </c>
    </row>
    <row r="477" spans="1:3">
      <c r="A477" t="s">
        <v>129</v>
      </c>
      <c r="B477" t="s">
        <v>273</v>
      </c>
      <c r="C477" s="20">
        <f>IF(SQRT((Coordenadas!$C$82-Coordenadas!$C$168)^2+(Coordenadas!$D$82-Coordenadas!$D$168)^2)&lt;=LEEME!$B$20,EXP(-LEEME!$B$19*SQRT((Coordenadas!$C$82-Coordenadas!$C$168)^2+(Coordenadas!$D$82-Coordenadas!$D$168)^2)),0)</f>
        <v>0.56744426691288985</v>
      </c>
    </row>
    <row r="478" spans="1:3">
      <c r="A478" t="s">
        <v>129</v>
      </c>
      <c r="B478" t="s">
        <v>274</v>
      </c>
      <c r="C478" s="20">
        <f>IF(SQRT((Coordenadas!$C$82-Coordenadas!$C$169)^2+(Coordenadas!$D$82-Coordenadas!$D$169)^2)&lt;=LEEME!$B$20,EXP(-LEEME!$B$19*SQRT((Coordenadas!$C$82-Coordenadas!$C$169)^2+(Coordenadas!$D$82-Coordenadas!$D$169)^2)),0)</f>
        <v>0.45804636721406017</v>
      </c>
    </row>
    <row r="479" spans="1:3">
      <c r="A479" t="s">
        <v>129</v>
      </c>
      <c r="B479" t="s">
        <v>275</v>
      </c>
      <c r="C479" s="20">
        <f>IF(SQRT((Coordenadas!$C$82-Coordenadas!$C$170)^2+(Coordenadas!$D$82-Coordenadas!$D$170)^2)&lt;=LEEME!$B$20,EXP(-LEEME!$B$19*SQRT((Coordenadas!$C$82-Coordenadas!$C$170)^2+(Coordenadas!$D$82-Coordenadas!$D$170)^2)),0)</f>
        <v>0.39233410592448181</v>
      </c>
    </row>
    <row r="480" spans="1:3">
      <c r="A480" t="s">
        <v>129</v>
      </c>
      <c r="B480" t="s">
        <v>276</v>
      </c>
      <c r="C480" s="20">
        <f>IF(SQRT((Coordenadas!$C$82-Coordenadas!$C$171)^2+(Coordenadas!$D$82-Coordenadas!$D$171)^2)&lt;=LEEME!$B$20,EXP(-LEEME!$B$19*SQRT((Coordenadas!$C$82-Coordenadas!$C$171)^2+(Coordenadas!$D$82-Coordenadas!$D$171)^2)),0)</f>
        <v>0.41269085749696272</v>
      </c>
    </row>
    <row r="481" spans="1:3">
      <c r="A481" t="s">
        <v>130</v>
      </c>
      <c r="B481" t="s">
        <v>269</v>
      </c>
      <c r="C481" s="20">
        <f>IF(SQRT((Coordenadas!$C$83-Coordenadas!$C$164)^2+(Coordenadas!$D$83-Coordenadas!$D$164)^2)&lt;=LEEME!$B$20,EXP(-LEEME!$B$19*SQRT((Coordenadas!$C$83-Coordenadas!$C$164)^2+(Coordenadas!$D$83-Coordenadas!$D$164)^2)),0)</f>
        <v>0.44888013994257647</v>
      </c>
    </row>
    <row r="482" spans="1:3">
      <c r="A482" t="s">
        <v>130</v>
      </c>
      <c r="B482" t="s">
        <v>270</v>
      </c>
      <c r="C482" s="20">
        <f>IF(SQRT((Coordenadas!$C$83-Coordenadas!$C$165)^2+(Coordenadas!$D$83-Coordenadas!$D$165)^2)&lt;=LEEME!$B$20,EXP(-LEEME!$B$19*SQRT((Coordenadas!$C$83-Coordenadas!$C$165)^2+(Coordenadas!$D$83-Coordenadas!$D$165)^2)),0)</f>
        <v>0.4522355345686136</v>
      </c>
    </row>
    <row r="483" spans="1:3">
      <c r="A483" t="s">
        <v>130</v>
      </c>
      <c r="B483" t="s">
        <v>272</v>
      </c>
      <c r="C483" s="20">
        <f>IF(SQRT((Coordenadas!$C$83-Coordenadas!$C$167)^2+(Coordenadas!$D$83-Coordenadas!$D$167)^2)&lt;=LEEME!$B$20,EXP(-LEEME!$B$19*SQRT((Coordenadas!$C$83-Coordenadas!$C$167)^2+(Coordenadas!$D$83-Coordenadas!$D$167)^2)),0)</f>
        <v>0.64096833405618037</v>
      </c>
    </row>
    <row r="484" spans="1:3">
      <c r="A484" t="s">
        <v>130</v>
      </c>
      <c r="B484" t="s">
        <v>273</v>
      </c>
      <c r="C484" s="20">
        <f>IF(SQRT((Coordenadas!$C$83-Coordenadas!$C$168)^2+(Coordenadas!$D$83-Coordenadas!$D$168)^2)&lt;=LEEME!$B$20,EXP(-LEEME!$B$19*SQRT((Coordenadas!$C$83-Coordenadas!$C$168)^2+(Coordenadas!$D$83-Coordenadas!$D$168)^2)),0)</f>
        <v>0.40260717965566756</v>
      </c>
    </row>
    <row r="485" spans="1:3">
      <c r="A485" t="s">
        <v>131</v>
      </c>
      <c r="B485" t="s">
        <v>269</v>
      </c>
      <c r="C485" s="20">
        <f>IF(SQRT((Coordenadas!$C$84-Coordenadas!$C$164)^2+(Coordenadas!$D$84-Coordenadas!$D$164)^2)&lt;=LEEME!$B$20,EXP(-LEEME!$B$19*SQRT((Coordenadas!$C$84-Coordenadas!$C$164)^2+(Coordenadas!$D$84-Coordenadas!$D$164)^2)),0)</f>
        <v>0.43377707856002518</v>
      </c>
    </row>
    <row r="486" spans="1:3">
      <c r="A486" t="s">
        <v>131</v>
      </c>
      <c r="B486" t="s">
        <v>270</v>
      </c>
      <c r="C486" s="20">
        <f>IF(SQRT((Coordenadas!$C$84-Coordenadas!$C$165)^2+(Coordenadas!$D$84-Coordenadas!$D$165)^2)&lt;=LEEME!$B$20,EXP(-LEEME!$B$19*SQRT((Coordenadas!$C$84-Coordenadas!$C$165)^2+(Coordenadas!$D$84-Coordenadas!$D$165)^2)),0)</f>
        <v>0.59721075267916635</v>
      </c>
    </row>
    <row r="487" spans="1:3">
      <c r="A487" t="s">
        <v>131</v>
      </c>
      <c r="B487" t="s">
        <v>271</v>
      </c>
      <c r="C487" s="20">
        <f>IF(SQRT((Coordenadas!$C$84-Coordenadas!$C$166)^2+(Coordenadas!$D$84-Coordenadas!$D$166)^2)&lt;=LEEME!$B$20,EXP(-LEEME!$B$19*SQRT((Coordenadas!$C$84-Coordenadas!$C$166)^2+(Coordenadas!$D$84-Coordenadas!$D$166)^2)),0)</f>
        <v>0.40519114134832795</v>
      </c>
    </row>
    <row r="488" spans="1:3">
      <c r="A488" t="s">
        <v>131</v>
      </c>
      <c r="B488" t="s">
        <v>272</v>
      </c>
      <c r="C488" s="20">
        <f>IF(SQRT((Coordenadas!$C$84-Coordenadas!$C$167)^2+(Coordenadas!$D$84-Coordenadas!$D$167)^2)&lt;=LEEME!$B$20,EXP(-LEEME!$B$19*SQRT((Coordenadas!$C$84-Coordenadas!$C$167)^2+(Coordenadas!$D$84-Coordenadas!$D$167)^2)),0)</f>
        <v>0.61279837804123005</v>
      </c>
    </row>
    <row r="489" spans="1:3">
      <c r="A489" t="s">
        <v>131</v>
      </c>
      <c r="B489" t="s">
        <v>273</v>
      </c>
      <c r="C489" s="20">
        <f>IF(SQRT((Coordenadas!$C$84-Coordenadas!$C$168)^2+(Coordenadas!$D$84-Coordenadas!$D$168)^2)&lt;=LEEME!$B$20,EXP(-LEEME!$B$19*SQRT((Coordenadas!$C$84-Coordenadas!$C$168)^2+(Coordenadas!$D$84-Coordenadas!$D$168)^2)),0)</f>
        <v>0.47172986026727665</v>
      </c>
    </row>
    <row r="490" spans="1:3">
      <c r="A490" t="s">
        <v>132</v>
      </c>
      <c r="B490" t="s">
        <v>270</v>
      </c>
      <c r="C490" s="20">
        <f>IF(SQRT((Coordenadas!$C$85-Coordenadas!$C$165)^2+(Coordenadas!$D$85-Coordenadas!$D$165)^2)&lt;=LEEME!$B$20,EXP(-LEEME!$B$19*SQRT((Coordenadas!$C$85-Coordenadas!$C$165)^2+(Coordenadas!$D$85-Coordenadas!$D$165)^2)),0)</f>
        <v>0.76630376094959352</v>
      </c>
    </row>
    <row r="491" spans="1:3">
      <c r="A491" t="s">
        <v>132</v>
      </c>
      <c r="B491" t="s">
        <v>271</v>
      </c>
      <c r="C491" s="20">
        <f>IF(SQRT((Coordenadas!$C$85-Coordenadas!$C$166)^2+(Coordenadas!$D$85-Coordenadas!$D$166)^2)&lt;=LEEME!$B$20,EXP(-LEEME!$B$19*SQRT((Coordenadas!$C$85-Coordenadas!$C$166)^2+(Coordenadas!$D$85-Coordenadas!$D$166)^2)),0)</f>
        <v>0.52725123344536984</v>
      </c>
    </row>
    <row r="492" spans="1:3">
      <c r="A492" t="s">
        <v>132</v>
      </c>
      <c r="B492" t="s">
        <v>272</v>
      </c>
      <c r="C492" s="20">
        <f>IF(SQRT((Coordenadas!$C$85-Coordenadas!$C$167)^2+(Coordenadas!$D$85-Coordenadas!$D$167)^2)&lt;=LEEME!$B$20,EXP(-LEEME!$B$19*SQRT((Coordenadas!$C$85-Coordenadas!$C$167)^2+(Coordenadas!$D$85-Coordenadas!$D$167)^2)),0)</f>
        <v>0.56438762462744863</v>
      </c>
    </row>
    <row r="493" spans="1:3">
      <c r="A493" t="s">
        <v>132</v>
      </c>
      <c r="B493" t="s">
        <v>273</v>
      </c>
      <c r="C493" s="20">
        <f>IF(SQRT((Coordenadas!$C$85-Coordenadas!$C$168)^2+(Coordenadas!$D$85-Coordenadas!$D$168)^2)&lt;=LEEME!$B$20,EXP(-LEEME!$B$19*SQRT((Coordenadas!$C$85-Coordenadas!$C$168)^2+(Coordenadas!$D$85-Coordenadas!$D$168)^2)),0)</f>
        <v>0.55919968245843266</v>
      </c>
    </row>
    <row r="494" spans="1:3">
      <c r="A494" t="s">
        <v>132</v>
      </c>
      <c r="B494" t="s">
        <v>274</v>
      </c>
      <c r="C494" s="20">
        <f>IF(SQRT((Coordenadas!$C$85-Coordenadas!$C$169)^2+(Coordenadas!$D$85-Coordenadas!$D$169)^2)&lt;=LEEME!$B$20,EXP(-LEEME!$B$19*SQRT((Coordenadas!$C$85-Coordenadas!$C$169)^2+(Coordenadas!$D$85-Coordenadas!$D$169)^2)),0)</f>
        <v>0.42510917581503171</v>
      </c>
    </row>
    <row r="495" spans="1:3">
      <c r="A495" t="s">
        <v>132</v>
      </c>
      <c r="B495" t="s">
        <v>276</v>
      </c>
      <c r="C495" s="20">
        <f>IF(SQRT((Coordenadas!$C$85-Coordenadas!$C$171)^2+(Coordenadas!$D$85-Coordenadas!$D$171)^2)&lt;=LEEME!$B$20,EXP(-LEEME!$B$19*SQRT((Coordenadas!$C$85-Coordenadas!$C$171)^2+(Coordenadas!$D$85-Coordenadas!$D$171)^2)),0)</f>
        <v>0.38730671708360909</v>
      </c>
    </row>
    <row r="496" spans="1:3">
      <c r="A496" t="s">
        <v>133</v>
      </c>
      <c r="B496" t="s">
        <v>269</v>
      </c>
      <c r="C496" s="20">
        <f>IF(SQRT((Coordenadas!$C$86-Coordenadas!$C$164)^2+(Coordenadas!$D$86-Coordenadas!$D$164)^2)&lt;=LEEME!$B$20,EXP(-LEEME!$B$19*SQRT((Coordenadas!$C$86-Coordenadas!$C$164)^2+(Coordenadas!$D$86-Coordenadas!$D$164)^2)),0)</f>
        <v>0.4343426852361002</v>
      </c>
    </row>
    <row r="497" spans="1:3">
      <c r="A497" t="s">
        <v>133</v>
      </c>
      <c r="B497" t="s">
        <v>272</v>
      </c>
      <c r="C497" s="20">
        <f>IF(SQRT((Coordenadas!$C$86-Coordenadas!$C$167)^2+(Coordenadas!$D$86-Coordenadas!$D$167)^2)&lt;=LEEME!$B$20,EXP(-LEEME!$B$19*SQRT((Coordenadas!$C$86-Coordenadas!$C$167)^2+(Coordenadas!$D$86-Coordenadas!$D$167)^2)),0)</f>
        <v>0.57100516202392715</v>
      </c>
    </row>
    <row r="498" spans="1:3">
      <c r="A498" t="s">
        <v>134</v>
      </c>
      <c r="B498" t="s">
        <v>269</v>
      </c>
      <c r="C498" s="20">
        <f>IF(SQRT((Coordenadas!$C$87-Coordenadas!$C$164)^2+(Coordenadas!$D$87-Coordenadas!$D$164)^2)&lt;=LEEME!$B$20,EXP(-LEEME!$B$19*SQRT((Coordenadas!$C$87-Coordenadas!$C$164)^2+(Coordenadas!$D$87-Coordenadas!$D$164)^2)),0)</f>
        <v>0.38704659293950999</v>
      </c>
    </row>
    <row r="499" spans="1:3">
      <c r="A499" t="s">
        <v>134</v>
      </c>
      <c r="B499" t="s">
        <v>270</v>
      </c>
      <c r="C499" s="20">
        <f>IF(SQRT((Coordenadas!$C$87-Coordenadas!$C$165)^2+(Coordenadas!$D$87-Coordenadas!$D$165)^2)&lt;=LEEME!$B$20,EXP(-LEEME!$B$19*SQRT((Coordenadas!$C$87-Coordenadas!$C$165)^2+(Coordenadas!$D$87-Coordenadas!$D$165)^2)),0)</f>
        <v>0.56967206353551536</v>
      </c>
    </row>
    <row r="500" spans="1:3">
      <c r="A500" t="s">
        <v>134</v>
      </c>
      <c r="B500" t="s">
        <v>271</v>
      </c>
      <c r="C500" s="20">
        <f>IF(SQRT((Coordenadas!$C$87-Coordenadas!$C$166)^2+(Coordenadas!$D$87-Coordenadas!$D$166)^2)&lt;=LEEME!$B$20,EXP(-LEEME!$B$19*SQRT((Coordenadas!$C$87-Coordenadas!$C$166)^2+(Coordenadas!$D$87-Coordenadas!$D$166)^2)),0)</f>
        <v>0.40669957997064998</v>
      </c>
    </row>
    <row r="501" spans="1:3">
      <c r="A501" t="s">
        <v>134</v>
      </c>
      <c r="B501" t="s">
        <v>272</v>
      </c>
      <c r="C501" s="20">
        <f>IF(SQRT((Coordenadas!$C$87-Coordenadas!$C$167)^2+(Coordenadas!$D$87-Coordenadas!$D$167)^2)&lt;=LEEME!$B$20,EXP(-LEEME!$B$19*SQRT((Coordenadas!$C$87-Coordenadas!$C$167)^2+(Coordenadas!$D$87-Coordenadas!$D$167)^2)),0)</f>
        <v>0.70385944569878101</v>
      </c>
    </row>
    <row r="502" spans="1:3">
      <c r="A502" t="s">
        <v>134</v>
      </c>
      <c r="B502" t="s">
        <v>273</v>
      </c>
      <c r="C502" s="20">
        <f>IF(SQRT((Coordenadas!$C$87-Coordenadas!$C$168)^2+(Coordenadas!$D$87-Coordenadas!$D$168)^2)&lt;=LEEME!$B$20,EXP(-LEEME!$B$19*SQRT((Coordenadas!$C$87-Coordenadas!$C$168)^2+(Coordenadas!$D$87-Coordenadas!$D$168)^2)),0)</f>
        <v>0.51458309833082749</v>
      </c>
    </row>
    <row r="503" spans="1:3">
      <c r="A503" t="s">
        <v>134</v>
      </c>
      <c r="B503" t="s">
        <v>274</v>
      </c>
      <c r="C503" s="20">
        <f>IF(SQRT((Coordenadas!$C$87-Coordenadas!$C$169)^2+(Coordenadas!$D$87-Coordenadas!$D$169)^2)&lt;=LEEME!$B$20,EXP(-LEEME!$B$19*SQRT((Coordenadas!$C$87-Coordenadas!$C$169)^2+(Coordenadas!$D$87-Coordenadas!$D$169)^2)),0)</f>
        <v>0.38057404123784527</v>
      </c>
    </row>
    <row r="504" spans="1:3">
      <c r="A504" t="s">
        <v>135</v>
      </c>
      <c r="B504" t="s">
        <v>290</v>
      </c>
      <c r="C504" s="20">
        <f>IF(SQRT((Coordenadas!$C$88-Coordenadas!$C$185)^2+(Coordenadas!$D$88-Coordenadas!$D$185)^2)&lt;=LEEME!$B$20,EXP(-LEEME!$B$19*SQRT((Coordenadas!$C$88-Coordenadas!$C$185)^2+(Coordenadas!$D$88-Coordenadas!$D$185)^2)),0)</f>
        <v>0.50117665183782156</v>
      </c>
    </row>
    <row r="505" spans="1:3">
      <c r="A505" t="s">
        <v>135</v>
      </c>
      <c r="B505" t="s">
        <v>291</v>
      </c>
      <c r="C505" s="20">
        <f>IF(SQRT((Coordenadas!$C$88-Coordenadas!$C$186)^2+(Coordenadas!$D$88-Coordenadas!$D$186)^2)&lt;=LEEME!$B$20,EXP(-LEEME!$B$19*SQRT((Coordenadas!$C$88-Coordenadas!$C$186)^2+(Coordenadas!$D$88-Coordenadas!$D$186)^2)),0)</f>
        <v>0.52826278428037965</v>
      </c>
    </row>
    <row r="506" spans="1:3">
      <c r="A506" t="s">
        <v>135</v>
      </c>
      <c r="B506" t="s">
        <v>293</v>
      </c>
      <c r="C506" s="20">
        <f>IF(SQRT((Coordenadas!$C$88-Coordenadas!$C$188)^2+(Coordenadas!$D$88-Coordenadas!$D$188)^2)&lt;=LEEME!$B$20,EXP(-LEEME!$B$19*SQRT((Coordenadas!$C$88-Coordenadas!$C$188)^2+(Coordenadas!$D$88-Coordenadas!$D$188)^2)),0)</f>
        <v>0.39535617533726108</v>
      </c>
    </row>
    <row r="507" spans="1:3">
      <c r="A507" t="s">
        <v>135</v>
      </c>
      <c r="B507" t="s">
        <v>296</v>
      </c>
      <c r="C507" s="20">
        <f>IF(SQRT((Coordenadas!$C$88-Coordenadas!$C$191)^2+(Coordenadas!$D$88-Coordenadas!$D$191)^2)&lt;=LEEME!$B$20,EXP(-LEEME!$B$19*SQRT((Coordenadas!$C$88-Coordenadas!$C$191)^2+(Coordenadas!$D$88-Coordenadas!$D$191)^2)),0)</f>
        <v>0.63812470720207926</v>
      </c>
    </row>
    <row r="508" spans="1:3">
      <c r="A508" t="s">
        <v>135</v>
      </c>
      <c r="B508" t="s">
        <v>298</v>
      </c>
      <c r="C508" s="20">
        <f>IF(SQRT((Coordenadas!$C$88-Coordenadas!$C$193)^2+(Coordenadas!$D$88-Coordenadas!$D$193)^2)&lt;=LEEME!$B$20,EXP(-LEEME!$B$19*SQRT((Coordenadas!$C$88-Coordenadas!$C$193)^2+(Coordenadas!$D$88-Coordenadas!$D$193)^2)),0)</f>
        <v>0.47976658208197459</v>
      </c>
    </row>
    <row r="509" spans="1:3">
      <c r="A509" t="s">
        <v>135</v>
      </c>
      <c r="B509" t="s">
        <v>299</v>
      </c>
      <c r="C509" s="20">
        <f>IF(SQRT((Coordenadas!$C$88-Coordenadas!$C$194)^2+(Coordenadas!$D$88-Coordenadas!$D$194)^2)&lt;=LEEME!$B$20,EXP(-LEEME!$B$19*SQRT((Coordenadas!$C$88-Coordenadas!$C$194)^2+(Coordenadas!$D$88-Coordenadas!$D$194)^2)),0)</f>
        <v>0.43567532072781329</v>
      </c>
    </row>
    <row r="510" spans="1:3">
      <c r="A510" t="s">
        <v>135</v>
      </c>
      <c r="B510" t="s">
        <v>300</v>
      </c>
      <c r="C510" s="20">
        <f>IF(SQRT((Coordenadas!$C$88-Coordenadas!$C$195)^2+(Coordenadas!$D$88-Coordenadas!$D$195)^2)&lt;=LEEME!$B$20,EXP(-LEEME!$B$19*SQRT((Coordenadas!$C$88-Coordenadas!$C$195)^2+(Coordenadas!$D$88-Coordenadas!$D$195)^2)),0)</f>
        <v>0.44310151263018449</v>
      </c>
    </row>
    <row r="511" spans="1:3">
      <c r="A511" t="s">
        <v>135</v>
      </c>
      <c r="B511" t="s">
        <v>301</v>
      </c>
      <c r="C511" s="20">
        <f>IF(SQRT((Coordenadas!$C$88-Coordenadas!$C$196)^2+(Coordenadas!$D$88-Coordenadas!$D$196)^2)&lt;=LEEME!$B$20,EXP(-LEEME!$B$19*SQRT((Coordenadas!$C$88-Coordenadas!$C$196)^2+(Coordenadas!$D$88-Coordenadas!$D$196)^2)),0)</f>
        <v>0.4546434861003269</v>
      </c>
    </row>
    <row r="512" spans="1:3">
      <c r="A512" t="s">
        <v>135</v>
      </c>
      <c r="B512" t="s">
        <v>303</v>
      </c>
      <c r="C512" s="20">
        <f>IF(SQRT((Coordenadas!$C$88-Coordenadas!$C$198)^2+(Coordenadas!$D$88-Coordenadas!$D$198)^2)&lt;=LEEME!$B$20,EXP(-LEEME!$B$19*SQRT((Coordenadas!$C$88-Coordenadas!$C$198)^2+(Coordenadas!$D$88-Coordenadas!$D$198)^2)),0)</f>
        <v>0.61116266963412713</v>
      </c>
    </row>
    <row r="513" spans="1:3">
      <c r="A513" t="s">
        <v>135</v>
      </c>
      <c r="B513" t="s">
        <v>305</v>
      </c>
      <c r="C513" s="20">
        <f>IF(SQRT((Coordenadas!$C$88-Coordenadas!$C$200)^2+(Coordenadas!$D$88-Coordenadas!$D$200)^2)&lt;=LEEME!$B$20,EXP(-LEEME!$B$19*SQRT((Coordenadas!$C$88-Coordenadas!$C$200)^2+(Coordenadas!$D$88-Coordenadas!$D$200)^2)),0)</f>
        <v>0.56339104556721464</v>
      </c>
    </row>
    <row r="514" spans="1:3">
      <c r="A514" t="s">
        <v>136</v>
      </c>
      <c r="B514" t="s">
        <v>285</v>
      </c>
      <c r="C514" s="20">
        <f>IF(SQRT((Coordenadas!$C$89-Coordenadas!$C$180)^2+(Coordenadas!$D$89-Coordenadas!$D$180)^2)&lt;=LEEME!$B$20,EXP(-LEEME!$B$19*SQRT((Coordenadas!$C$89-Coordenadas!$C$180)^2+(Coordenadas!$D$89-Coordenadas!$D$180)^2)),0)</f>
        <v>0.42075363656315962</v>
      </c>
    </row>
    <row r="515" spans="1:3">
      <c r="A515" t="s">
        <v>136</v>
      </c>
      <c r="B515" t="s">
        <v>290</v>
      </c>
      <c r="C515" s="20">
        <f>IF(SQRT((Coordenadas!$C$89-Coordenadas!$C$185)^2+(Coordenadas!$D$89-Coordenadas!$D$185)^2)&lt;=LEEME!$B$20,EXP(-LEEME!$B$19*SQRT((Coordenadas!$C$89-Coordenadas!$C$185)^2+(Coordenadas!$D$89-Coordenadas!$D$185)^2)),0)</f>
        <v>0.55602544375286578</v>
      </c>
    </row>
    <row r="516" spans="1:3">
      <c r="A516" t="s">
        <v>136</v>
      </c>
      <c r="B516" t="s">
        <v>291</v>
      </c>
      <c r="C516" s="20">
        <f>IF(SQRT((Coordenadas!$C$89-Coordenadas!$C$186)^2+(Coordenadas!$D$89-Coordenadas!$D$186)^2)&lt;=LEEME!$B$20,EXP(-LEEME!$B$19*SQRT((Coordenadas!$C$89-Coordenadas!$C$186)^2+(Coordenadas!$D$89-Coordenadas!$D$186)^2)),0)</f>
        <v>0.41108302951890802</v>
      </c>
    </row>
    <row r="517" spans="1:3">
      <c r="A517" t="s">
        <v>136</v>
      </c>
      <c r="B517" t="s">
        <v>293</v>
      </c>
      <c r="C517" s="20">
        <f>IF(SQRT((Coordenadas!$C$89-Coordenadas!$C$188)^2+(Coordenadas!$D$89-Coordenadas!$D$188)^2)&lt;=LEEME!$B$20,EXP(-LEEME!$B$19*SQRT((Coordenadas!$C$89-Coordenadas!$C$188)^2+(Coordenadas!$D$89-Coordenadas!$D$188)^2)),0)</f>
        <v>0.62908293488731337</v>
      </c>
    </row>
    <row r="518" spans="1:3">
      <c r="A518" t="s">
        <v>136</v>
      </c>
      <c r="B518" t="s">
        <v>295</v>
      </c>
      <c r="C518" s="20">
        <f>IF(SQRT((Coordenadas!$C$89-Coordenadas!$C$190)^2+(Coordenadas!$D$89-Coordenadas!$D$190)^2)&lt;=LEEME!$B$20,EXP(-LEEME!$B$19*SQRT((Coordenadas!$C$89-Coordenadas!$C$190)^2+(Coordenadas!$D$89-Coordenadas!$D$190)^2)),0)</f>
        <v>0.47216982896132875</v>
      </c>
    </row>
    <row r="519" spans="1:3">
      <c r="A519" t="s">
        <v>136</v>
      </c>
      <c r="B519" t="s">
        <v>296</v>
      </c>
      <c r="C519" s="20">
        <f>IF(SQRT((Coordenadas!$C$89-Coordenadas!$C$191)^2+(Coordenadas!$D$89-Coordenadas!$D$191)^2)&lt;=LEEME!$B$20,EXP(-LEEME!$B$19*SQRT((Coordenadas!$C$89-Coordenadas!$C$191)^2+(Coordenadas!$D$89-Coordenadas!$D$191)^2)),0)</f>
        <v>0.39832421272260876</v>
      </c>
    </row>
    <row r="520" spans="1:3">
      <c r="A520" t="s">
        <v>136</v>
      </c>
      <c r="B520" t="s">
        <v>298</v>
      </c>
      <c r="C520" s="20">
        <f>IF(SQRT((Coordenadas!$C$89-Coordenadas!$C$193)^2+(Coordenadas!$D$89-Coordenadas!$D$193)^2)&lt;=LEEME!$B$20,EXP(-LEEME!$B$19*SQRT((Coordenadas!$C$89-Coordenadas!$C$193)^2+(Coordenadas!$D$89-Coordenadas!$D$193)^2)),0)</f>
        <v>0.71459226907161433</v>
      </c>
    </row>
    <row r="521" spans="1:3">
      <c r="A521" t="s">
        <v>136</v>
      </c>
      <c r="B521" t="s">
        <v>300</v>
      </c>
      <c r="C521" s="20">
        <f>IF(SQRT((Coordenadas!$C$89-Coordenadas!$C$195)^2+(Coordenadas!$D$89-Coordenadas!$D$195)^2)&lt;=LEEME!$B$20,EXP(-LEEME!$B$19*SQRT((Coordenadas!$C$89-Coordenadas!$C$195)^2+(Coordenadas!$D$89-Coordenadas!$D$195)^2)),0)</f>
        <v>0.59127386597073561</v>
      </c>
    </row>
    <row r="522" spans="1:3">
      <c r="A522" t="s">
        <v>136</v>
      </c>
      <c r="B522" t="s">
        <v>301</v>
      </c>
      <c r="C522" s="20">
        <f>IF(SQRT((Coordenadas!$C$89-Coordenadas!$C$196)^2+(Coordenadas!$D$89-Coordenadas!$D$196)^2)&lt;=LEEME!$B$20,EXP(-LEEME!$B$19*SQRT((Coordenadas!$C$89-Coordenadas!$C$196)^2+(Coordenadas!$D$89-Coordenadas!$D$196)^2)),0)</f>
        <v>0.59015174647115121</v>
      </c>
    </row>
    <row r="523" spans="1:3">
      <c r="A523" t="s">
        <v>136</v>
      </c>
      <c r="B523" t="s">
        <v>303</v>
      </c>
      <c r="C523" s="20">
        <f>IF(SQRT((Coordenadas!$C$89-Coordenadas!$C$198)^2+(Coordenadas!$D$89-Coordenadas!$D$198)^2)&lt;=LEEME!$B$20,EXP(-LEEME!$B$19*SQRT((Coordenadas!$C$89-Coordenadas!$C$198)^2+(Coordenadas!$D$89-Coordenadas!$D$198)^2)),0)</f>
        <v>0.49090116067563433</v>
      </c>
    </row>
    <row r="524" spans="1:3">
      <c r="A524" t="s">
        <v>136</v>
      </c>
      <c r="B524" t="s">
        <v>305</v>
      </c>
      <c r="C524" s="20">
        <f>IF(SQRT((Coordenadas!$C$89-Coordenadas!$C$200)^2+(Coordenadas!$D$89-Coordenadas!$D$200)^2)&lt;=LEEME!$B$20,EXP(-LEEME!$B$19*SQRT((Coordenadas!$C$89-Coordenadas!$C$200)^2+(Coordenadas!$D$89-Coordenadas!$D$200)^2)),0)</f>
        <v>0.4625850859392</v>
      </c>
    </row>
    <row r="525" spans="1:3">
      <c r="A525" t="s">
        <v>137</v>
      </c>
      <c r="B525" t="s">
        <v>290</v>
      </c>
      <c r="C525" s="20">
        <f>IF(SQRT((Coordenadas!$C$90-Coordenadas!$C$185)^2+(Coordenadas!$D$90-Coordenadas!$D$185)^2)&lt;=LEEME!$B$20,EXP(-LEEME!$B$19*SQRT((Coordenadas!$C$90-Coordenadas!$C$185)^2+(Coordenadas!$D$90-Coordenadas!$D$185)^2)),0)</f>
        <v>0.41829053552983275</v>
      </c>
    </row>
    <row r="526" spans="1:3">
      <c r="A526" t="s">
        <v>137</v>
      </c>
      <c r="B526" t="s">
        <v>291</v>
      </c>
      <c r="C526" s="20">
        <f>IF(SQRT((Coordenadas!$C$90-Coordenadas!$C$186)^2+(Coordenadas!$D$90-Coordenadas!$D$186)^2)&lt;=LEEME!$B$20,EXP(-LEEME!$B$19*SQRT((Coordenadas!$C$90-Coordenadas!$C$186)^2+(Coordenadas!$D$90-Coordenadas!$D$186)^2)),0)</f>
        <v>0.5471717517516187</v>
      </c>
    </row>
    <row r="527" spans="1:3">
      <c r="A527" t="s">
        <v>137</v>
      </c>
      <c r="B527" t="s">
        <v>296</v>
      </c>
      <c r="C527" s="20">
        <f>IF(SQRT((Coordenadas!$C$90-Coordenadas!$C$191)^2+(Coordenadas!$D$90-Coordenadas!$D$191)^2)&lt;=LEEME!$B$20,EXP(-LEEME!$B$19*SQRT((Coordenadas!$C$90-Coordenadas!$C$191)^2+(Coordenadas!$D$90-Coordenadas!$D$191)^2)),0)</f>
        <v>0.83104814030481855</v>
      </c>
    </row>
    <row r="528" spans="1:3">
      <c r="A528" t="s">
        <v>137</v>
      </c>
      <c r="B528" t="s">
        <v>299</v>
      </c>
      <c r="C528" s="20">
        <f>IF(SQRT((Coordenadas!$C$90-Coordenadas!$C$194)^2+(Coordenadas!$D$90-Coordenadas!$D$194)^2)&lt;=LEEME!$B$20,EXP(-LEEME!$B$19*SQRT((Coordenadas!$C$90-Coordenadas!$C$194)^2+(Coordenadas!$D$90-Coordenadas!$D$194)^2)),0)</f>
        <v>0.59251538020280881</v>
      </c>
    </row>
    <row r="529" spans="1:3">
      <c r="A529" t="s">
        <v>137</v>
      </c>
      <c r="B529" t="s">
        <v>302</v>
      </c>
      <c r="C529" s="20">
        <f>IF(SQRT((Coordenadas!$C$90-Coordenadas!$C$197)^2+(Coordenadas!$D$90-Coordenadas!$D$197)^2)&lt;=LEEME!$B$20,EXP(-LEEME!$B$19*SQRT((Coordenadas!$C$90-Coordenadas!$C$197)^2+(Coordenadas!$D$90-Coordenadas!$D$197)^2)),0)</f>
        <v>0.41698115958646886</v>
      </c>
    </row>
    <row r="530" spans="1:3">
      <c r="A530" t="s">
        <v>137</v>
      </c>
      <c r="B530" t="s">
        <v>303</v>
      </c>
      <c r="C530" s="20">
        <f>IF(SQRT((Coordenadas!$C$90-Coordenadas!$C$198)^2+(Coordenadas!$D$90-Coordenadas!$D$198)^2)&lt;=LEEME!$B$20,EXP(-LEEME!$B$19*SQRT((Coordenadas!$C$90-Coordenadas!$C$198)^2+(Coordenadas!$D$90-Coordenadas!$D$198)^2)),0)</f>
        <v>0.53946845598795834</v>
      </c>
    </row>
    <row r="531" spans="1:3">
      <c r="A531" t="s">
        <v>137</v>
      </c>
      <c r="B531" t="s">
        <v>305</v>
      </c>
      <c r="C531" s="20">
        <f>IF(SQRT((Coordenadas!$C$90-Coordenadas!$C$200)^2+(Coordenadas!$D$90-Coordenadas!$D$200)^2)&lt;=LEEME!$B$20,EXP(-LEEME!$B$19*SQRT((Coordenadas!$C$90-Coordenadas!$C$200)^2+(Coordenadas!$D$90-Coordenadas!$D$200)^2)),0)</f>
        <v>0.50207643860151996</v>
      </c>
    </row>
    <row r="532" spans="1:3">
      <c r="A532" t="s">
        <v>137</v>
      </c>
      <c r="B532" t="s">
        <v>306</v>
      </c>
      <c r="C532" s="20">
        <f>IF(SQRT((Coordenadas!$C$90-Coordenadas!$C$201)^2+(Coordenadas!$D$90-Coordenadas!$D$201)^2)&lt;=LEEME!$B$20,EXP(-LEEME!$B$19*SQRT((Coordenadas!$C$90-Coordenadas!$C$201)^2+(Coordenadas!$D$90-Coordenadas!$D$201)^2)),0)</f>
        <v>0.41463567246072219</v>
      </c>
    </row>
    <row r="533" spans="1:3">
      <c r="A533" t="s">
        <v>137</v>
      </c>
      <c r="B533" t="s">
        <v>307</v>
      </c>
      <c r="C533" s="20">
        <f>IF(SQRT((Coordenadas!$C$90-Coordenadas!$C$202)^2+(Coordenadas!$D$90-Coordenadas!$D$202)^2)&lt;=LEEME!$B$20,EXP(-LEEME!$B$19*SQRT((Coordenadas!$C$90-Coordenadas!$C$202)^2+(Coordenadas!$D$90-Coordenadas!$D$202)^2)),0)</f>
        <v>0.40032521800133403</v>
      </c>
    </row>
    <row r="534" spans="1:3">
      <c r="A534" t="s">
        <v>138</v>
      </c>
      <c r="B534" t="s">
        <v>285</v>
      </c>
      <c r="C534" s="20">
        <f>IF(SQRT((Coordenadas!$C$91-Coordenadas!$C$180)^2+(Coordenadas!$D$91-Coordenadas!$D$180)^2)&lt;=LEEME!$B$20,EXP(-LEEME!$B$19*SQRT((Coordenadas!$C$91-Coordenadas!$C$180)^2+(Coordenadas!$D$91-Coordenadas!$D$180)^2)),0)</f>
        <v>0.38837647970258798</v>
      </c>
    </row>
    <row r="535" spans="1:3">
      <c r="A535" t="s">
        <v>138</v>
      </c>
      <c r="B535" t="s">
        <v>290</v>
      </c>
      <c r="C535" s="20">
        <f>IF(SQRT((Coordenadas!$C$91-Coordenadas!$C$185)^2+(Coordenadas!$D$91-Coordenadas!$D$185)^2)&lt;=LEEME!$B$20,EXP(-LEEME!$B$19*SQRT((Coordenadas!$C$91-Coordenadas!$C$185)^2+(Coordenadas!$D$91-Coordenadas!$D$185)^2)),0)</f>
        <v>0.56684426426610512</v>
      </c>
    </row>
    <row r="536" spans="1:3">
      <c r="A536" t="s">
        <v>138</v>
      </c>
      <c r="B536" t="s">
        <v>291</v>
      </c>
      <c r="C536" s="20">
        <f>IF(SQRT((Coordenadas!$C$91-Coordenadas!$C$186)^2+(Coordenadas!$D$91-Coordenadas!$D$186)^2)&lt;=LEEME!$B$20,EXP(-LEEME!$B$19*SQRT((Coordenadas!$C$91-Coordenadas!$C$186)^2+(Coordenadas!$D$91-Coordenadas!$D$186)^2)),0)</f>
        <v>0.50318157327828494</v>
      </c>
    </row>
    <row r="537" spans="1:3">
      <c r="A537" t="s">
        <v>138</v>
      </c>
      <c r="B537" t="s">
        <v>293</v>
      </c>
      <c r="C537" s="20">
        <f>IF(SQRT((Coordenadas!$C$91-Coordenadas!$C$188)^2+(Coordenadas!$D$91-Coordenadas!$D$188)^2)&lt;=LEEME!$B$20,EXP(-LEEME!$B$19*SQRT((Coordenadas!$C$91-Coordenadas!$C$188)^2+(Coordenadas!$D$91-Coordenadas!$D$188)^2)),0)</f>
        <v>0.49090978511216654</v>
      </c>
    </row>
    <row r="538" spans="1:3">
      <c r="A538" t="s">
        <v>138</v>
      </c>
      <c r="B538" t="s">
        <v>296</v>
      </c>
      <c r="C538" s="20">
        <f>IF(SQRT((Coordenadas!$C$91-Coordenadas!$C$191)^2+(Coordenadas!$D$91-Coordenadas!$D$191)^2)&lt;=LEEME!$B$20,EXP(-LEEME!$B$19*SQRT((Coordenadas!$C$91-Coordenadas!$C$191)^2+(Coordenadas!$D$91-Coordenadas!$D$191)^2)),0)</f>
        <v>0.52867709538371932</v>
      </c>
    </row>
    <row r="539" spans="1:3">
      <c r="A539" t="s">
        <v>138</v>
      </c>
      <c r="B539" t="s">
        <v>298</v>
      </c>
      <c r="C539" s="20">
        <f>IF(SQRT((Coordenadas!$C$91-Coordenadas!$C$193)^2+(Coordenadas!$D$91-Coordenadas!$D$193)^2)&lt;=LEEME!$B$20,EXP(-LEEME!$B$19*SQRT((Coordenadas!$C$91-Coordenadas!$C$193)^2+(Coordenadas!$D$91-Coordenadas!$D$193)^2)),0)</f>
        <v>0.57119631404289084</v>
      </c>
    </row>
    <row r="540" spans="1:3">
      <c r="A540" t="s">
        <v>138</v>
      </c>
      <c r="B540" t="s">
        <v>300</v>
      </c>
      <c r="C540" s="20">
        <f>IF(SQRT((Coordenadas!$C$91-Coordenadas!$C$195)^2+(Coordenadas!$D$91-Coordenadas!$D$195)^2)&lt;=LEEME!$B$20,EXP(-LEEME!$B$19*SQRT((Coordenadas!$C$91-Coordenadas!$C$195)^2+(Coordenadas!$D$91-Coordenadas!$D$195)^2)),0)</f>
        <v>0.50438480044059064</v>
      </c>
    </row>
    <row r="541" spans="1:3">
      <c r="A541" t="s">
        <v>138</v>
      </c>
      <c r="B541" t="s">
        <v>301</v>
      </c>
      <c r="C541" s="20">
        <f>IF(SQRT((Coordenadas!$C$91-Coordenadas!$C$196)^2+(Coordenadas!$D$91-Coordenadas!$D$196)^2)&lt;=LEEME!$B$20,EXP(-LEEME!$B$19*SQRT((Coordenadas!$C$91-Coordenadas!$C$196)^2+(Coordenadas!$D$91-Coordenadas!$D$196)^2)),0)</f>
        <v>0.51257918002242708</v>
      </c>
    </row>
    <row r="542" spans="1:3">
      <c r="A542" t="s">
        <v>138</v>
      </c>
      <c r="B542" t="s">
        <v>303</v>
      </c>
      <c r="C542" s="20">
        <f>IF(SQRT((Coordenadas!$C$91-Coordenadas!$C$198)^2+(Coordenadas!$D$91-Coordenadas!$D$198)^2)&lt;=LEEME!$B$20,EXP(-LEEME!$B$19*SQRT((Coordenadas!$C$91-Coordenadas!$C$198)^2+(Coordenadas!$D$91-Coordenadas!$D$198)^2)),0)</f>
        <v>0.5639933363528713</v>
      </c>
    </row>
    <row r="543" spans="1:3">
      <c r="A543" t="s">
        <v>138</v>
      </c>
      <c r="B543" t="s">
        <v>305</v>
      </c>
      <c r="C543" s="20">
        <f>IF(SQRT((Coordenadas!$C$91-Coordenadas!$C$200)^2+(Coordenadas!$D$91-Coordenadas!$D$200)^2)&lt;=LEEME!$B$20,EXP(-LEEME!$B$19*SQRT((Coordenadas!$C$91-Coordenadas!$C$200)^2+(Coordenadas!$D$91-Coordenadas!$D$200)^2)),0)</f>
        <v>0.5228001090970934</v>
      </c>
    </row>
    <row r="544" spans="1:3">
      <c r="A544" t="s">
        <v>139</v>
      </c>
      <c r="B544" t="s">
        <v>290</v>
      </c>
      <c r="C544" s="20">
        <f>IF(SQRT((Coordenadas!$C$92-Coordenadas!$C$185)^2+(Coordenadas!$D$92-Coordenadas!$D$185)^2)&lt;=LEEME!$B$20,EXP(-LEEME!$B$19*SQRT((Coordenadas!$C$92-Coordenadas!$C$185)^2+(Coordenadas!$D$92-Coordenadas!$D$185)^2)),0)</f>
        <v>0.47213837089049787</v>
      </c>
    </row>
    <row r="545" spans="1:3">
      <c r="A545" t="s">
        <v>139</v>
      </c>
      <c r="B545" t="s">
        <v>291</v>
      </c>
      <c r="C545" s="20">
        <f>IF(SQRT((Coordenadas!$C$92-Coordenadas!$C$186)^2+(Coordenadas!$D$92-Coordenadas!$D$186)^2)&lt;=LEEME!$B$20,EXP(-LEEME!$B$19*SQRT((Coordenadas!$C$92-Coordenadas!$C$186)^2+(Coordenadas!$D$92-Coordenadas!$D$186)^2)),0)</f>
        <v>0.55361213180773827</v>
      </c>
    </row>
    <row r="546" spans="1:3">
      <c r="A546" t="s">
        <v>139</v>
      </c>
      <c r="B546" t="s">
        <v>296</v>
      </c>
      <c r="C546" s="20">
        <f>IF(SQRT((Coordenadas!$C$92-Coordenadas!$C$191)^2+(Coordenadas!$D$92-Coordenadas!$D$191)^2)&lt;=LEEME!$B$20,EXP(-LEEME!$B$19*SQRT((Coordenadas!$C$92-Coordenadas!$C$191)^2+(Coordenadas!$D$92-Coordenadas!$D$191)^2)),0)</f>
        <v>0.72921063377133888</v>
      </c>
    </row>
    <row r="547" spans="1:3">
      <c r="A547" t="s">
        <v>139</v>
      </c>
      <c r="B547" t="s">
        <v>298</v>
      </c>
      <c r="C547" s="20">
        <f>IF(SQRT((Coordenadas!$C$92-Coordenadas!$C$193)^2+(Coordenadas!$D$92-Coordenadas!$D$193)^2)&lt;=LEEME!$B$20,EXP(-LEEME!$B$19*SQRT((Coordenadas!$C$92-Coordenadas!$C$193)^2+(Coordenadas!$D$92-Coordenadas!$D$193)^2)),0)</f>
        <v>0.41770351580818998</v>
      </c>
    </row>
    <row r="548" spans="1:3">
      <c r="A548" t="s">
        <v>139</v>
      </c>
      <c r="B548" t="s">
        <v>299</v>
      </c>
      <c r="C548" s="20">
        <f>IF(SQRT((Coordenadas!$C$92-Coordenadas!$C$194)^2+(Coordenadas!$D$92-Coordenadas!$D$194)^2)&lt;=LEEME!$B$20,EXP(-LEEME!$B$19*SQRT((Coordenadas!$C$92-Coordenadas!$C$194)^2+(Coordenadas!$D$92-Coordenadas!$D$194)^2)),0)</f>
        <v>0.49836655731065843</v>
      </c>
    </row>
    <row r="549" spans="1:3">
      <c r="A549" t="s">
        <v>139</v>
      </c>
      <c r="B549" t="s">
        <v>300</v>
      </c>
      <c r="C549" s="20">
        <f>IF(SQRT((Coordenadas!$C$92-Coordenadas!$C$195)^2+(Coordenadas!$D$92-Coordenadas!$D$195)^2)&lt;=LEEME!$B$20,EXP(-LEEME!$B$19*SQRT((Coordenadas!$C$92-Coordenadas!$C$195)^2+(Coordenadas!$D$92-Coordenadas!$D$195)^2)),0)</f>
        <v>0.38954011911031994</v>
      </c>
    </row>
    <row r="550" spans="1:3">
      <c r="A550" t="s">
        <v>139</v>
      </c>
      <c r="B550" t="s">
        <v>301</v>
      </c>
      <c r="C550" s="20">
        <f>IF(SQRT((Coordenadas!$C$92-Coordenadas!$C$196)^2+(Coordenadas!$D$92-Coordenadas!$D$196)^2)&lt;=LEEME!$B$20,EXP(-LEEME!$B$19*SQRT((Coordenadas!$C$92-Coordenadas!$C$196)^2+(Coordenadas!$D$92-Coordenadas!$D$196)^2)),0)</f>
        <v>0.40064251287329994</v>
      </c>
    </row>
    <row r="551" spans="1:3">
      <c r="A551" t="s">
        <v>139</v>
      </c>
      <c r="B551" t="s">
        <v>303</v>
      </c>
      <c r="C551" s="20">
        <f>IF(SQRT((Coordenadas!$C$92-Coordenadas!$C$198)^2+(Coordenadas!$D$92-Coordenadas!$D$198)^2)&lt;=LEEME!$B$20,EXP(-LEEME!$B$19*SQRT((Coordenadas!$C$92-Coordenadas!$C$198)^2+(Coordenadas!$D$92-Coordenadas!$D$198)^2)),0)</f>
        <v>0.58322093268586106</v>
      </c>
    </row>
    <row r="552" spans="1:3">
      <c r="A552" t="s">
        <v>139</v>
      </c>
      <c r="B552" t="s">
        <v>305</v>
      </c>
      <c r="C552" s="20">
        <f>IF(SQRT((Coordenadas!$C$92-Coordenadas!$C$200)^2+(Coordenadas!$D$92-Coordenadas!$D$200)^2)&lt;=LEEME!$B$20,EXP(-LEEME!$B$19*SQRT((Coordenadas!$C$92-Coordenadas!$C$200)^2+(Coordenadas!$D$92-Coordenadas!$D$200)^2)),0)</f>
        <v>0.53877036175224535</v>
      </c>
    </row>
    <row r="553" spans="1:3">
      <c r="A553" t="s">
        <v>140</v>
      </c>
      <c r="B553" t="s">
        <v>290</v>
      </c>
      <c r="C553" s="20">
        <f>IF(SQRT((Coordenadas!$C$93-Coordenadas!$C$185)^2+(Coordenadas!$D$93-Coordenadas!$D$185)^2)&lt;=LEEME!$B$20,EXP(-LEEME!$B$19*SQRT((Coordenadas!$C$93-Coordenadas!$C$185)^2+(Coordenadas!$D$93-Coordenadas!$D$185)^2)),0)</f>
        <v>0.44405646657562536</v>
      </c>
    </row>
    <row r="554" spans="1:3">
      <c r="A554" t="s">
        <v>140</v>
      </c>
      <c r="B554" t="s">
        <v>293</v>
      </c>
      <c r="C554" s="20">
        <f>IF(SQRT((Coordenadas!$C$93-Coordenadas!$C$188)^2+(Coordenadas!$D$93-Coordenadas!$D$188)^2)&lt;=LEEME!$B$20,EXP(-LEEME!$B$19*SQRT((Coordenadas!$C$93-Coordenadas!$C$188)^2+(Coordenadas!$D$93-Coordenadas!$D$188)^2)),0)</f>
        <v>0.52022668623899682</v>
      </c>
    </row>
    <row r="555" spans="1:3">
      <c r="A555" t="s">
        <v>140</v>
      </c>
      <c r="B555" t="s">
        <v>295</v>
      </c>
      <c r="C555" s="20">
        <f>IF(SQRT((Coordenadas!$C$93-Coordenadas!$C$190)^2+(Coordenadas!$D$93-Coordenadas!$D$190)^2)&lt;=LEEME!$B$20,EXP(-LEEME!$B$19*SQRT((Coordenadas!$C$93-Coordenadas!$C$190)^2+(Coordenadas!$D$93-Coordenadas!$D$190)^2)),0)</f>
        <v>0.44070039227135893</v>
      </c>
    </row>
    <row r="556" spans="1:3">
      <c r="A556" t="s">
        <v>140</v>
      </c>
      <c r="B556" t="s">
        <v>296</v>
      </c>
      <c r="C556" s="20">
        <f>IF(SQRT((Coordenadas!$C$93-Coordenadas!$C$191)^2+(Coordenadas!$D$93-Coordenadas!$D$191)^2)&lt;=LEEME!$B$20,EXP(-LEEME!$B$19*SQRT((Coordenadas!$C$93-Coordenadas!$C$191)^2+(Coordenadas!$D$93-Coordenadas!$D$191)^2)),0)</f>
        <v>0.38519533220884755</v>
      </c>
    </row>
    <row r="557" spans="1:3">
      <c r="A557" t="s">
        <v>140</v>
      </c>
      <c r="B557" t="s">
        <v>298</v>
      </c>
      <c r="C557" s="20">
        <f>IF(SQRT((Coordenadas!$C$93-Coordenadas!$C$193)^2+(Coordenadas!$D$93-Coordenadas!$D$193)^2)&lt;=LEEME!$B$20,EXP(-LEEME!$B$19*SQRT((Coordenadas!$C$93-Coordenadas!$C$193)^2+(Coordenadas!$D$93-Coordenadas!$D$193)^2)),0)</f>
        <v>0.79052880386396929</v>
      </c>
    </row>
    <row r="558" spans="1:3">
      <c r="A558" t="s">
        <v>140</v>
      </c>
      <c r="B558" t="s">
        <v>300</v>
      </c>
      <c r="C558" s="20">
        <f>IF(SQRT((Coordenadas!$C$93-Coordenadas!$C$195)^2+(Coordenadas!$D$93-Coordenadas!$D$195)^2)&lt;=LEEME!$B$20,EXP(-LEEME!$B$19*SQRT((Coordenadas!$C$93-Coordenadas!$C$195)^2+(Coordenadas!$D$93-Coordenadas!$D$195)^2)),0)</f>
        <v>0.71718933852777411</v>
      </c>
    </row>
    <row r="559" spans="1:3">
      <c r="A559" t="s">
        <v>140</v>
      </c>
      <c r="B559" t="s">
        <v>301</v>
      </c>
      <c r="C559" s="20">
        <f>IF(SQRT((Coordenadas!$C$93-Coordenadas!$C$196)^2+(Coordenadas!$D$93-Coordenadas!$D$196)^2)&lt;=LEEME!$B$20,EXP(-LEEME!$B$19*SQRT((Coordenadas!$C$93-Coordenadas!$C$196)^2+(Coordenadas!$D$93-Coordenadas!$D$196)^2)),0)</f>
        <v>0.72603561283285556</v>
      </c>
    </row>
    <row r="560" spans="1:3">
      <c r="A560" t="s">
        <v>140</v>
      </c>
      <c r="B560" t="s">
        <v>303</v>
      </c>
      <c r="C560" s="20">
        <f>IF(SQRT((Coordenadas!$C$93-Coordenadas!$C$198)^2+(Coordenadas!$D$93-Coordenadas!$D$198)^2)&lt;=LEEME!$B$20,EXP(-LEEME!$B$19*SQRT((Coordenadas!$C$93-Coordenadas!$C$198)^2+(Coordenadas!$D$93-Coordenadas!$D$198)^2)),0)</f>
        <v>0.58964880186194024</v>
      </c>
    </row>
    <row r="561" spans="1:3">
      <c r="A561" t="s">
        <v>140</v>
      </c>
      <c r="B561" t="s">
        <v>305</v>
      </c>
      <c r="C561" s="20">
        <f>IF(SQRT((Coordenadas!$C$93-Coordenadas!$C$200)^2+(Coordenadas!$D$93-Coordenadas!$D$200)^2)&lt;=LEEME!$B$20,EXP(-LEEME!$B$19*SQRT((Coordenadas!$C$93-Coordenadas!$C$200)^2+(Coordenadas!$D$93-Coordenadas!$D$200)^2)),0)</f>
        <v>0.56357523279563559</v>
      </c>
    </row>
    <row r="562" spans="1:3">
      <c r="A562" t="s">
        <v>141</v>
      </c>
      <c r="B562" t="s">
        <v>290</v>
      </c>
      <c r="C562" s="20">
        <f>IF(SQRT((Coordenadas!$C$94-Coordenadas!$C$185)^2+(Coordenadas!$D$94-Coordenadas!$D$185)^2)&lt;=LEEME!$B$20,EXP(-LEEME!$B$19*SQRT((Coordenadas!$C$94-Coordenadas!$C$185)^2+(Coordenadas!$D$94-Coordenadas!$D$185)^2)),0)</f>
        <v>0.39176886597720456</v>
      </c>
    </row>
    <row r="563" spans="1:3">
      <c r="A563" t="s">
        <v>141</v>
      </c>
      <c r="B563" t="s">
        <v>291</v>
      </c>
      <c r="C563" s="20">
        <f>IF(SQRT((Coordenadas!$C$94-Coordenadas!$C$186)^2+(Coordenadas!$D$94-Coordenadas!$D$186)^2)&lt;=LEEME!$B$20,EXP(-LEEME!$B$19*SQRT((Coordenadas!$C$94-Coordenadas!$C$186)^2+(Coordenadas!$D$94-Coordenadas!$D$186)^2)),0)</f>
        <v>0.38209192030756756</v>
      </c>
    </row>
    <row r="564" spans="1:3">
      <c r="A564" t="s">
        <v>141</v>
      </c>
      <c r="B564" t="s">
        <v>293</v>
      </c>
      <c r="C564" s="20">
        <f>IF(SQRT((Coordenadas!$C$94-Coordenadas!$C$188)^2+(Coordenadas!$D$94-Coordenadas!$D$188)^2)&lt;=LEEME!$B$20,EXP(-LEEME!$B$19*SQRT((Coordenadas!$C$94-Coordenadas!$C$188)^2+(Coordenadas!$D$94-Coordenadas!$D$188)^2)),0)</f>
        <v>0.37419427574745034</v>
      </c>
    </row>
    <row r="565" spans="1:3">
      <c r="A565" t="s">
        <v>141</v>
      </c>
      <c r="B565" t="s">
        <v>296</v>
      </c>
      <c r="C565" s="20">
        <f>IF(SQRT((Coordenadas!$C$94-Coordenadas!$C$191)^2+(Coordenadas!$D$94-Coordenadas!$D$191)^2)&lt;=LEEME!$B$20,EXP(-LEEME!$B$19*SQRT((Coordenadas!$C$94-Coordenadas!$C$191)^2+(Coordenadas!$D$94-Coordenadas!$D$191)^2)),0)</f>
        <v>0.49063398376697231</v>
      </c>
    </row>
    <row r="566" spans="1:3">
      <c r="A566" t="s">
        <v>141</v>
      </c>
      <c r="B566" t="s">
        <v>298</v>
      </c>
      <c r="C566" s="20">
        <f>IF(SQRT((Coordenadas!$C$94-Coordenadas!$C$193)^2+(Coordenadas!$D$94-Coordenadas!$D$193)^2)&lt;=LEEME!$B$20,EXP(-LEEME!$B$19*SQRT((Coordenadas!$C$94-Coordenadas!$C$193)^2+(Coordenadas!$D$94-Coordenadas!$D$193)^2)),0)</f>
        <v>0.55266632886877087</v>
      </c>
    </row>
    <row r="567" spans="1:3">
      <c r="A567" t="s">
        <v>141</v>
      </c>
      <c r="B567" t="s">
        <v>299</v>
      </c>
      <c r="C567" s="20">
        <f>IF(SQRT((Coordenadas!$C$94-Coordenadas!$C$194)^2+(Coordenadas!$D$94-Coordenadas!$D$194)^2)&lt;=LEEME!$B$20,EXP(-LEEME!$B$19*SQRT((Coordenadas!$C$94-Coordenadas!$C$194)^2+(Coordenadas!$D$94-Coordenadas!$D$194)^2)),0)</f>
        <v>0.38260394480274801</v>
      </c>
    </row>
    <row r="568" spans="1:3">
      <c r="A568" t="s">
        <v>141</v>
      </c>
      <c r="B568" t="s">
        <v>300</v>
      </c>
      <c r="C568" s="20">
        <f>IF(SQRT((Coordenadas!$C$94-Coordenadas!$C$195)^2+(Coordenadas!$D$94-Coordenadas!$D$195)^2)&lt;=LEEME!$B$20,EXP(-LEEME!$B$19*SQRT((Coordenadas!$C$94-Coordenadas!$C$195)^2+(Coordenadas!$D$94-Coordenadas!$D$195)^2)),0)</f>
        <v>0.55683225258840241</v>
      </c>
    </row>
    <row r="569" spans="1:3">
      <c r="A569" t="s">
        <v>141</v>
      </c>
      <c r="B569" t="s">
        <v>301</v>
      </c>
      <c r="C569" s="20">
        <f>IF(SQRT((Coordenadas!$C$94-Coordenadas!$C$196)^2+(Coordenadas!$D$94-Coordenadas!$D$196)^2)&lt;=LEEME!$B$20,EXP(-LEEME!$B$19*SQRT((Coordenadas!$C$94-Coordenadas!$C$196)^2+(Coordenadas!$D$94-Coordenadas!$D$196)^2)),0)</f>
        <v>0.57742240531198996</v>
      </c>
    </row>
    <row r="570" spans="1:3">
      <c r="A570" t="s">
        <v>141</v>
      </c>
      <c r="B570" t="s">
        <v>303</v>
      </c>
      <c r="C570" s="20">
        <f>IF(SQRT((Coordenadas!$C$94-Coordenadas!$C$198)^2+(Coordenadas!$D$94-Coordenadas!$D$198)^2)&lt;=LEEME!$B$20,EXP(-LEEME!$B$19*SQRT((Coordenadas!$C$94-Coordenadas!$C$198)^2+(Coordenadas!$D$94-Coordenadas!$D$198)^2)),0)</f>
        <v>0.81544438421756449</v>
      </c>
    </row>
    <row r="571" spans="1:3">
      <c r="A571" t="s">
        <v>141</v>
      </c>
      <c r="B571" t="s">
        <v>305</v>
      </c>
      <c r="C571" s="20">
        <f>IF(SQRT((Coordenadas!$C$94-Coordenadas!$C$200)^2+(Coordenadas!$D$94-Coordenadas!$D$200)^2)&lt;=LEEME!$B$20,EXP(-LEEME!$B$19*SQRT((Coordenadas!$C$94-Coordenadas!$C$200)^2+(Coordenadas!$D$94-Coordenadas!$D$200)^2)),0)</f>
        <v>0.75679906564213828</v>
      </c>
    </row>
    <row r="572" spans="1:3">
      <c r="A572" t="s">
        <v>142</v>
      </c>
      <c r="B572" t="s">
        <v>296</v>
      </c>
      <c r="C572" s="20">
        <f>IF(SQRT((Coordenadas!$C$95-Coordenadas!$C$191)^2+(Coordenadas!$D$95-Coordenadas!$D$191)^2)&lt;=LEEME!$B$20,EXP(-LEEME!$B$19*SQRT((Coordenadas!$C$95-Coordenadas!$C$191)^2+(Coordenadas!$D$95-Coordenadas!$D$191)^2)),0)</f>
        <v>0.44474825501701665</v>
      </c>
    </row>
    <row r="573" spans="1:3">
      <c r="A573" t="s">
        <v>142</v>
      </c>
      <c r="B573" t="s">
        <v>298</v>
      </c>
      <c r="C573" s="20">
        <f>IF(SQRT((Coordenadas!$C$95-Coordenadas!$C$193)^2+(Coordenadas!$D$95-Coordenadas!$D$193)^2)&lt;=LEEME!$B$20,EXP(-LEEME!$B$19*SQRT((Coordenadas!$C$95-Coordenadas!$C$193)^2+(Coordenadas!$D$95-Coordenadas!$D$193)^2)),0)</f>
        <v>0.38958660743297591</v>
      </c>
    </row>
    <row r="574" spans="1:3">
      <c r="A574" t="s">
        <v>142</v>
      </c>
      <c r="B574" t="s">
        <v>299</v>
      </c>
      <c r="C574" s="20">
        <f>IF(SQRT((Coordenadas!$C$95-Coordenadas!$C$194)^2+(Coordenadas!$D$95-Coordenadas!$D$194)^2)&lt;=LEEME!$B$20,EXP(-LEEME!$B$19*SQRT((Coordenadas!$C$95-Coordenadas!$C$194)^2+(Coordenadas!$D$95-Coordenadas!$D$194)^2)),0)</f>
        <v>0.43714902766840086</v>
      </c>
    </row>
    <row r="575" spans="1:3">
      <c r="A575" t="s">
        <v>142</v>
      </c>
      <c r="B575" t="s">
        <v>300</v>
      </c>
      <c r="C575" s="20">
        <f>IF(SQRT((Coordenadas!$C$95-Coordenadas!$C$195)^2+(Coordenadas!$D$95-Coordenadas!$D$195)^2)&lt;=LEEME!$B$20,EXP(-LEEME!$B$19*SQRT((Coordenadas!$C$95-Coordenadas!$C$195)^2+(Coordenadas!$D$95-Coordenadas!$D$195)^2)),0)</f>
        <v>0.42350065870938292</v>
      </c>
    </row>
    <row r="576" spans="1:3">
      <c r="A576" t="s">
        <v>142</v>
      </c>
      <c r="B576" t="s">
        <v>301</v>
      </c>
      <c r="C576" s="20">
        <f>IF(SQRT((Coordenadas!$C$95-Coordenadas!$C$196)^2+(Coordenadas!$D$95-Coordenadas!$D$196)^2)&lt;=LEEME!$B$20,EXP(-LEEME!$B$19*SQRT((Coordenadas!$C$95-Coordenadas!$C$196)^2+(Coordenadas!$D$95-Coordenadas!$D$196)^2)),0)</f>
        <v>0.44253073388486897</v>
      </c>
    </row>
    <row r="577" spans="1:3">
      <c r="A577" t="s">
        <v>142</v>
      </c>
      <c r="B577" t="s">
        <v>303</v>
      </c>
      <c r="C577" s="20">
        <f>IF(SQRT((Coordenadas!$C$95-Coordenadas!$C$198)^2+(Coordenadas!$D$95-Coordenadas!$D$198)^2)&lt;=LEEME!$B$20,EXP(-LEEME!$B$19*SQRT((Coordenadas!$C$95-Coordenadas!$C$198)^2+(Coordenadas!$D$95-Coordenadas!$D$198)^2)),0)</f>
        <v>0.79989793906806383</v>
      </c>
    </row>
    <row r="578" spans="1:3">
      <c r="A578" t="s">
        <v>142</v>
      </c>
      <c r="B578" t="s">
        <v>305</v>
      </c>
      <c r="C578" s="20">
        <f>IF(SQRT((Coordenadas!$C$95-Coordenadas!$C$200)^2+(Coordenadas!$D$95-Coordenadas!$D$200)^2)&lt;=LEEME!$B$20,EXP(-LEEME!$B$19*SQRT((Coordenadas!$C$95-Coordenadas!$C$200)^2+(Coordenadas!$D$95-Coordenadas!$D$200)^2)),0)</f>
        <v>0.81464731641141452</v>
      </c>
    </row>
    <row r="579" spans="1:3">
      <c r="A579" t="s">
        <v>142</v>
      </c>
      <c r="B579" t="s">
        <v>306</v>
      </c>
      <c r="C579" s="20">
        <f>IF(SQRT((Coordenadas!$C$95-Coordenadas!$C$201)^2+(Coordenadas!$D$95-Coordenadas!$D$201)^2)&lt;=LEEME!$B$20,EXP(-LEEME!$B$19*SQRT((Coordenadas!$C$95-Coordenadas!$C$201)^2+(Coordenadas!$D$95-Coordenadas!$D$201)^2)),0)</f>
        <v>0.43364079522520999</v>
      </c>
    </row>
    <row r="580" spans="1:3">
      <c r="A580" t="s">
        <v>142</v>
      </c>
      <c r="B580" t="s">
        <v>307</v>
      </c>
      <c r="C580" s="20">
        <f>IF(SQRT((Coordenadas!$C$95-Coordenadas!$C$202)^2+(Coordenadas!$D$95-Coordenadas!$D$202)^2)&lt;=LEEME!$B$20,EXP(-LEEME!$B$19*SQRT((Coordenadas!$C$95-Coordenadas!$C$202)^2+(Coordenadas!$D$95-Coordenadas!$D$202)^2)),0)</f>
        <v>0.4440496291942484</v>
      </c>
    </row>
    <row r="581" spans="1:3">
      <c r="A581" t="s">
        <v>143</v>
      </c>
      <c r="B581" t="s">
        <v>296</v>
      </c>
      <c r="C581" s="20">
        <f>IF(SQRT((Coordenadas!$C$96-Coordenadas!$C$191)^2+(Coordenadas!$D$96-Coordenadas!$D$191)^2)&lt;=LEEME!$B$20,EXP(-LEEME!$B$19*SQRT((Coordenadas!$C$96-Coordenadas!$C$191)^2+(Coordenadas!$D$96-Coordenadas!$D$191)^2)),0)</f>
        <v>0.37290920924473503</v>
      </c>
    </row>
    <row r="582" spans="1:3">
      <c r="A582" t="s">
        <v>143</v>
      </c>
      <c r="B582" t="s">
        <v>298</v>
      </c>
      <c r="C582" s="20">
        <f>IF(SQRT((Coordenadas!$C$96-Coordenadas!$C$193)^2+(Coordenadas!$D$96-Coordenadas!$D$193)^2)&lt;=LEEME!$B$20,EXP(-LEEME!$B$19*SQRT((Coordenadas!$C$96-Coordenadas!$C$193)^2+(Coordenadas!$D$96-Coordenadas!$D$193)^2)),0)</f>
        <v>0.5365393085255673</v>
      </c>
    </row>
    <row r="583" spans="1:3">
      <c r="A583" t="s">
        <v>143</v>
      </c>
      <c r="B583" t="s">
        <v>300</v>
      </c>
      <c r="C583" s="20">
        <f>IF(SQRT((Coordenadas!$C$96-Coordenadas!$C$195)^2+(Coordenadas!$D$96-Coordenadas!$D$195)^2)&lt;=LEEME!$B$20,EXP(-LEEME!$B$19*SQRT((Coordenadas!$C$96-Coordenadas!$C$195)^2+(Coordenadas!$D$96-Coordenadas!$D$195)^2)),0)</f>
        <v>0.60556253189954135</v>
      </c>
    </row>
    <row r="584" spans="1:3">
      <c r="A584" t="s">
        <v>143</v>
      </c>
      <c r="B584" t="s">
        <v>301</v>
      </c>
      <c r="C584" s="20">
        <f>IF(SQRT((Coordenadas!$C$96-Coordenadas!$C$196)^2+(Coordenadas!$D$96-Coordenadas!$D$196)^2)&lt;=LEEME!$B$20,EXP(-LEEME!$B$19*SQRT((Coordenadas!$C$96-Coordenadas!$C$196)^2+(Coordenadas!$D$96-Coordenadas!$D$196)^2)),0)</f>
        <v>0.63321428808076774</v>
      </c>
    </row>
    <row r="585" spans="1:3">
      <c r="A585" t="s">
        <v>143</v>
      </c>
      <c r="B585" t="s">
        <v>303</v>
      </c>
      <c r="C585" s="20">
        <f>IF(SQRT((Coordenadas!$C$96-Coordenadas!$C$198)^2+(Coordenadas!$D$96-Coordenadas!$D$198)^2)&lt;=LEEME!$B$20,EXP(-LEEME!$B$19*SQRT((Coordenadas!$C$96-Coordenadas!$C$198)^2+(Coordenadas!$D$96-Coordenadas!$D$198)^2)),0)</f>
        <v>0.81950048221386307</v>
      </c>
    </row>
    <row r="586" spans="1:3">
      <c r="A586" t="s">
        <v>143</v>
      </c>
      <c r="B586" t="s">
        <v>305</v>
      </c>
      <c r="C586" s="20">
        <f>IF(SQRT((Coordenadas!$C$96-Coordenadas!$C$200)^2+(Coordenadas!$D$96-Coordenadas!$D$200)^2)&lt;=LEEME!$B$20,EXP(-LEEME!$B$19*SQRT((Coordenadas!$C$96-Coordenadas!$C$200)^2+(Coordenadas!$D$96-Coordenadas!$D$200)^2)),0)</f>
        <v>0.84782948688775217</v>
      </c>
    </row>
    <row r="587" spans="1:3">
      <c r="A587" t="s">
        <v>144</v>
      </c>
      <c r="B587" t="s">
        <v>291</v>
      </c>
      <c r="C587" s="20">
        <f>IF(SQRT((Coordenadas!$C$97-Coordenadas!$C$186)^2+(Coordenadas!$D$97-Coordenadas!$D$186)^2)&lt;=LEEME!$B$20,EXP(-LEEME!$B$19*SQRT((Coordenadas!$C$97-Coordenadas!$C$186)^2+(Coordenadas!$D$97-Coordenadas!$D$186)^2)),0)</f>
        <v>0.43260552470846014</v>
      </c>
    </row>
    <row r="588" spans="1:3">
      <c r="A588" t="s">
        <v>144</v>
      </c>
      <c r="B588" t="s">
        <v>296</v>
      </c>
      <c r="C588" s="20">
        <f>IF(SQRT((Coordenadas!$C$97-Coordenadas!$C$191)^2+(Coordenadas!$D$97-Coordenadas!$D$191)^2)&lt;=LEEME!$B$20,EXP(-LEEME!$B$19*SQRT((Coordenadas!$C$97-Coordenadas!$C$191)^2+(Coordenadas!$D$97-Coordenadas!$D$191)^2)),0)</f>
        <v>0.67419238254427227</v>
      </c>
    </row>
    <row r="589" spans="1:3">
      <c r="A589" t="s">
        <v>144</v>
      </c>
      <c r="B589" t="s">
        <v>299</v>
      </c>
      <c r="C589" s="20">
        <f>IF(SQRT((Coordenadas!$C$97-Coordenadas!$C$194)^2+(Coordenadas!$D$97-Coordenadas!$D$194)^2)&lt;=LEEME!$B$20,EXP(-LEEME!$B$19*SQRT((Coordenadas!$C$97-Coordenadas!$C$194)^2+(Coordenadas!$D$97-Coordenadas!$D$194)^2)),0)</f>
        <v>0.61303313836359186</v>
      </c>
    </row>
    <row r="590" spans="1:3">
      <c r="A590" t="s">
        <v>144</v>
      </c>
      <c r="B590" t="s">
        <v>302</v>
      </c>
      <c r="C590" s="20">
        <f>IF(SQRT((Coordenadas!$C$97-Coordenadas!$C$197)^2+(Coordenadas!$D$97-Coordenadas!$D$197)^2)&lt;=LEEME!$B$20,EXP(-LEEME!$B$19*SQRT((Coordenadas!$C$97-Coordenadas!$C$197)^2+(Coordenadas!$D$97-Coordenadas!$D$197)^2)),0)</f>
        <v>0.45793640070920288</v>
      </c>
    </row>
    <row r="591" spans="1:3">
      <c r="A591" t="s">
        <v>144</v>
      </c>
      <c r="B591" t="s">
        <v>303</v>
      </c>
      <c r="C591" s="20">
        <f>IF(SQRT((Coordenadas!$C$97-Coordenadas!$C$198)^2+(Coordenadas!$D$97-Coordenadas!$D$198)^2)&lt;=LEEME!$B$20,EXP(-LEEME!$B$19*SQRT((Coordenadas!$C$97-Coordenadas!$C$198)^2+(Coordenadas!$D$97-Coordenadas!$D$198)^2)),0)</f>
        <v>0.62339636304893087</v>
      </c>
    </row>
    <row r="592" spans="1:3">
      <c r="A592" t="s">
        <v>144</v>
      </c>
      <c r="B592" t="s">
        <v>305</v>
      </c>
      <c r="C592" s="20">
        <f>IF(SQRT((Coordenadas!$C$97-Coordenadas!$C$200)^2+(Coordenadas!$D$97-Coordenadas!$D$200)^2)&lt;=LEEME!$B$20,EXP(-LEEME!$B$19*SQRT((Coordenadas!$C$97-Coordenadas!$C$200)^2+(Coordenadas!$D$97-Coordenadas!$D$200)^2)),0)</f>
        <v>0.58918885706411361</v>
      </c>
    </row>
    <row r="593" spans="1:3">
      <c r="A593" t="s">
        <v>144</v>
      </c>
      <c r="B593" t="s">
        <v>306</v>
      </c>
      <c r="C593" s="20">
        <f>IF(SQRT((Coordenadas!$C$97-Coordenadas!$C$201)^2+(Coordenadas!$D$97-Coordenadas!$D$201)^2)&lt;=LEEME!$B$20,EXP(-LEEME!$B$19*SQRT((Coordenadas!$C$97-Coordenadas!$C$201)^2+(Coordenadas!$D$97-Coordenadas!$D$201)^2)),0)</f>
        <v>0.48480110041537311</v>
      </c>
    </row>
    <row r="594" spans="1:3">
      <c r="A594" t="s">
        <v>144</v>
      </c>
      <c r="B594" t="s">
        <v>307</v>
      </c>
      <c r="C594" s="20">
        <f>IF(SQRT((Coordenadas!$C$97-Coordenadas!$C$202)^2+(Coordenadas!$D$97-Coordenadas!$D$202)^2)&lt;=LEEME!$B$20,EXP(-LEEME!$B$19*SQRT((Coordenadas!$C$97-Coordenadas!$C$202)^2+(Coordenadas!$D$97-Coordenadas!$D$202)^2)),0)</f>
        <v>0.47550041857658959</v>
      </c>
    </row>
    <row r="595" spans="1:3">
      <c r="A595" t="s">
        <v>144</v>
      </c>
      <c r="B595" t="s">
        <v>308</v>
      </c>
      <c r="C595" s="20">
        <f>IF(SQRT((Coordenadas!$C$97-Coordenadas!$C$203)^2+(Coordenadas!$D$97-Coordenadas!$D$203)^2)&lt;=LEEME!$B$20,EXP(-LEEME!$B$19*SQRT((Coordenadas!$C$97-Coordenadas!$C$203)^2+(Coordenadas!$D$97-Coordenadas!$D$203)^2)),0)</f>
        <v>0.37326869867654366</v>
      </c>
    </row>
    <row r="596" spans="1:3">
      <c r="A596" t="s">
        <v>145</v>
      </c>
      <c r="B596" t="s">
        <v>291</v>
      </c>
      <c r="C596" s="20">
        <f>IF(SQRT((Coordenadas!$C$98-Coordenadas!$C$186)^2+(Coordenadas!$D$98-Coordenadas!$D$186)^2)&lt;=LEEME!$B$20,EXP(-LEEME!$B$19*SQRT((Coordenadas!$C$98-Coordenadas!$C$186)^2+(Coordenadas!$D$98-Coordenadas!$D$186)^2)),0)</f>
        <v>0.39959416366144951</v>
      </c>
    </row>
    <row r="597" spans="1:3">
      <c r="A597" t="s">
        <v>145</v>
      </c>
      <c r="B597" t="s">
        <v>296</v>
      </c>
      <c r="C597" s="20">
        <f>IF(SQRT((Coordenadas!$C$98-Coordenadas!$C$191)^2+(Coordenadas!$D$98-Coordenadas!$D$191)^2)&lt;=LEEME!$B$20,EXP(-LEEME!$B$19*SQRT((Coordenadas!$C$98-Coordenadas!$C$191)^2+(Coordenadas!$D$98-Coordenadas!$D$191)^2)),0)</f>
        <v>0.59520769278374008</v>
      </c>
    </row>
    <row r="598" spans="1:3">
      <c r="A598" t="s">
        <v>145</v>
      </c>
      <c r="B598" t="s">
        <v>298</v>
      </c>
      <c r="C598" s="20">
        <f>IF(SQRT((Coordenadas!$C$98-Coordenadas!$C$193)^2+(Coordenadas!$D$98-Coordenadas!$D$193)^2)&lt;=LEEME!$B$20,EXP(-LEEME!$B$19*SQRT((Coordenadas!$C$98-Coordenadas!$C$193)^2+(Coordenadas!$D$98-Coordenadas!$D$193)^2)),0)</f>
        <v>0.39510071992300044</v>
      </c>
    </row>
    <row r="599" spans="1:3">
      <c r="A599" t="s">
        <v>145</v>
      </c>
      <c r="B599" t="s">
        <v>299</v>
      </c>
      <c r="C599" s="20">
        <f>IF(SQRT((Coordenadas!$C$98-Coordenadas!$C$194)^2+(Coordenadas!$D$98-Coordenadas!$D$194)^2)&lt;=LEEME!$B$20,EXP(-LEEME!$B$19*SQRT((Coordenadas!$C$98-Coordenadas!$C$194)^2+(Coordenadas!$D$98-Coordenadas!$D$194)^2)),0)</f>
        <v>0.52901953108005861</v>
      </c>
    </row>
    <row r="600" spans="1:3">
      <c r="A600" t="s">
        <v>145</v>
      </c>
      <c r="B600" t="s">
        <v>300</v>
      </c>
      <c r="C600" s="20">
        <f>IF(SQRT((Coordenadas!$C$98-Coordenadas!$C$195)^2+(Coordenadas!$D$98-Coordenadas!$D$195)^2)&lt;=LEEME!$B$20,EXP(-LEEME!$B$19*SQRT((Coordenadas!$C$98-Coordenadas!$C$195)^2+(Coordenadas!$D$98-Coordenadas!$D$195)^2)),0)</f>
        <v>0.40016676765744058</v>
      </c>
    </row>
    <row r="601" spans="1:3">
      <c r="A601" t="s">
        <v>145</v>
      </c>
      <c r="B601" t="s">
        <v>301</v>
      </c>
      <c r="C601" s="20">
        <f>IF(SQRT((Coordenadas!$C$98-Coordenadas!$C$196)^2+(Coordenadas!$D$98-Coordenadas!$D$196)^2)&lt;=LEEME!$B$20,EXP(-LEEME!$B$19*SQRT((Coordenadas!$C$98-Coordenadas!$C$196)^2+(Coordenadas!$D$98-Coordenadas!$D$196)^2)),0)</f>
        <v>0.41600636001785196</v>
      </c>
    </row>
    <row r="602" spans="1:3">
      <c r="A602" t="s">
        <v>145</v>
      </c>
      <c r="B602" t="s">
        <v>302</v>
      </c>
      <c r="C602" s="20">
        <f>IF(SQRT((Coordenadas!$C$98-Coordenadas!$C$197)^2+(Coordenadas!$D$98-Coordenadas!$D$197)^2)&lt;=LEEME!$B$20,EXP(-LEEME!$B$19*SQRT((Coordenadas!$C$98-Coordenadas!$C$197)^2+(Coordenadas!$D$98-Coordenadas!$D$197)^2)),0)</f>
        <v>0.40633827996749938</v>
      </c>
    </row>
    <row r="603" spans="1:3">
      <c r="A603" t="s">
        <v>145</v>
      </c>
      <c r="B603" t="s">
        <v>303</v>
      </c>
      <c r="C603" s="20">
        <f>IF(SQRT((Coordenadas!$C$98-Coordenadas!$C$198)^2+(Coordenadas!$D$98-Coordenadas!$D$198)^2)&lt;=LEEME!$B$20,EXP(-LEEME!$B$19*SQRT((Coordenadas!$C$98-Coordenadas!$C$198)^2+(Coordenadas!$D$98-Coordenadas!$D$198)^2)),0)</f>
        <v>0.72929724809276497</v>
      </c>
    </row>
    <row r="604" spans="1:3">
      <c r="A604" t="s">
        <v>145</v>
      </c>
      <c r="B604" t="s">
        <v>305</v>
      </c>
      <c r="C604" s="20">
        <f>IF(SQRT((Coordenadas!$C$98-Coordenadas!$C$200)^2+(Coordenadas!$D$98-Coordenadas!$D$200)^2)&lt;=LEEME!$B$20,EXP(-LEEME!$B$19*SQRT((Coordenadas!$C$98-Coordenadas!$C$200)^2+(Coordenadas!$D$98-Coordenadas!$D$200)^2)),0)</f>
        <v>0.68848438409973645</v>
      </c>
    </row>
    <row r="605" spans="1:3">
      <c r="A605" t="s">
        <v>145</v>
      </c>
      <c r="B605" t="s">
        <v>306</v>
      </c>
      <c r="C605" s="20">
        <f>IF(SQRT((Coordenadas!$C$98-Coordenadas!$C$201)^2+(Coordenadas!$D$98-Coordenadas!$D$201)^2)&lt;=LEEME!$B$20,EXP(-LEEME!$B$19*SQRT((Coordenadas!$C$98-Coordenadas!$C$201)^2+(Coordenadas!$D$98-Coordenadas!$D$201)^2)),0)</f>
        <v>0.44622892736894393</v>
      </c>
    </row>
    <row r="606" spans="1:3">
      <c r="A606" t="s">
        <v>145</v>
      </c>
      <c r="B606" t="s">
        <v>307</v>
      </c>
      <c r="C606" s="20">
        <f>IF(SQRT((Coordenadas!$C$98-Coordenadas!$C$202)^2+(Coordenadas!$D$98-Coordenadas!$D$202)^2)&lt;=LEEME!$B$20,EXP(-LEEME!$B$19*SQRT((Coordenadas!$C$98-Coordenadas!$C$202)^2+(Coordenadas!$D$98-Coordenadas!$D$202)^2)),0)</f>
        <v>0.44394026303620848</v>
      </c>
    </row>
    <row r="607" spans="1:3">
      <c r="A607" t="s">
        <v>146</v>
      </c>
      <c r="B607" t="s">
        <v>296</v>
      </c>
      <c r="C607" s="20">
        <f>IF(SQRT((Coordenadas!$C$99-Coordenadas!$C$191)^2+(Coordenadas!$D$99-Coordenadas!$D$191)^2)&lt;=LEEME!$B$20,EXP(-LEEME!$B$19*SQRT((Coordenadas!$C$99-Coordenadas!$C$191)^2+(Coordenadas!$D$99-Coordenadas!$D$191)^2)),0)</f>
        <v>0.39207744559913005</v>
      </c>
    </row>
    <row r="608" spans="1:3">
      <c r="A608" t="s">
        <v>146</v>
      </c>
      <c r="B608" t="s">
        <v>299</v>
      </c>
      <c r="C608" s="20">
        <f>IF(SQRT((Coordenadas!$C$99-Coordenadas!$C$194)^2+(Coordenadas!$D$99-Coordenadas!$D$194)^2)&lt;=LEEME!$B$20,EXP(-LEEME!$B$19*SQRT((Coordenadas!$C$99-Coordenadas!$C$194)^2+(Coordenadas!$D$99-Coordenadas!$D$194)^2)),0)</f>
        <v>0.44717125227660226</v>
      </c>
    </row>
    <row r="609" spans="1:3">
      <c r="A609" t="s">
        <v>146</v>
      </c>
      <c r="B609" t="s">
        <v>302</v>
      </c>
      <c r="C609" s="20">
        <f>IF(SQRT((Coordenadas!$C$99-Coordenadas!$C$197)^2+(Coordenadas!$D$99-Coordenadas!$D$197)^2)&lt;=LEEME!$B$20,EXP(-LEEME!$B$19*SQRT((Coordenadas!$C$99-Coordenadas!$C$197)^2+(Coordenadas!$D$99-Coordenadas!$D$197)^2)),0)</f>
        <v>0.41506002405706743</v>
      </c>
    </row>
    <row r="610" spans="1:3">
      <c r="A610" t="s">
        <v>146</v>
      </c>
      <c r="B610" t="s">
        <v>303</v>
      </c>
      <c r="C610" s="20">
        <f>IF(SQRT((Coordenadas!$C$99-Coordenadas!$C$198)^2+(Coordenadas!$D$99-Coordenadas!$D$198)^2)&lt;=LEEME!$B$20,EXP(-LEEME!$B$19*SQRT((Coordenadas!$C$99-Coordenadas!$C$198)^2+(Coordenadas!$D$99-Coordenadas!$D$198)^2)),0)</f>
        <v>0.61711447623070781</v>
      </c>
    </row>
    <row r="611" spans="1:3">
      <c r="A611" t="s">
        <v>146</v>
      </c>
      <c r="B611" t="s">
        <v>305</v>
      </c>
      <c r="C611" s="20">
        <f>IF(SQRT((Coordenadas!$C$99-Coordenadas!$C$200)^2+(Coordenadas!$D$99-Coordenadas!$D$200)^2)&lt;=LEEME!$B$20,EXP(-LEEME!$B$19*SQRT((Coordenadas!$C$99-Coordenadas!$C$200)^2+(Coordenadas!$D$99-Coordenadas!$D$200)^2)),0)</f>
        <v>0.63860471210094916</v>
      </c>
    </row>
    <row r="612" spans="1:3">
      <c r="A612" t="s">
        <v>146</v>
      </c>
      <c r="B612" t="s">
        <v>306</v>
      </c>
      <c r="C612" s="20">
        <f>IF(SQRT((Coordenadas!$C$99-Coordenadas!$C$201)^2+(Coordenadas!$D$99-Coordenadas!$D$201)^2)&lt;=LEEME!$B$20,EXP(-LEEME!$B$19*SQRT((Coordenadas!$C$99-Coordenadas!$C$201)^2+(Coordenadas!$D$99-Coordenadas!$D$201)^2)),0)</f>
        <v>0.51261753308162805</v>
      </c>
    </row>
    <row r="613" spans="1:3">
      <c r="A613" t="s">
        <v>146</v>
      </c>
      <c r="B613" t="s">
        <v>307</v>
      </c>
      <c r="C613" s="20">
        <f>IF(SQRT((Coordenadas!$C$99-Coordenadas!$C$202)^2+(Coordenadas!$D$99-Coordenadas!$D$202)^2)&lt;=LEEME!$B$20,EXP(-LEEME!$B$19*SQRT((Coordenadas!$C$99-Coordenadas!$C$202)^2+(Coordenadas!$D$99-Coordenadas!$D$202)^2)),0)</f>
        <v>0.53518650555415992</v>
      </c>
    </row>
    <row r="614" spans="1:3">
      <c r="A614" t="s">
        <v>146</v>
      </c>
      <c r="B614" t="s">
        <v>308</v>
      </c>
      <c r="C614" s="20">
        <f>IF(SQRT((Coordenadas!$C$99-Coordenadas!$C$203)^2+(Coordenadas!$D$99-Coordenadas!$D$203)^2)&lt;=LEEME!$B$20,EXP(-LEEME!$B$19*SQRT((Coordenadas!$C$99-Coordenadas!$C$203)^2+(Coordenadas!$D$99-Coordenadas!$D$203)^2)),0)</f>
        <v>0.40791830737078283</v>
      </c>
    </row>
    <row r="615" spans="1:3">
      <c r="A615" t="s">
        <v>147</v>
      </c>
      <c r="B615" t="s">
        <v>296</v>
      </c>
      <c r="C615" s="20">
        <f>IF(SQRT((Coordenadas!$C$100-Coordenadas!$C$191)^2+(Coordenadas!$D$100-Coordenadas!$D$191)^2)&lt;=LEEME!$B$20,EXP(-LEEME!$B$19*SQRT((Coordenadas!$C$100-Coordenadas!$C$191)^2+(Coordenadas!$D$100-Coordenadas!$D$191)^2)),0)</f>
        <v>0.46747422145858608</v>
      </c>
    </row>
    <row r="616" spans="1:3">
      <c r="A616" t="s">
        <v>147</v>
      </c>
      <c r="B616" t="s">
        <v>299</v>
      </c>
      <c r="C616" s="20">
        <f>IF(SQRT((Coordenadas!$C$100-Coordenadas!$C$194)^2+(Coordenadas!$D$100-Coordenadas!$D$194)^2)&lt;=LEEME!$B$20,EXP(-LEEME!$B$19*SQRT((Coordenadas!$C$100-Coordenadas!$C$194)^2+(Coordenadas!$D$100-Coordenadas!$D$194)^2)),0)</f>
        <v>0.4970647154482728</v>
      </c>
    </row>
    <row r="617" spans="1:3">
      <c r="A617" t="s">
        <v>147</v>
      </c>
      <c r="B617" t="s">
        <v>301</v>
      </c>
      <c r="C617" s="20">
        <f>IF(SQRT((Coordenadas!$C$100-Coordenadas!$C$196)^2+(Coordenadas!$D$100-Coordenadas!$D$196)^2)&lt;=LEEME!$B$20,EXP(-LEEME!$B$19*SQRT((Coordenadas!$C$100-Coordenadas!$C$196)^2+(Coordenadas!$D$100-Coordenadas!$D$196)^2)),0)</f>
        <v>0.3808302767735009</v>
      </c>
    </row>
    <row r="618" spans="1:3">
      <c r="A618" t="s">
        <v>147</v>
      </c>
      <c r="B618" t="s">
        <v>302</v>
      </c>
      <c r="C618" s="20">
        <f>IF(SQRT((Coordenadas!$C$100-Coordenadas!$C$197)^2+(Coordenadas!$D$100-Coordenadas!$D$197)^2)&lt;=LEEME!$B$20,EXP(-LEEME!$B$19*SQRT((Coordenadas!$C$100-Coordenadas!$C$197)^2+(Coordenadas!$D$100-Coordenadas!$D$197)^2)),0)</f>
        <v>0.42771686858361541</v>
      </c>
    </row>
    <row r="619" spans="1:3">
      <c r="A619" t="s">
        <v>147</v>
      </c>
      <c r="B619" t="s">
        <v>303</v>
      </c>
      <c r="C619" s="20">
        <f>IF(SQRT((Coordenadas!$C$100-Coordenadas!$C$198)^2+(Coordenadas!$D$100-Coordenadas!$D$198)^2)&lt;=LEEME!$B$20,EXP(-LEEME!$B$19*SQRT((Coordenadas!$C$100-Coordenadas!$C$198)^2+(Coordenadas!$D$100-Coordenadas!$D$198)^2)),0)</f>
        <v>0.69610837905758327</v>
      </c>
    </row>
    <row r="620" spans="1:3">
      <c r="A620" t="s">
        <v>147</v>
      </c>
      <c r="B620" t="s">
        <v>305</v>
      </c>
      <c r="C620" s="20">
        <f>IF(SQRT((Coordenadas!$C$100-Coordenadas!$C$200)^2+(Coordenadas!$D$100-Coordenadas!$D$200)^2)&lt;=LEEME!$B$20,EXP(-LEEME!$B$19*SQRT((Coordenadas!$C$100-Coordenadas!$C$200)^2+(Coordenadas!$D$100-Coordenadas!$D$200)^2)),0)</f>
        <v>0.69918441356478367</v>
      </c>
    </row>
    <row r="621" spans="1:3">
      <c r="A621" t="s">
        <v>147</v>
      </c>
      <c r="B621" t="s">
        <v>306</v>
      </c>
      <c r="C621" s="20">
        <f>IF(SQRT((Coordenadas!$C$100-Coordenadas!$C$201)^2+(Coordenadas!$D$100-Coordenadas!$D$201)^2)&lt;=LEEME!$B$20,EXP(-LEEME!$B$19*SQRT((Coordenadas!$C$100-Coordenadas!$C$201)^2+(Coordenadas!$D$100-Coordenadas!$D$201)^2)),0)</f>
        <v>0.50628200489718467</v>
      </c>
    </row>
    <row r="622" spans="1:3">
      <c r="A622" t="s">
        <v>147</v>
      </c>
      <c r="B622" t="s">
        <v>307</v>
      </c>
      <c r="C622" s="20">
        <f>IF(SQRT((Coordenadas!$C$100-Coordenadas!$C$202)^2+(Coordenadas!$D$100-Coordenadas!$D$202)^2)&lt;=LEEME!$B$20,EXP(-LEEME!$B$19*SQRT((Coordenadas!$C$100-Coordenadas!$C$202)^2+(Coordenadas!$D$100-Coordenadas!$D$202)^2)),0)</f>
        <v>0.51766541945776678</v>
      </c>
    </row>
    <row r="623" spans="1:3">
      <c r="A623" t="s">
        <v>147</v>
      </c>
      <c r="B623" t="s">
        <v>308</v>
      </c>
      <c r="C623" s="20">
        <f>IF(SQRT((Coordenadas!$C$100-Coordenadas!$C$203)^2+(Coordenadas!$D$100-Coordenadas!$D$203)^2)&lt;=LEEME!$B$20,EXP(-LEEME!$B$19*SQRT((Coordenadas!$C$100-Coordenadas!$C$203)^2+(Coordenadas!$D$100-Coordenadas!$D$203)^2)),0)</f>
        <v>0.39294309787781745</v>
      </c>
    </row>
    <row r="624" spans="1:3">
      <c r="A624" t="s">
        <v>148</v>
      </c>
      <c r="B624" t="s">
        <v>278</v>
      </c>
      <c r="C624" s="20">
        <f>IF(SQRT((Coordenadas!$C$101-Coordenadas!$C$173)^2+(Coordenadas!$D$101-Coordenadas!$D$173)^2)&lt;=LEEME!$B$20,EXP(-LEEME!$B$19*SQRT((Coordenadas!$C$101-Coordenadas!$C$173)^2+(Coordenadas!$D$101-Coordenadas!$D$173)^2)),0)</f>
        <v>0.4356491040673805</v>
      </c>
    </row>
    <row r="625" spans="1:3">
      <c r="A625" t="s">
        <v>148</v>
      </c>
      <c r="B625" t="s">
        <v>280</v>
      </c>
      <c r="C625" s="20">
        <f>IF(SQRT((Coordenadas!$C$101-Coordenadas!$C$175)^2+(Coordenadas!$D$101-Coordenadas!$D$175)^2)&lt;=LEEME!$B$20,EXP(-LEEME!$B$19*SQRT((Coordenadas!$C$101-Coordenadas!$C$175)^2+(Coordenadas!$D$101-Coordenadas!$D$175)^2)),0)</f>
        <v>0.49636373401597528</v>
      </c>
    </row>
    <row r="626" spans="1:3">
      <c r="A626" t="s">
        <v>148</v>
      </c>
      <c r="B626" t="s">
        <v>285</v>
      </c>
      <c r="C626" s="20">
        <f>IF(SQRT((Coordenadas!$C$101-Coordenadas!$C$180)^2+(Coordenadas!$D$101-Coordenadas!$D$180)^2)&lt;=LEEME!$B$20,EXP(-LEEME!$B$19*SQRT((Coordenadas!$C$101-Coordenadas!$C$180)^2+(Coordenadas!$D$101-Coordenadas!$D$180)^2)),0)</f>
        <v>0.68410902180652911</v>
      </c>
    </row>
    <row r="627" spans="1:3">
      <c r="A627" t="s">
        <v>148</v>
      </c>
      <c r="B627" t="s">
        <v>290</v>
      </c>
      <c r="C627" s="20">
        <f>IF(SQRT((Coordenadas!$C$101-Coordenadas!$C$185)^2+(Coordenadas!$D$101-Coordenadas!$D$185)^2)&lt;=LEEME!$B$20,EXP(-LEEME!$B$19*SQRT((Coordenadas!$C$101-Coordenadas!$C$185)^2+(Coordenadas!$D$101-Coordenadas!$D$185)^2)),0)</f>
        <v>0.76953892826180947</v>
      </c>
    </row>
    <row r="628" spans="1:3">
      <c r="A628" t="s">
        <v>148</v>
      </c>
      <c r="B628" t="s">
        <v>291</v>
      </c>
      <c r="C628" s="20">
        <f>IF(SQRT((Coordenadas!$C$101-Coordenadas!$C$186)^2+(Coordenadas!$D$101-Coordenadas!$D$186)^2)&lt;=LEEME!$B$20,EXP(-LEEME!$B$19*SQRT((Coordenadas!$C$101-Coordenadas!$C$186)^2+(Coordenadas!$D$101-Coordenadas!$D$186)^2)),0)</f>
        <v>0.60344583121358131</v>
      </c>
    </row>
    <row r="629" spans="1:3">
      <c r="A629" t="s">
        <v>148</v>
      </c>
      <c r="B629" t="s">
        <v>293</v>
      </c>
      <c r="C629" s="20">
        <f>IF(SQRT((Coordenadas!$C$101-Coordenadas!$C$188)^2+(Coordenadas!$D$101-Coordenadas!$D$188)^2)&lt;=LEEME!$B$20,EXP(-LEEME!$B$19*SQRT((Coordenadas!$C$101-Coordenadas!$C$188)^2+(Coordenadas!$D$101-Coordenadas!$D$188)^2)),0)</f>
        <v>0.44057941524133554</v>
      </c>
    </row>
    <row r="630" spans="1:3">
      <c r="A630" t="s">
        <v>148</v>
      </c>
      <c r="B630" t="s">
        <v>296</v>
      </c>
      <c r="C630" s="20">
        <f>IF(SQRT((Coordenadas!$C$101-Coordenadas!$C$191)^2+(Coordenadas!$D$101-Coordenadas!$D$191)^2)&lt;=LEEME!$B$20,EXP(-LEEME!$B$19*SQRT((Coordenadas!$C$101-Coordenadas!$C$191)^2+(Coordenadas!$D$101-Coordenadas!$D$191)^2)),0)</f>
        <v>0.38628867290774505</v>
      </c>
    </row>
    <row r="631" spans="1:3">
      <c r="A631" t="s">
        <v>149</v>
      </c>
      <c r="B631" t="s">
        <v>280</v>
      </c>
      <c r="C631" s="20">
        <f>IF(SQRT((Coordenadas!$C$102-Coordenadas!$C$175)^2+(Coordenadas!$D$102-Coordenadas!$D$175)^2)&lt;=LEEME!$B$20,EXP(-LEEME!$B$19*SQRT((Coordenadas!$C$102-Coordenadas!$C$175)^2+(Coordenadas!$D$102-Coordenadas!$D$175)^2)),0)</f>
        <v>0.37903907746438703</v>
      </c>
    </row>
    <row r="632" spans="1:3">
      <c r="A632" t="s">
        <v>149</v>
      </c>
      <c r="B632" t="s">
        <v>285</v>
      </c>
      <c r="C632" s="20">
        <f>IF(SQRT((Coordenadas!$C$102-Coordenadas!$C$180)^2+(Coordenadas!$D$102-Coordenadas!$D$180)^2)&lt;=LEEME!$B$20,EXP(-LEEME!$B$19*SQRT((Coordenadas!$C$102-Coordenadas!$C$180)^2+(Coordenadas!$D$102-Coordenadas!$D$180)^2)),0)</f>
        <v>0.66763668478279514</v>
      </c>
    </row>
    <row r="633" spans="1:3">
      <c r="A633" t="s">
        <v>149</v>
      </c>
      <c r="B633" t="s">
        <v>290</v>
      </c>
      <c r="C633" s="20">
        <f>IF(SQRT((Coordenadas!$C$102-Coordenadas!$C$185)^2+(Coordenadas!$D$102-Coordenadas!$D$185)^2)&lt;=LEEME!$B$20,EXP(-LEEME!$B$19*SQRT((Coordenadas!$C$102-Coordenadas!$C$185)^2+(Coordenadas!$D$102-Coordenadas!$D$185)^2)),0)</f>
        <v>0.97530991202833273</v>
      </c>
    </row>
    <row r="634" spans="1:3">
      <c r="A634" t="s">
        <v>149</v>
      </c>
      <c r="B634" t="s">
        <v>291</v>
      </c>
      <c r="C634" s="20">
        <f>IF(SQRT((Coordenadas!$C$102-Coordenadas!$C$186)^2+(Coordenadas!$D$102-Coordenadas!$D$186)^2)&lt;=LEEME!$B$20,EXP(-LEEME!$B$19*SQRT((Coordenadas!$C$102-Coordenadas!$C$186)^2+(Coordenadas!$D$102-Coordenadas!$D$186)^2)),0)</f>
        <v>0.58112250097679041</v>
      </c>
    </row>
    <row r="635" spans="1:3">
      <c r="A635" t="s">
        <v>149</v>
      </c>
      <c r="B635" t="s">
        <v>293</v>
      </c>
      <c r="C635" s="20">
        <f>IF(SQRT((Coordenadas!$C$102-Coordenadas!$C$188)^2+(Coordenadas!$D$102-Coordenadas!$D$188)^2)&lt;=LEEME!$B$20,EXP(-LEEME!$B$19*SQRT((Coordenadas!$C$102-Coordenadas!$C$188)^2+(Coordenadas!$D$102-Coordenadas!$D$188)^2)),0)</f>
        <v>0.55453878943647317</v>
      </c>
    </row>
    <row r="636" spans="1:3">
      <c r="A636" t="s">
        <v>149</v>
      </c>
      <c r="B636" t="s">
        <v>296</v>
      </c>
      <c r="C636" s="20">
        <f>IF(SQRT((Coordenadas!$C$102-Coordenadas!$C$191)^2+(Coordenadas!$D$102-Coordenadas!$D$191)^2)&lt;=LEEME!$B$20,EXP(-LEEME!$B$19*SQRT((Coordenadas!$C$102-Coordenadas!$C$191)^2+(Coordenadas!$D$102-Coordenadas!$D$191)^2)),0)</f>
        <v>0.41550895895862655</v>
      </c>
    </row>
    <row r="637" spans="1:3">
      <c r="A637" t="s">
        <v>149</v>
      </c>
      <c r="B637" t="s">
        <v>298</v>
      </c>
      <c r="C637" s="20">
        <f>IF(SQRT((Coordenadas!$C$102-Coordenadas!$C$193)^2+(Coordenadas!$D$102-Coordenadas!$D$193)^2)&lt;=LEEME!$B$20,EXP(-LEEME!$B$19*SQRT((Coordenadas!$C$102-Coordenadas!$C$193)^2+(Coordenadas!$D$102-Coordenadas!$D$193)^2)),0)</f>
        <v>0.40760012848696175</v>
      </c>
    </row>
    <row r="638" spans="1:3">
      <c r="A638" t="s">
        <v>150</v>
      </c>
      <c r="B638" t="s">
        <v>285</v>
      </c>
      <c r="C638" s="20">
        <f>IF(SQRT((Coordenadas!$C$103-Coordenadas!$C$180)^2+(Coordenadas!$D$103-Coordenadas!$D$180)^2)&lt;=LEEME!$B$20,EXP(-LEEME!$B$19*SQRT((Coordenadas!$C$103-Coordenadas!$C$180)^2+(Coordenadas!$D$103-Coordenadas!$D$180)^2)),0)</f>
        <v>0.51659698184525404</v>
      </c>
    </row>
    <row r="639" spans="1:3">
      <c r="A639" t="s">
        <v>150</v>
      </c>
      <c r="B639" t="s">
        <v>290</v>
      </c>
      <c r="C639" s="20">
        <f>IF(SQRT((Coordenadas!$C$103-Coordenadas!$C$185)^2+(Coordenadas!$D$103-Coordenadas!$D$185)^2)&lt;=LEEME!$B$20,EXP(-LEEME!$B$19*SQRT((Coordenadas!$C$103-Coordenadas!$C$185)^2+(Coordenadas!$D$103-Coordenadas!$D$185)^2)),0)</f>
        <v>0.75578374145572547</v>
      </c>
    </row>
    <row r="640" spans="1:3">
      <c r="A640" t="s">
        <v>150</v>
      </c>
      <c r="B640" t="s">
        <v>291</v>
      </c>
      <c r="C640" s="20">
        <f>IF(SQRT((Coordenadas!$C$103-Coordenadas!$C$186)^2+(Coordenadas!$D$103-Coordenadas!$D$186)^2)&lt;=LEEME!$B$20,EXP(-LEEME!$B$19*SQRT((Coordenadas!$C$103-Coordenadas!$C$186)^2+(Coordenadas!$D$103-Coordenadas!$D$186)^2)),0)</f>
        <v>0.5700647443341067</v>
      </c>
    </row>
    <row r="641" spans="1:3">
      <c r="A641" t="s">
        <v>150</v>
      </c>
      <c r="B641" t="s">
        <v>293</v>
      </c>
      <c r="C641" s="20">
        <f>IF(SQRT((Coordenadas!$C$103-Coordenadas!$C$188)^2+(Coordenadas!$D$103-Coordenadas!$D$188)^2)&lt;=LEEME!$B$20,EXP(-LEEME!$B$19*SQRT((Coordenadas!$C$103-Coordenadas!$C$188)^2+(Coordenadas!$D$103-Coordenadas!$D$188)^2)),0)</f>
        <v>0.56403026873889928</v>
      </c>
    </row>
    <row r="642" spans="1:3">
      <c r="A642" t="s">
        <v>150</v>
      </c>
      <c r="B642" t="s">
        <v>295</v>
      </c>
      <c r="C642" s="20">
        <f>IF(SQRT((Coordenadas!$C$103-Coordenadas!$C$190)^2+(Coordenadas!$D$103-Coordenadas!$D$190)^2)&lt;=LEEME!$B$20,EXP(-LEEME!$B$19*SQRT((Coordenadas!$C$103-Coordenadas!$C$190)^2+(Coordenadas!$D$103-Coordenadas!$D$190)^2)),0)</f>
        <v>0.37168462990020124</v>
      </c>
    </row>
    <row r="643" spans="1:3">
      <c r="A643" t="s">
        <v>150</v>
      </c>
      <c r="B643" t="s">
        <v>296</v>
      </c>
      <c r="C643" s="20">
        <f>IF(SQRT((Coordenadas!$C$103-Coordenadas!$C$191)^2+(Coordenadas!$D$103-Coordenadas!$D$191)^2)&lt;=LEEME!$B$20,EXP(-LEEME!$B$19*SQRT((Coordenadas!$C$103-Coordenadas!$C$191)^2+(Coordenadas!$D$103-Coordenadas!$D$191)^2)),0)</f>
        <v>0.48320037231676255</v>
      </c>
    </row>
    <row r="644" spans="1:3">
      <c r="A644" t="s">
        <v>150</v>
      </c>
      <c r="B644" t="s">
        <v>298</v>
      </c>
      <c r="C644" s="20">
        <f>IF(SQRT((Coordenadas!$C$103-Coordenadas!$C$193)^2+(Coordenadas!$D$103-Coordenadas!$D$193)^2)&lt;=LEEME!$B$20,EXP(-LEEME!$B$19*SQRT((Coordenadas!$C$103-Coordenadas!$C$193)^2+(Coordenadas!$D$103-Coordenadas!$D$193)^2)),0)</f>
        <v>0.50504913697180986</v>
      </c>
    </row>
    <row r="645" spans="1:3">
      <c r="A645" t="s">
        <v>150</v>
      </c>
      <c r="B645" t="s">
        <v>300</v>
      </c>
      <c r="C645" s="20">
        <f>IF(SQRT((Coordenadas!$C$103-Coordenadas!$C$195)^2+(Coordenadas!$D$103-Coordenadas!$D$195)^2)&lt;=LEEME!$B$20,EXP(-LEEME!$B$19*SQRT((Coordenadas!$C$103-Coordenadas!$C$195)^2+(Coordenadas!$D$103-Coordenadas!$D$195)^2)),0)</f>
        <v>0.42083263122924086</v>
      </c>
    </row>
    <row r="646" spans="1:3">
      <c r="A646" t="s">
        <v>150</v>
      </c>
      <c r="B646" t="s">
        <v>301</v>
      </c>
      <c r="C646" s="20">
        <f>IF(SQRT((Coordenadas!$C$103-Coordenadas!$C$196)^2+(Coordenadas!$D$103-Coordenadas!$D$196)^2)&lt;=LEEME!$B$20,EXP(-LEEME!$B$19*SQRT((Coordenadas!$C$103-Coordenadas!$C$196)^2+(Coordenadas!$D$103-Coordenadas!$D$196)^2)),0)</f>
        <v>0.42229676289874446</v>
      </c>
    </row>
    <row r="647" spans="1:3">
      <c r="A647" t="s">
        <v>150</v>
      </c>
      <c r="B647" t="s">
        <v>303</v>
      </c>
      <c r="C647" s="20">
        <f>IF(SQRT((Coordenadas!$C$103-Coordenadas!$C$198)^2+(Coordenadas!$D$103-Coordenadas!$D$198)^2)&lt;=LEEME!$B$20,EXP(-LEEME!$B$19*SQRT((Coordenadas!$C$103-Coordenadas!$C$198)^2+(Coordenadas!$D$103-Coordenadas!$D$198)^2)),0)</f>
        <v>0.42192358830572924</v>
      </c>
    </row>
    <row r="648" spans="1:3">
      <c r="A648" t="s">
        <v>150</v>
      </c>
      <c r="B648" t="s">
        <v>305</v>
      </c>
      <c r="C648" s="20">
        <f>IF(SQRT((Coordenadas!$C$103-Coordenadas!$C$200)^2+(Coordenadas!$D$103-Coordenadas!$D$200)^2)&lt;=LEEME!$B$20,EXP(-LEEME!$B$19*SQRT((Coordenadas!$C$103-Coordenadas!$C$200)^2+(Coordenadas!$D$103-Coordenadas!$D$200)^2)),0)</f>
        <v>0.39112195897686408</v>
      </c>
    </row>
    <row r="649" spans="1:3">
      <c r="A649" t="s">
        <v>151</v>
      </c>
      <c r="B649" t="s">
        <v>271</v>
      </c>
      <c r="C649" s="20">
        <f>IF(SQRT((Coordenadas!$C$104-Coordenadas!$C$166)^2+(Coordenadas!$D$104-Coordenadas!$D$166)^2)&lt;=LEEME!$B$20,EXP(-LEEME!$B$19*SQRT((Coordenadas!$C$104-Coordenadas!$C$166)^2+(Coordenadas!$D$104-Coordenadas!$D$166)^2)),0)</f>
        <v>0.39258586553151842</v>
      </c>
    </row>
    <row r="650" spans="1:3">
      <c r="A650" t="s">
        <v>151</v>
      </c>
      <c r="B650" t="s">
        <v>277</v>
      </c>
      <c r="C650" s="20">
        <f>IF(SQRT((Coordenadas!$C$104-Coordenadas!$C$172)^2+(Coordenadas!$D$104-Coordenadas!$D$172)^2)&lt;=LEEME!$B$20,EXP(-LEEME!$B$19*SQRT((Coordenadas!$C$104-Coordenadas!$C$172)^2+(Coordenadas!$D$104-Coordenadas!$D$172)^2)),0)</f>
        <v>0.38570071889880392</v>
      </c>
    </row>
    <row r="651" spans="1:3">
      <c r="A651" t="s">
        <v>152</v>
      </c>
      <c r="B651" t="s">
        <v>270</v>
      </c>
      <c r="C651" s="20">
        <f>IF(SQRT((Coordenadas!$C$105-Coordenadas!$C$165)^2+(Coordenadas!$D$105-Coordenadas!$D$165)^2)&lt;=LEEME!$B$20,EXP(-LEEME!$B$19*SQRT((Coordenadas!$C$105-Coordenadas!$C$165)^2+(Coordenadas!$D$105-Coordenadas!$D$165)^2)),0)</f>
        <v>0.53862885014022832</v>
      </c>
    </row>
    <row r="652" spans="1:3">
      <c r="A652" t="s">
        <v>152</v>
      </c>
      <c r="B652" t="s">
        <v>271</v>
      </c>
      <c r="C652" s="20">
        <f>IF(SQRT((Coordenadas!$C$105-Coordenadas!$C$166)^2+(Coordenadas!$D$105-Coordenadas!$D$166)^2)&lt;=LEEME!$B$20,EXP(-LEEME!$B$19*SQRT((Coordenadas!$C$105-Coordenadas!$C$166)^2+(Coordenadas!$D$105-Coordenadas!$D$166)^2)),0)</f>
        <v>0.83850129815059571</v>
      </c>
    </row>
    <row r="653" spans="1:3">
      <c r="A653" t="s">
        <v>152</v>
      </c>
      <c r="B653" t="s">
        <v>273</v>
      </c>
      <c r="C653" s="20">
        <f>IF(SQRT((Coordenadas!$C$105-Coordenadas!$C$168)^2+(Coordenadas!$D$105-Coordenadas!$D$168)^2)&lt;=LEEME!$B$20,EXP(-LEEME!$B$19*SQRT((Coordenadas!$C$105-Coordenadas!$C$168)^2+(Coordenadas!$D$105-Coordenadas!$D$168)^2)),0)</f>
        <v>0.52645991732755348</v>
      </c>
    </row>
    <row r="654" spans="1:3">
      <c r="A654" t="s">
        <v>152</v>
      </c>
      <c r="B654" t="s">
        <v>274</v>
      </c>
      <c r="C654" s="20">
        <f>IF(SQRT((Coordenadas!$C$105-Coordenadas!$C$169)^2+(Coordenadas!$D$105-Coordenadas!$D$169)^2)&lt;=LEEME!$B$20,EXP(-LEEME!$B$19*SQRT((Coordenadas!$C$105-Coordenadas!$C$169)^2+(Coordenadas!$D$105-Coordenadas!$D$169)^2)),0)</f>
        <v>0.55583606551624654</v>
      </c>
    </row>
    <row r="655" spans="1:3">
      <c r="A655" t="s">
        <v>152</v>
      </c>
      <c r="B655" t="s">
        <v>275</v>
      </c>
      <c r="C655" s="20">
        <f>IF(SQRT((Coordenadas!$C$105-Coordenadas!$C$170)^2+(Coordenadas!$D$105-Coordenadas!$D$170)^2)&lt;=LEEME!$B$20,EXP(-LEEME!$B$19*SQRT((Coordenadas!$C$105-Coordenadas!$C$170)^2+(Coordenadas!$D$105-Coordenadas!$D$170)^2)),0)</f>
        <v>0.61721038375851867</v>
      </c>
    </row>
    <row r="656" spans="1:3">
      <c r="A656" t="s">
        <v>152</v>
      </c>
      <c r="B656" t="s">
        <v>276</v>
      </c>
      <c r="C656" s="20">
        <f>IF(SQRT((Coordenadas!$C$105-Coordenadas!$C$171)^2+(Coordenadas!$D$105-Coordenadas!$D$171)^2)&lt;=LEEME!$B$20,EXP(-LEEME!$B$19*SQRT((Coordenadas!$C$105-Coordenadas!$C$171)^2+(Coordenadas!$D$105-Coordenadas!$D$171)^2)),0)</f>
        <v>0.50674741320421879</v>
      </c>
    </row>
    <row r="657" spans="1:3">
      <c r="A657" t="s">
        <v>152</v>
      </c>
      <c r="B657" t="s">
        <v>277</v>
      </c>
      <c r="C657" s="20">
        <f>IF(SQRT((Coordenadas!$C$105-Coordenadas!$C$172)^2+(Coordenadas!$D$105-Coordenadas!$D$172)^2)&lt;=LEEME!$B$20,EXP(-LEEME!$B$19*SQRT((Coordenadas!$C$105-Coordenadas!$C$172)^2+(Coordenadas!$D$105-Coordenadas!$D$172)^2)),0)</f>
        <v>0.41136647626410661</v>
      </c>
    </row>
    <row r="658" spans="1:3">
      <c r="A658" t="s">
        <v>153</v>
      </c>
      <c r="B658" t="s">
        <v>270</v>
      </c>
      <c r="C658" s="20">
        <f>IF(SQRT((Coordenadas!$C$106-Coordenadas!$C$165)^2+(Coordenadas!$D$106-Coordenadas!$D$165)^2)&lt;=LEEME!$B$20,EXP(-LEEME!$B$19*SQRT((Coordenadas!$C$106-Coordenadas!$C$165)^2+(Coordenadas!$D$106-Coordenadas!$D$165)^2)),0)</f>
        <v>0.46387177064165974</v>
      </c>
    </row>
    <row r="659" spans="1:3">
      <c r="A659" t="s">
        <v>153</v>
      </c>
      <c r="B659" t="s">
        <v>271</v>
      </c>
      <c r="C659" s="20">
        <f>IF(SQRT((Coordenadas!$C$106-Coordenadas!$C$166)^2+(Coordenadas!$D$106-Coordenadas!$D$166)^2)&lt;=LEEME!$B$20,EXP(-LEEME!$B$19*SQRT((Coordenadas!$C$106-Coordenadas!$C$166)^2+(Coordenadas!$D$106-Coordenadas!$D$166)^2)),0)</f>
        <v>0.69064101150409729</v>
      </c>
    </row>
    <row r="660" spans="1:3">
      <c r="A660" t="s">
        <v>153</v>
      </c>
      <c r="B660" t="s">
        <v>273</v>
      </c>
      <c r="C660" s="20">
        <f>IF(SQRT((Coordenadas!$C$106-Coordenadas!$C$168)^2+(Coordenadas!$D$106-Coordenadas!$D$168)^2)&lt;=LEEME!$B$20,EXP(-LEEME!$B$19*SQRT((Coordenadas!$C$106-Coordenadas!$C$168)^2+(Coordenadas!$D$106-Coordenadas!$D$168)^2)),0)</f>
        <v>0.6088180459534045</v>
      </c>
    </row>
    <row r="661" spans="1:3">
      <c r="A661" t="s">
        <v>153</v>
      </c>
      <c r="B661" t="s">
        <v>274</v>
      </c>
      <c r="C661" s="20">
        <f>IF(SQRT((Coordenadas!$C$106-Coordenadas!$C$169)^2+(Coordenadas!$D$106-Coordenadas!$D$169)^2)&lt;=LEEME!$B$20,EXP(-LEEME!$B$19*SQRT((Coordenadas!$C$106-Coordenadas!$C$169)^2+(Coordenadas!$D$106-Coordenadas!$D$169)^2)),0)</f>
        <v>0.72442719925069177</v>
      </c>
    </row>
    <row r="662" spans="1:3">
      <c r="A662" t="s">
        <v>153</v>
      </c>
      <c r="B662" t="s">
        <v>275</v>
      </c>
      <c r="C662" s="20">
        <f>IF(SQRT((Coordenadas!$C$106-Coordenadas!$C$170)^2+(Coordenadas!$D$106-Coordenadas!$D$170)^2)&lt;=LEEME!$B$20,EXP(-LEEME!$B$19*SQRT((Coordenadas!$C$106-Coordenadas!$C$170)^2+(Coordenadas!$D$106-Coordenadas!$D$170)^2)),0)</f>
        <v>0.80976639150647534</v>
      </c>
    </row>
    <row r="663" spans="1:3">
      <c r="A663" t="s">
        <v>153</v>
      </c>
      <c r="B663" t="s">
        <v>276</v>
      </c>
      <c r="C663" s="20">
        <f>IF(SQRT((Coordenadas!$C$106-Coordenadas!$C$171)^2+(Coordenadas!$D$106-Coordenadas!$D$171)^2)&lt;=LEEME!$B$20,EXP(-LEEME!$B$19*SQRT((Coordenadas!$C$106-Coordenadas!$C$171)^2+(Coordenadas!$D$106-Coordenadas!$D$171)^2)),0)</f>
        <v>0.67232047782027626</v>
      </c>
    </row>
    <row r="664" spans="1:3">
      <c r="A664" t="s">
        <v>153</v>
      </c>
      <c r="B664" t="s">
        <v>277</v>
      </c>
      <c r="C664" s="20">
        <f>IF(SQRT((Coordenadas!$C$106-Coordenadas!$C$172)^2+(Coordenadas!$D$106-Coordenadas!$D$172)^2)&lt;=LEEME!$B$20,EXP(-LEEME!$B$19*SQRT((Coordenadas!$C$106-Coordenadas!$C$172)^2+(Coordenadas!$D$106-Coordenadas!$D$172)^2)),0)</f>
        <v>0.46886993891560219</v>
      </c>
    </row>
    <row r="665" spans="1:3">
      <c r="A665" t="s">
        <v>153</v>
      </c>
      <c r="B665" t="s">
        <v>278</v>
      </c>
      <c r="C665" s="20">
        <f>IF(SQRT((Coordenadas!$C$106-Coordenadas!$C$173)^2+(Coordenadas!$D$106-Coordenadas!$D$173)^2)&lt;=LEEME!$B$20,EXP(-LEEME!$B$19*SQRT((Coordenadas!$C$106-Coordenadas!$C$173)^2+(Coordenadas!$D$106-Coordenadas!$D$173)^2)),0)</f>
        <v>0.43515164697845971</v>
      </c>
    </row>
    <row r="666" spans="1:3">
      <c r="A666" t="s">
        <v>153</v>
      </c>
      <c r="B666" t="s">
        <v>280</v>
      </c>
      <c r="C666" s="20">
        <f>IF(SQRT((Coordenadas!$C$106-Coordenadas!$C$175)^2+(Coordenadas!$D$106-Coordenadas!$D$175)^2)&lt;=LEEME!$B$20,EXP(-LEEME!$B$19*SQRT((Coordenadas!$C$106-Coordenadas!$C$175)^2+(Coordenadas!$D$106-Coordenadas!$D$175)^2)),0)</f>
        <v>0.44564912126315792</v>
      </c>
    </row>
    <row r="667" spans="1:3">
      <c r="A667" t="s">
        <v>154</v>
      </c>
      <c r="B667" t="s">
        <v>271</v>
      </c>
      <c r="C667" s="20">
        <f>IF(SQRT((Coordenadas!$C$107-Coordenadas!$C$166)^2+(Coordenadas!$D$107-Coordenadas!$D$166)^2)&lt;=LEEME!$B$20,EXP(-LEEME!$B$19*SQRT((Coordenadas!$C$107-Coordenadas!$C$166)^2+(Coordenadas!$D$107-Coordenadas!$D$166)^2)),0)</f>
        <v>0.37626137636202411</v>
      </c>
    </row>
    <row r="668" spans="1:3">
      <c r="A668" t="s">
        <v>154</v>
      </c>
      <c r="B668" t="s">
        <v>275</v>
      </c>
      <c r="C668" s="20">
        <f>IF(SQRT((Coordenadas!$C$107-Coordenadas!$C$170)^2+(Coordenadas!$D$107-Coordenadas!$D$170)^2)&lt;=LEEME!$B$20,EXP(-LEEME!$B$19*SQRT((Coordenadas!$C$107-Coordenadas!$C$170)^2+(Coordenadas!$D$107-Coordenadas!$D$170)^2)),0)</f>
        <v>0.3978002460741627</v>
      </c>
    </row>
    <row r="669" spans="1:3">
      <c r="A669" t="s">
        <v>154</v>
      </c>
      <c r="B669" t="s">
        <v>277</v>
      </c>
      <c r="C669" s="20">
        <f>IF(SQRT((Coordenadas!$C$107-Coordenadas!$C$172)^2+(Coordenadas!$D$107-Coordenadas!$D$172)^2)&lt;=LEEME!$B$20,EXP(-LEEME!$B$19*SQRT((Coordenadas!$C$107-Coordenadas!$C$172)^2+(Coordenadas!$D$107-Coordenadas!$D$172)^2)),0)</f>
        <v>0.49756307300409686</v>
      </c>
    </row>
    <row r="670" spans="1:3">
      <c r="A670" t="s">
        <v>154</v>
      </c>
      <c r="B670" t="s">
        <v>278</v>
      </c>
      <c r="C670" s="20">
        <f>IF(SQRT((Coordenadas!$C$107-Coordenadas!$C$173)^2+(Coordenadas!$D$107-Coordenadas!$D$173)^2)&lt;=LEEME!$B$20,EXP(-LEEME!$B$19*SQRT((Coordenadas!$C$107-Coordenadas!$C$173)^2+(Coordenadas!$D$107-Coordenadas!$D$173)^2)),0)</f>
        <v>0.40606774917908889</v>
      </c>
    </row>
    <row r="671" spans="1:3">
      <c r="A671" t="s">
        <v>155</v>
      </c>
      <c r="B671" t="s">
        <v>271</v>
      </c>
      <c r="C671" s="20">
        <f>IF(SQRT((Coordenadas!$C$108-Coordenadas!$C$166)^2+(Coordenadas!$D$108-Coordenadas!$D$166)^2)&lt;=LEEME!$B$20,EXP(-LEEME!$B$19*SQRT((Coordenadas!$C$108-Coordenadas!$C$166)^2+(Coordenadas!$D$108-Coordenadas!$D$166)^2)),0)</f>
        <v>0.53098132100166229</v>
      </c>
    </row>
    <row r="672" spans="1:3">
      <c r="A672" t="s">
        <v>155</v>
      </c>
      <c r="B672" t="s">
        <v>274</v>
      </c>
      <c r="C672" s="20">
        <f>IF(SQRT((Coordenadas!$C$108-Coordenadas!$C$169)^2+(Coordenadas!$D$108-Coordenadas!$D$169)^2)&lt;=LEEME!$B$20,EXP(-LEEME!$B$19*SQRT((Coordenadas!$C$108-Coordenadas!$C$169)^2+(Coordenadas!$D$108-Coordenadas!$D$169)^2)),0)</f>
        <v>0.38073168309704303</v>
      </c>
    </row>
    <row r="673" spans="1:3">
      <c r="A673" t="s">
        <v>155</v>
      </c>
      <c r="B673" t="s">
        <v>275</v>
      </c>
      <c r="C673" s="20">
        <f>IF(SQRT((Coordenadas!$C$108-Coordenadas!$C$170)^2+(Coordenadas!$D$108-Coordenadas!$D$170)^2)&lt;=LEEME!$B$20,EXP(-LEEME!$B$19*SQRT((Coordenadas!$C$108-Coordenadas!$C$170)^2+(Coordenadas!$D$108-Coordenadas!$D$170)^2)),0)</f>
        <v>0.49706471544827274</v>
      </c>
    </row>
    <row r="674" spans="1:3">
      <c r="A674" t="s">
        <v>155</v>
      </c>
      <c r="B674" t="s">
        <v>277</v>
      </c>
      <c r="C674" s="20">
        <f>IF(SQRT((Coordenadas!$C$108-Coordenadas!$C$172)^2+(Coordenadas!$D$108-Coordenadas!$D$172)^2)&lt;=LEEME!$B$20,EXP(-LEEME!$B$19*SQRT((Coordenadas!$C$108-Coordenadas!$C$172)^2+(Coordenadas!$D$108-Coordenadas!$D$172)^2)),0)</f>
        <v>0.48124168513309123</v>
      </c>
    </row>
    <row r="675" spans="1:3">
      <c r="A675" t="s">
        <v>155</v>
      </c>
      <c r="B675" t="s">
        <v>278</v>
      </c>
      <c r="C675" s="20">
        <f>IF(SQRT((Coordenadas!$C$108-Coordenadas!$C$173)^2+(Coordenadas!$D$108-Coordenadas!$D$173)^2)&lt;=LEEME!$B$20,EXP(-LEEME!$B$19*SQRT((Coordenadas!$C$108-Coordenadas!$C$173)^2+(Coordenadas!$D$108-Coordenadas!$D$173)^2)),0)</f>
        <v>0.39823768611493776</v>
      </c>
    </row>
    <row r="676" spans="1:3">
      <c r="A676" t="s">
        <v>155</v>
      </c>
      <c r="B676" t="s">
        <v>280</v>
      </c>
      <c r="C676" s="20">
        <f>IF(SQRT((Coordenadas!$C$108-Coordenadas!$C$175)^2+(Coordenadas!$D$108-Coordenadas!$D$175)^2)&lt;=LEEME!$B$20,EXP(-LEEME!$B$19*SQRT((Coordenadas!$C$108-Coordenadas!$C$175)^2+(Coordenadas!$D$108-Coordenadas!$D$175)^2)),0)</f>
        <v>0.36787944117144233</v>
      </c>
    </row>
    <row r="677" spans="1:3">
      <c r="A677" t="s">
        <v>156</v>
      </c>
      <c r="B677" t="s">
        <v>271</v>
      </c>
      <c r="C677" s="20">
        <f>IF(SQRT((Coordenadas!$C$109-Coordenadas!$C$166)^2+(Coordenadas!$D$109-Coordenadas!$D$166)^2)&lt;=LEEME!$B$20,EXP(-LEEME!$B$19*SQRT((Coordenadas!$C$109-Coordenadas!$C$166)^2+(Coordenadas!$D$109-Coordenadas!$D$166)^2)),0)</f>
        <v>0.52512060623715617</v>
      </c>
    </row>
    <row r="678" spans="1:3">
      <c r="A678" t="s">
        <v>156</v>
      </c>
      <c r="B678" t="s">
        <v>274</v>
      </c>
      <c r="C678" s="20">
        <f>IF(SQRT((Coordenadas!$C$109-Coordenadas!$C$169)^2+(Coordenadas!$D$109-Coordenadas!$D$169)^2)&lt;=LEEME!$B$20,EXP(-LEEME!$B$19*SQRT((Coordenadas!$C$109-Coordenadas!$C$169)^2+(Coordenadas!$D$109-Coordenadas!$D$169)^2)),0)</f>
        <v>0.41557993835045026</v>
      </c>
    </row>
    <row r="679" spans="1:3">
      <c r="A679" t="s">
        <v>156</v>
      </c>
      <c r="B679" t="s">
        <v>275</v>
      </c>
      <c r="C679" s="20">
        <f>IF(SQRT((Coordenadas!$C$109-Coordenadas!$C$170)^2+(Coordenadas!$D$109-Coordenadas!$D$170)^2)&lt;=LEEME!$B$20,EXP(-LEEME!$B$19*SQRT((Coordenadas!$C$109-Coordenadas!$C$170)^2+(Coordenadas!$D$109-Coordenadas!$D$170)^2)),0)</f>
        <v>0.5602244279979739</v>
      </c>
    </row>
    <row r="680" spans="1:3">
      <c r="A680" t="s">
        <v>156</v>
      </c>
      <c r="B680" t="s">
        <v>276</v>
      </c>
      <c r="C680" s="20">
        <f>IF(SQRT((Coordenadas!$C$109-Coordenadas!$C$171)^2+(Coordenadas!$D$109-Coordenadas!$D$171)^2)&lt;=LEEME!$B$20,EXP(-LEEME!$B$19*SQRT((Coordenadas!$C$109-Coordenadas!$C$171)^2+(Coordenadas!$D$109-Coordenadas!$D$171)^2)),0)</f>
        <v>0.39401884631945505</v>
      </c>
    </row>
    <row r="681" spans="1:3">
      <c r="A681" t="s">
        <v>156</v>
      </c>
      <c r="B681" t="s">
        <v>277</v>
      </c>
      <c r="C681" s="20">
        <f>IF(SQRT((Coordenadas!$C$109-Coordenadas!$C$172)^2+(Coordenadas!$D$109-Coordenadas!$D$172)^2)&lt;=LEEME!$B$20,EXP(-LEEME!$B$19*SQRT((Coordenadas!$C$109-Coordenadas!$C$172)^2+(Coordenadas!$D$109-Coordenadas!$D$172)^2)),0)</f>
        <v>0.55989836656540204</v>
      </c>
    </row>
    <row r="682" spans="1:3">
      <c r="A682" t="s">
        <v>156</v>
      </c>
      <c r="B682" t="s">
        <v>278</v>
      </c>
      <c r="C682" s="20">
        <f>IF(SQRT((Coordenadas!$C$109-Coordenadas!$C$173)^2+(Coordenadas!$D$109-Coordenadas!$D$173)^2)&lt;=LEEME!$B$20,EXP(-LEEME!$B$19*SQRT((Coordenadas!$C$109-Coordenadas!$C$173)^2+(Coordenadas!$D$109-Coordenadas!$D$173)^2)),0)</f>
        <v>0.46490858408454389</v>
      </c>
    </row>
    <row r="683" spans="1:3">
      <c r="A683" t="s">
        <v>156</v>
      </c>
      <c r="B683" t="s">
        <v>280</v>
      </c>
      <c r="C683" s="20">
        <f>IF(SQRT((Coordenadas!$C$109-Coordenadas!$C$175)^2+(Coordenadas!$D$109-Coordenadas!$D$175)^2)&lt;=LEEME!$B$20,EXP(-LEEME!$B$19*SQRT((Coordenadas!$C$109-Coordenadas!$C$175)^2+(Coordenadas!$D$109-Coordenadas!$D$175)^2)),0)</f>
        <v>0.43024483281606918</v>
      </c>
    </row>
    <row r="684" spans="1:3">
      <c r="A684" t="s">
        <v>157</v>
      </c>
      <c r="B684" t="s">
        <v>271</v>
      </c>
      <c r="C684" s="20">
        <f>IF(SQRT((Coordenadas!$C$110-Coordenadas!$C$166)^2+(Coordenadas!$D$110-Coordenadas!$D$166)^2)&lt;=LEEME!$B$20,EXP(-LEEME!$B$19*SQRT((Coordenadas!$C$110-Coordenadas!$C$166)^2+(Coordenadas!$D$110-Coordenadas!$D$166)^2)),0)</f>
        <v>0.43908006230662944</v>
      </c>
    </row>
    <row r="685" spans="1:3">
      <c r="A685" t="s">
        <v>157</v>
      </c>
      <c r="B685" t="s">
        <v>274</v>
      </c>
      <c r="C685" s="20">
        <f>IF(SQRT((Coordenadas!$C$110-Coordenadas!$C$169)^2+(Coordenadas!$D$110-Coordenadas!$D$169)^2)&lt;=LEEME!$B$20,EXP(-LEEME!$B$19*SQRT((Coordenadas!$C$110-Coordenadas!$C$169)^2+(Coordenadas!$D$110-Coordenadas!$D$169)^2)),0)</f>
        <v>0.3866952307408108</v>
      </c>
    </row>
    <row r="686" spans="1:3">
      <c r="A686" t="s">
        <v>157</v>
      </c>
      <c r="B686" t="s">
        <v>275</v>
      </c>
      <c r="C686" s="20">
        <f>IF(SQRT((Coordenadas!$C$110-Coordenadas!$C$170)^2+(Coordenadas!$D$110-Coordenadas!$D$170)^2)&lt;=LEEME!$B$20,EXP(-LEEME!$B$19*SQRT((Coordenadas!$C$110-Coordenadas!$C$170)^2+(Coordenadas!$D$110-Coordenadas!$D$170)^2)),0)</f>
        <v>0.54245096543524063</v>
      </c>
    </row>
    <row r="687" spans="1:3">
      <c r="A687" t="s">
        <v>157</v>
      </c>
      <c r="B687" t="s">
        <v>276</v>
      </c>
      <c r="C687" s="20">
        <f>IF(SQRT((Coordenadas!$C$110-Coordenadas!$C$171)^2+(Coordenadas!$D$110-Coordenadas!$D$171)^2)&lt;=LEEME!$B$20,EXP(-LEEME!$B$19*SQRT((Coordenadas!$C$110-Coordenadas!$C$171)^2+(Coordenadas!$D$110-Coordenadas!$D$171)^2)),0)</f>
        <v>0.37442758477766125</v>
      </c>
    </row>
    <row r="688" spans="1:3">
      <c r="A688" t="s">
        <v>157</v>
      </c>
      <c r="B688" t="s">
        <v>277</v>
      </c>
      <c r="C688" s="20">
        <f>IF(SQRT((Coordenadas!$C$110-Coordenadas!$C$172)^2+(Coordenadas!$D$110-Coordenadas!$D$172)^2)&lt;=LEEME!$B$20,EXP(-LEEME!$B$19*SQRT((Coordenadas!$C$110-Coordenadas!$C$172)^2+(Coordenadas!$D$110-Coordenadas!$D$172)^2)),0)</f>
        <v>0.66613464359457208</v>
      </c>
    </row>
    <row r="689" spans="1:3">
      <c r="A689" t="s">
        <v>157</v>
      </c>
      <c r="B689" t="s">
        <v>278</v>
      </c>
      <c r="C689" s="20">
        <f>IF(SQRT((Coordenadas!$C$110-Coordenadas!$C$173)^2+(Coordenadas!$D$110-Coordenadas!$D$173)^2)&lt;=LEEME!$B$20,EXP(-LEEME!$B$19*SQRT((Coordenadas!$C$110-Coordenadas!$C$173)^2+(Coordenadas!$D$110-Coordenadas!$D$173)^2)),0)</f>
        <v>0.54575875798436368</v>
      </c>
    </row>
    <row r="690" spans="1:3">
      <c r="A690" t="s">
        <v>157</v>
      </c>
      <c r="B690" t="s">
        <v>280</v>
      </c>
      <c r="C690" s="20">
        <f>IF(SQRT((Coordenadas!$C$110-Coordenadas!$C$175)^2+(Coordenadas!$D$110-Coordenadas!$D$175)^2)&lt;=LEEME!$B$20,EXP(-LEEME!$B$19*SQRT((Coordenadas!$C$110-Coordenadas!$C$175)^2+(Coordenadas!$D$110-Coordenadas!$D$175)^2)),0)</f>
        <v>0.49323436837700885</v>
      </c>
    </row>
    <row r="691" spans="1:3">
      <c r="A691" t="s">
        <v>158</v>
      </c>
      <c r="B691" t="s">
        <v>270</v>
      </c>
      <c r="C691" s="20">
        <f>IF(SQRT((Coordenadas!$C$111-Coordenadas!$C$165)^2+(Coordenadas!$D$111-Coordenadas!$D$165)^2)&lt;=LEEME!$B$20,EXP(-LEEME!$B$19*SQRT((Coordenadas!$C$111-Coordenadas!$C$165)^2+(Coordenadas!$D$111-Coordenadas!$D$165)^2)),0)</f>
        <v>0.38476681874451135</v>
      </c>
    </row>
    <row r="692" spans="1:3">
      <c r="A692" t="s">
        <v>158</v>
      </c>
      <c r="B692" t="s">
        <v>271</v>
      </c>
      <c r="C692" s="20">
        <f>IF(SQRT((Coordenadas!$C$111-Coordenadas!$C$166)^2+(Coordenadas!$D$111-Coordenadas!$D$166)^2)&lt;=LEEME!$B$20,EXP(-LEEME!$B$19*SQRT((Coordenadas!$C$111-Coordenadas!$C$166)^2+(Coordenadas!$D$111-Coordenadas!$D$166)^2)),0)</f>
        <v>0.60026022695080816</v>
      </c>
    </row>
    <row r="693" spans="1:3">
      <c r="A693" t="s">
        <v>158</v>
      </c>
      <c r="B693" t="s">
        <v>273</v>
      </c>
      <c r="C693" s="20">
        <f>IF(SQRT((Coordenadas!$C$111-Coordenadas!$C$168)^2+(Coordenadas!$D$111-Coordenadas!$D$168)^2)&lt;=LEEME!$B$20,EXP(-LEEME!$B$19*SQRT((Coordenadas!$C$111-Coordenadas!$C$168)^2+(Coordenadas!$D$111-Coordenadas!$D$168)^2)),0)</f>
        <v>0.4581563939650744</v>
      </c>
    </row>
    <row r="694" spans="1:3">
      <c r="A694" t="s">
        <v>158</v>
      </c>
      <c r="B694" t="s">
        <v>274</v>
      </c>
      <c r="C694" s="20">
        <f>IF(SQRT((Coordenadas!$C$111-Coordenadas!$C$169)^2+(Coordenadas!$D$111-Coordenadas!$D$169)^2)&lt;=LEEME!$B$20,EXP(-LEEME!$B$19*SQRT((Coordenadas!$C$111-Coordenadas!$C$169)^2+(Coordenadas!$D$111-Coordenadas!$D$169)^2)),0)</f>
        <v>0.5595969183539935</v>
      </c>
    </row>
    <row r="695" spans="1:3">
      <c r="A695" t="s">
        <v>158</v>
      </c>
      <c r="B695" t="s">
        <v>275</v>
      </c>
      <c r="C695" s="20">
        <f>IF(SQRT((Coordenadas!$C$111-Coordenadas!$C$170)^2+(Coordenadas!$D$111-Coordenadas!$D$170)^2)&lt;=LEEME!$B$20,EXP(-LEEME!$B$19*SQRT((Coordenadas!$C$111-Coordenadas!$C$170)^2+(Coordenadas!$D$111-Coordenadas!$D$170)^2)),0)</f>
        <v>0.75778652297304716</v>
      </c>
    </row>
    <row r="696" spans="1:3">
      <c r="A696" t="s">
        <v>158</v>
      </c>
      <c r="B696" t="s">
        <v>276</v>
      </c>
      <c r="C696" s="20">
        <f>IF(SQRT((Coordenadas!$C$111-Coordenadas!$C$171)^2+(Coordenadas!$D$111-Coordenadas!$D$171)^2)&lt;=LEEME!$B$20,EXP(-LEEME!$B$19*SQRT((Coordenadas!$C$111-Coordenadas!$C$171)^2+(Coordenadas!$D$111-Coordenadas!$D$171)^2)),0)</f>
        <v>0.53372561862086609</v>
      </c>
    </row>
    <row r="697" spans="1:3">
      <c r="A697" t="s">
        <v>158</v>
      </c>
      <c r="B697" t="s">
        <v>277</v>
      </c>
      <c r="C697" s="20">
        <f>IF(SQRT((Coordenadas!$C$111-Coordenadas!$C$172)^2+(Coordenadas!$D$111-Coordenadas!$D$172)^2)&lt;=LEEME!$B$20,EXP(-LEEME!$B$19*SQRT((Coordenadas!$C$111-Coordenadas!$C$172)^2+(Coordenadas!$D$111-Coordenadas!$D$172)^2)),0)</f>
        <v>0.58361341222758156</v>
      </c>
    </row>
    <row r="698" spans="1:3">
      <c r="A698" t="s">
        <v>158</v>
      </c>
      <c r="B698" t="s">
        <v>278</v>
      </c>
      <c r="C698" s="20">
        <f>IF(SQRT((Coordenadas!$C$111-Coordenadas!$C$173)^2+(Coordenadas!$D$111-Coordenadas!$D$173)^2)&lt;=LEEME!$B$20,EXP(-LEEME!$B$19*SQRT((Coordenadas!$C$111-Coordenadas!$C$173)^2+(Coordenadas!$D$111-Coordenadas!$D$173)^2)),0)</f>
        <v>0.51365578269279311</v>
      </c>
    </row>
    <row r="699" spans="1:3">
      <c r="A699" t="s">
        <v>158</v>
      </c>
      <c r="B699" t="s">
        <v>280</v>
      </c>
      <c r="C699" s="20">
        <f>IF(SQRT((Coordenadas!$C$111-Coordenadas!$C$175)^2+(Coordenadas!$D$111-Coordenadas!$D$175)^2)&lt;=LEEME!$B$20,EXP(-LEEME!$B$19*SQRT((Coordenadas!$C$111-Coordenadas!$C$175)^2+(Coordenadas!$D$111-Coordenadas!$D$175)^2)),0)</f>
        <v>0.50084138025905667</v>
      </c>
    </row>
    <row r="700" spans="1:3">
      <c r="A700" t="s">
        <v>159</v>
      </c>
      <c r="B700" t="s">
        <v>271</v>
      </c>
      <c r="C700" s="20">
        <f>IF(SQRT((Coordenadas!$C$112-Coordenadas!$C$166)^2+(Coordenadas!$D$112-Coordenadas!$D$166)^2)&lt;=LEEME!$B$20,EXP(-LEEME!$B$19*SQRT((Coordenadas!$C$112-Coordenadas!$C$166)^2+(Coordenadas!$D$112-Coordenadas!$D$166)^2)),0)</f>
        <v>0.43665437555522085</v>
      </c>
    </row>
    <row r="701" spans="1:3">
      <c r="A701" t="s">
        <v>159</v>
      </c>
      <c r="B701" t="s">
        <v>275</v>
      </c>
      <c r="C701" s="20">
        <f>IF(SQRT((Coordenadas!$C$112-Coordenadas!$C$170)^2+(Coordenadas!$D$112-Coordenadas!$D$170)^2)&lt;=LEEME!$B$20,EXP(-LEEME!$B$19*SQRT((Coordenadas!$C$112-Coordenadas!$C$170)^2+(Coordenadas!$D$112-Coordenadas!$D$170)^2)),0)</f>
        <v>0.4497436194073362</v>
      </c>
    </row>
    <row r="702" spans="1:3">
      <c r="A702" t="s">
        <v>159</v>
      </c>
      <c r="B702" t="s">
        <v>277</v>
      </c>
      <c r="C702" s="20">
        <f>IF(SQRT((Coordenadas!$C$112-Coordenadas!$C$172)^2+(Coordenadas!$D$112-Coordenadas!$D$172)^2)&lt;=LEEME!$B$20,EXP(-LEEME!$B$19*SQRT((Coordenadas!$C$112-Coordenadas!$C$172)^2+(Coordenadas!$D$112-Coordenadas!$D$172)^2)),0)</f>
        <v>0.51308794034507565</v>
      </c>
    </row>
    <row r="703" spans="1:3">
      <c r="A703" t="s">
        <v>159</v>
      </c>
      <c r="B703" t="s">
        <v>278</v>
      </c>
      <c r="C703" s="20">
        <f>IF(SQRT((Coordenadas!$C$112-Coordenadas!$C$173)^2+(Coordenadas!$D$112-Coordenadas!$D$173)^2)&lt;=LEEME!$B$20,EXP(-LEEME!$B$19*SQRT((Coordenadas!$C$112-Coordenadas!$C$173)^2+(Coordenadas!$D$112-Coordenadas!$D$173)^2)),0)</f>
        <v>0.41933114197753374</v>
      </c>
    </row>
    <row r="704" spans="1:3">
      <c r="A704" t="s">
        <v>159</v>
      </c>
      <c r="B704" t="s">
        <v>280</v>
      </c>
      <c r="C704" s="20">
        <f>IF(SQRT((Coordenadas!$C$112-Coordenadas!$C$175)^2+(Coordenadas!$D$112-Coordenadas!$D$175)^2)&lt;=LEEME!$B$20,EXP(-LEEME!$B$19*SQRT((Coordenadas!$C$112-Coordenadas!$C$175)^2+(Coordenadas!$D$112-Coordenadas!$D$175)^2)),0)</f>
        <v>0.3779676928854146</v>
      </c>
    </row>
    <row r="705" spans="1:3">
      <c r="A705" t="s">
        <v>160</v>
      </c>
      <c r="B705" t="s">
        <v>270</v>
      </c>
      <c r="C705" s="20">
        <f>IF(SQRT((Coordenadas!$C$113-Coordenadas!$C$165)^2+(Coordenadas!$D$113-Coordenadas!$D$165)^2)&lt;=LEEME!$B$20,EXP(-LEEME!$B$19*SQRT((Coordenadas!$C$113-Coordenadas!$C$165)^2+(Coordenadas!$D$113-Coordenadas!$D$165)^2)),0)</f>
        <v>0.43714902766840091</v>
      </c>
    </row>
    <row r="706" spans="1:3">
      <c r="A706" t="s">
        <v>160</v>
      </c>
      <c r="B706" t="s">
        <v>271</v>
      </c>
      <c r="C706" s="20">
        <f>IF(SQRT((Coordenadas!$C$113-Coordenadas!$C$166)^2+(Coordenadas!$D$113-Coordenadas!$D$166)^2)&lt;=LEEME!$B$20,EXP(-LEEME!$B$19*SQRT((Coordenadas!$C$113-Coordenadas!$C$166)^2+(Coordenadas!$D$113-Coordenadas!$D$166)^2)),0)</f>
        <v>0.61748237067628076</v>
      </c>
    </row>
    <row r="707" spans="1:3">
      <c r="A707" t="s">
        <v>160</v>
      </c>
      <c r="B707" t="s">
        <v>274</v>
      </c>
      <c r="C707" s="20">
        <f>IF(SQRT((Coordenadas!$C$113-Coordenadas!$C$169)^2+(Coordenadas!$D$113-Coordenadas!$D$169)^2)&lt;=LEEME!$B$20,EXP(-LEEME!$B$19*SQRT((Coordenadas!$C$113-Coordenadas!$C$169)^2+(Coordenadas!$D$113-Coordenadas!$D$169)^2)),0)</f>
        <v>0.39090854742655406</v>
      </c>
    </row>
    <row r="708" spans="1:3">
      <c r="A708" t="s">
        <v>160</v>
      </c>
      <c r="B708" t="s">
        <v>275</v>
      </c>
      <c r="C708" s="20">
        <f>IF(SQRT((Coordenadas!$C$113-Coordenadas!$C$170)^2+(Coordenadas!$D$113-Coordenadas!$D$170)^2)&lt;=LEEME!$B$20,EXP(-LEEME!$B$19*SQRT((Coordenadas!$C$113-Coordenadas!$C$170)^2+(Coordenadas!$D$113-Coordenadas!$D$170)^2)),0)</f>
        <v>0.47290261053737659</v>
      </c>
    </row>
    <row r="709" spans="1:3">
      <c r="A709" t="s">
        <v>160</v>
      </c>
      <c r="B709" t="s">
        <v>277</v>
      </c>
      <c r="C709" s="20">
        <f>IF(SQRT((Coordenadas!$C$113-Coordenadas!$C$172)^2+(Coordenadas!$D$113-Coordenadas!$D$172)^2)&lt;=LEEME!$B$20,EXP(-LEEME!$B$19*SQRT((Coordenadas!$C$113-Coordenadas!$C$172)^2+(Coordenadas!$D$113-Coordenadas!$D$172)^2)),0)</f>
        <v>0.39480312151943397</v>
      </c>
    </row>
    <row r="710" spans="1:3">
      <c r="A710" t="s">
        <v>161</v>
      </c>
      <c r="B710" t="s">
        <v>271</v>
      </c>
      <c r="C710" s="20">
        <f>IF(SQRT((Coordenadas!$C$114-Coordenadas!$C$166)^2+(Coordenadas!$D$114-Coordenadas!$D$166)^2)&lt;=LEEME!$B$20,EXP(-LEEME!$B$19*SQRT((Coordenadas!$C$114-Coordenadas!$C$166)^2+(Coordenadas!$D$114-Coordenadas!$D$166)^2)),0)</f>
        <v>0.47562038656765965</v>
      </c>
    </row>
    <row r="711" spans="1:3">
      <c r="A711" t="s">
        <v>161</v>
      </c>
      <c r="B711" t="s">
        <v>273</v>
      </c>
      <c r="C711" s="20">
        <f>IF(SQRT((Coordenadas!$C$114-Coordenadas!$C$168)^2+(Coordenadas!$D$114-Coordenadas!$D$168)^2)&lt;=LEEME!$B$20,EXP(-LEEME!$B$19*SQRT((Coordenadas!$C$114-Coordenadas!$C$168)^2+(Coordenadas!$D$114-Coordenadas!$D$168)^2)),0)</f>
        <v>0.43375111257477672</v>
      </c>
    </row>
    <row r="712" spans="1:3">
      <c r="A712" t="s">
        <v>161</v>
      </c>
      <c r="B712" t="s">
        <v>274</v>
      </c>
      <c r="C712" s="20">
        <f>IF(SQRT((Coordenadas!$C$114-Coordenadas!$C$169)^2+(Coordenadas!$D$114-Coordenadas!$D$169)^2)&lt;=LEEME!$B$20,EXP(-LEEME!$B$19*SQRT((Coordenadas!$C$114-Coordenadas!$C$169)^2+(Coordenadas!$D$114-Coordenadas!$D$169)^2)),0)</f>
        <v>0.57180920078414843</v>
      </c>
    </row>
    <row r="713" spans="1:3">
      <c r="A713" t="s">
        <v>161</v>
      </c>
      <c r="B713" t="s">
        <v>275</v>
      </c>
      <c r="C713" s="20">
        <f>IF(SQRT((Coordenadas!$C$114-Coordenadas!$C$170)^2+(Coordenadas!$D$114-Coordenadas!$D$170)^2)&lt;=LEEME!$B$20,EXP(-LEEME!$B$19*SQRT((Coordenadas!$C$114-Coordenadas!$C$170)^2+(Coordenadas!$D$114-Coordenadas!$D$170)^2)),0)</f>
        <v>0.80412359735396921</v>
      </c>
    </row>
    <row r="714" spans="1:3">
      <c r="A714" t="s">
        <v>161</v>
      </c>
      <c r="B714" t="s">
        <v>276</v>
      </c>
      <c r="C714" s="20">
        <f>IF(SQRT((Coordenadas!$C$114-Coordenadas!$C$171)^2+(Coordenadas!$D$114-Coordenadas!$D$171)^2)&lt;=LEEME!$B$20,EXP(-LEEME!$B$19*SQRT((Coordenadas!$C$114-Coordenadas!$C$171)^2+(Coordenadas!$D$114-Coordenadas!$D$171)^2)),0)</f>
        <v>0.57459009726721022</v>
      </c>
    </row>
    <row r="715" spans="1:3">
      <c r="A715" t="s">
        <v>161</v>
      </c>
      <c r="B715" t="s">
        <v>277</v>
      </c>
      <c r="C715" s="20">
        <f>IF(SQRT((Coordenadas!$C$114-Coordenadas!$C$172)^2+(Coordenadas!$D$114-Coordenadas!$D$172)^2)&lt;=LEEME!$B$20,EXP(-LEEME!$B$19*SQRT((Coordenadas!$C$114-Coordenadas!$C$172)^2+(Coordenadas!$D$114-Coordenadas!$D$172)^2)),0)</f>
        <v>0.68526132043718191</v>
      </c>
    </row>
    <row r="716" spans="1:3">
      <c r="A716" t="s">
        <v>161</v>
      </c>
      <c r="B716" t="s">
        <v>278</v>
      </c>
      <c r="C716" s="20">
        <f>IF(SQRT((Coordenadas!$C$114-Coordenadas!$C$173)^2+(Coordenadas!$D$114-Coordenadas!$D$173)^2)&lt;=LEEME!$B$20,EXP(-LEEME!$B$19*SQRT((Coordenadas!$C$114-Coordenadas!$C$173)^2+(Coordenadas!$D$114-Coordenadas!$D$173)^2)),0)</f>
        <v>0.65147589833096331</v>
      </c>
    </row>
    <row r="717" spans="1:3">
      <c r="A717" t="s">
        <v>161</v>
      </c>
      <c r="B717" t="s">
        <v>280</v>
      </c>
      <c r="C717" s="20">
        <f>IF(SQRT((Coordenadas!$C$114-Coordenadas!$C$175)^2+(Coordenadas!$D$114-Coordenadas!$D$175)^2)&lt;=LEEME!$B$20,EXP(-LEEME!$B$19*SQRT((Coordenadas!$C$114-Coordenadas!$C$175)^2+(Coordenadas!$D$114-Coordenadas!$D$175)^2)),0)</f>
        <v>0.65891348346565537</v>
      </c>
    </row>
    <row r="718" spans="1:3">
      <c r="A718" t="s">
        <v>162</v>
      </c>
      <c r="B718" t="s">
        <v>270</v>
      </c>
      <c r="C718" s="20">
        <f>IF(SQRT((Coordenadas!$C$115-Coordenadas!$C$165)^2+(Coordenadas!$D$115-Coordenadas!$D$165)^2)&lt;=LEEME!$B$20,EXP(-LEEME!$B$19*SQRT((Coordenadas!$C$115-Coordenadas!$C$165)^2+(Coordenadas!$D$115-Coordenadas!$D$165)^2)),0)</f>
        <v>0.36955630870918665</v>
      </c>
    </row>
    <row r="719" spans="1:3">
      <c r="A719" t="s">
        <v>162</v>
      </c>
      <c r="B719" t="s">
        <v>271</v>
      </c>
      <c r="C719" s="20">
        <f>IF(SQRT((Coordenadas!$C$115-Coordenadas!$C$166)^2+(Coordenadas!$D$115-Coordenadas!$D$166)^2)&lt;=LEEME!$B$20,EXP(-LEEME!$B$19*SQRT((Coordenadas!$C$115-Coordenadas!$C$166)^2+(Coordenadas!$D$115-Coordenadas!$D$166)^2)),0)</f>
        <v>0.54990070233146904</v>
      </c>
    </row>
    <row r="720" spans="1:3">
      <c r="A720" t="s">
        <v>162</v>
      </c>
      <c r="B720" t="s">
        <v>273</v>
      </c>
      <c r="C720" s="20">
        <f>IF(SQRT((Coordenadas!$C$115-Coordenadas!$C$168)^2+(Coordenadas!$D$115-Coordenadas!$D$168)^2)&lt;=LEEME!$B$20,EXP(-LEEME!$B$19*SQRT((Coordenadas!$C$115-Coordenadas!$C$168)^2+(Coordenadas!$D$115-Coordenadas!$D$168)^2)),0)</f>
        <v>0.53334344976487169</v>
      </c>
    </row>
    <row r="721" spans="1:3">
      <c r="A721" t="s">
        <v>162</v>
      </c>
      <c r="B721" t="s">
        <v>274</v>
      </c>
      <c r="C721" s="20">
        <f>IF(SQRT((Coordenadas!$C$115-Coordenadas!$C$169)^2+(Coordenadas!$D$115-Coordenadas!$D$169)^2)&lt;=LEEME!$B$20,EXP(-LEEME!$B$19*SQRT((Coordenadas!$C$115-Coordenadas!$C$169)^2+(Coordenadas!$D$115-Coordenadas!$D$169)^2)),0)</f>
        <v>0.69918441356478389</v>
      </c>
    </row>
    <row r="722" spans="1:3">
      <c r="A722" t="s">
        <v>162</v>
      </c>
      <c r="B722" t="s">
        <v>275</v>
      </c>
      <c r="C722" s="20">
        <f>IF(SQRT((Coordenadas!$C$115-Coordenadas!$C$170)^2+(Coordenadas!$D$115-Coordenadas!$D$170)^2)&lt;=LEEME!$B$20,EXP(-LEEME!$B$19*SQRT((Coordenadas!$C$115-Coordenadas!$C$170)^2+(Coordenadas!$D$115-Coordenadas!$D$170)^2)),0)</f>
        <v>0.98019867330675525</v>
      </c>
    </row>
    <row r="723" spans="1:3">
      <c r="A723" t="s">
        <v>162</v>
      </c>
      <c r="B723" t="s">
        <v>276</v>
      </c>
      <c r="C723" s="20">
        <f>IF(SQRT((Coordenadas!$C$115-Coordenadas!$C$171)^2+(Coordenadas!$D$115-Coordenadas!$D$171)^2)&lt;=LEEME!$B$20,EXP(-LEEME!$B$19*SQRT((Coordenadas!$C$115-Coordenadas!$C$171)^2+(Coordenadas!$D$115-Coordenadas!$D$171)^2)),0)</f>
        <v>0.69064101150409729</v>
      </c>
    </row>
    <row r="724" spans="1:3">
      <c r="A724" t="s">
        <v>162</v>
      </c>
      <c r="B724" t="s">
        <v>277</v>
      </c>
      <c r="C724" s="20">
        <f>IF(SQRT((Coordenadas!$C$115-Coordenadas!$C$172)^2+(Coordenadas!$D$115-Coordenadas!$D$172)^2)&lt;=LEEME!$B$20,EXP(-LEEME!$B$19*SQRT((Coordenadas!$C$115-Coordenadas!$C$172)^2+(Coordenadas!$D$115-Coordenadas!$D$172)^2)),0)</f>
        <v>0.55753485198835417</v>
      </c>
    </row>
    <row r="725" spans="1:3">
      <c r="A725" t="s">
        <v>162</v>
      </c>
      <c r="B725" t="s">
        <v>278</v>
      </c>
      <c r="C725" s="20">
        <f>IF(SQRT((Coordenadas!$C$115-Coordenadas!$C$173)^2+(Coordenadas!$D$115-Coordenadas!$D$173)^2)&lt;=LEEME!$B$20,EXP(-LEEME!$B$19*SQRT((Coordenadas!$C$115-Coordenadas!$C$173)^2+(Coordenadas!$D$115-Coordenadas!$D$173)^2)),0)</f>
        <v>0.53619489648711494</v>
      </c>
    </row>
    <row r="726" spans="1:3">
      <c r="A726" t="s">
        <v>162</v>
      </c>
      <c r="B726" t="s">
        <v>280</v>
      </c>
      <c r="C726" s="20">
        <f>IF(SQRT((Coordenadas!$C$115-Coordenadas!$C$175)^2+(Coordenadas!$D$115-Coordenadas!$D$175)^2)&lt;=LEEME!$B$20,EXP(-LEEME!$B$19*SQRT((Coordenadas!$C$115-Coordenadas!$C$175)^2+(Coordenadas!$D$115-Coordenadas!$D$175)^2)),0)</f>
        <v>0.55776162484295833</v>
      </c>
    </row>
    <row r="727" spans="1:3">
      <c r="A727" t="s">
        <v>163</v>
      </c>
      <c r="B727" t="s">
        <v>274</v>
      </c>
      <c r="C727" s="20">
        <f>IF(SQRT((Coordenadas!$C$116-Coordenadas!$C$169)^2+(Coordenadas!$D$116-Coordenadas!$D$169)^2)&lt;=LEEME!$B$20,EXP(-LEEME!$B$19*SQRT((Coordenadas!$C$116-Coordenadas!$C$169)^2+(Coordenadas!$D$116-Coordenadas!$D$169)^2)),0)</f>
        <v>0.44253073388486891</v>
      </c>
    </row>
    <row r="728" spans="1:3">
      <c r="A728" t="s">
        <v>163</v>
      </c>
      <c r="B728" t="s">
        <v>275</v>
      </c>
      <c r="C728" s="20">
        <f>IF(SQRT((Coordenadas!$C$116-Coordenadas!$C$170)^2+(Coordenadas!$D$116-Coordenadas!$D$170)^2)&lt;=LEEME!$B$20,EXP(-LEEME!$B$19*SQRT((Coordenadas!$C$116-Coordenadas!$C$170)^2+(Coordenadas!$D$116-Coordenadas!$D$170)^2)),0)</f>
        <v>0.55587156065443855</v>
      </c>
    </row>
    <row r="729" spans="1:3">
      <c r="A729" t="s">
        <v>163</v>
      </c>
      <c r="B729" t="s">
        <v>276</v>
      </c>
      <c r="C729" s="20">
        <f>IF(SQRT((Coordenadas!$C$116-Coordenadas!$C$171)^2+(Coordenadas!$D$116-Coordenadas!$D$171)^2)&lt;=LEEME!$B$20,EXP(-LEEME!$B$19*SQRT((Coordenadas!$C$116-Coordenadas!$C$171)^2+(Coordenadas!$D$116-Coordenadas!$D$171)^2)),0)</f>
        <v>0.47091530470557963</v>
      </c>
    </row>
    <row r="730" spans="1:3">
      <c r="A730" t="s">
        <v>163</v>
      </c>
      <c r="B730" t="s">
        <v>277</v>
      </c>
      <c r="C730" s="20">
        <f>IF(SQRT((Coordenadas!$C$116-Coordenadas!$C$172)^2+(Coordenadas!$D$116-Coordenadas!$D$172)^2)&lt;=LEEME!$B$20,EXP(-LEEME!$B$19*SQRT((Coordenadas!$C$116-Coordenadas!$C$172)^2+(Coordenadas!$D$116-Coordenadas!$D$172)^2)),0)</f>
        <v>0.64661475982148853</v>
      </c>
    </row>
    <row r="731" spans="1:3">
      <c r="A731" t="s">
        <v>163</v>
      </c>
      <c r="B731" t="s">
        <v>278</v>
      </c>
      <c r="C731" s="20">
        <f>IF(SQRT((Coordenadas!$C$116-Coordenadas!$C$173)^2+(Coordenadas!$D$116-Coordenadas!$D$173)^2)&lt;=LEEME!$B$20,EXP(-LEEME!$B$19*SQRT((Coordenadas!$C$116-Coordenadas!$C$173)^2+(Coordenadas!$D$116-Coordenadas!$D$173)^2)),0)</f>
        <v>0.76547818630630637</v>
      </c>
    </row>
    <row r="732" spans="1:3">
      <c r="A732" t="s">
        <v>163</v>
      </c>
      <c r="B732" t="s">
        <v>280</v>
      </c>
      <c r="C732" s="20">
        <f>IF(SQRT((Coordenadas!$C$116-Coordenadas!$C$175)^2+(Coordenadas!$D$116-Coordenadas!$D$175)^2)&lt;=LEEME!$B$20,EXP(-LEEME!$B$19*SQRT((Coordenadas!$C$116-Coordenadas!$C$175)^2+(Coordenadas!$D$116-Coordenadas!$D$175)^2)),0)</f>
        <v>0.88794218664398361</v>
      </c>
    </row>
    <row r="733" spans="1:3">
      <c r="A733" t="s">
        <v>163</v>
      </c>
      <c r="B733" t="s">
        <v>285</v>
      </c>
      <c r="C733" s="20">
        <f>IF(SQRT((Coordenadas!$C$116-Coordenadas!$C$180)^2+(Coordenadas!$D$116-Coordenadas!$D$180)^2)&lt;=LEEME!$B$20,EXP(-LEEME!$B$19*SQRT((Coordenadas!$C$116-Coordenadas!$C$180)^2+(Coordenadas!$D$116-Coordenadas!$D$180)^2)),0)</f>
        <v>0.44163709494780834</v>
      </c>
    </row>
    <row r="734" spans="1:3">
      <c r="A734" t="s">
        <v>163</v>
      </c>
      <c r="B734" t="s">
        <v>290</v>
      </c>
      <c r="C734" s="20">
        <f>IF(SQRT((Coordenadas!$C$116-Coordenadas!$C$185)^2+(Coordenadas!$D$116-Coordenadas!$D$185)^2)&lt;=LEEME!$B$20,EXP(-LEEME!$B$19*SQRT((Coordenadas!$C$116-Coordenadas!$C$185)^2+(Coordenadas!$D$116-Coordenadas!$D$185)^2)),0)</f>
        <v>0.41942766427940475</v>
      </c>
    </row>
    <row r="735" spans="1:3">
      <c r="A735" t="s">
        <v>163</v>
      </c>
      <c r="B735" t="s">
        <v>291</v>
      </c>
      <c r="C735" s="20">
        <f>IF(SQRT((Coordenadas!$C$116-Coordenadas!$C$186)^2+(Coordenadas!$D$116-Coordenadas!$D$186)^2)&lt;=LEEME!$B$20,EXP(-LEEME!$B$19*SQRT((Coordenadas!$C$116-Coordenadas!$C$186)^2+(Coordenadas!$D$116-Coordenadas!$D$186)^2)),0)</f>
        <v>0.44288387982014665</v>
      </c>
    </row>
    <row r="736" spans="1:3">
      <c r="A736" t="s">
        <v>164</v>
      </c>
      <c r="B736" t="s">
        <v>270</v>
      </c>
      <c r="C736" s="20">
        <f>IF(SQRT((Coordenadas!$C$117-Coordenadas!$C$165)^2+(Coordenadas!$D$117-Coordenadas!$D$165)^2)&lt;=LEEME!$B$20,EXP(-LEEME!$B$19*SQRT((Coordenadas!$C$117-Coordenadas!$C$165)^2+(Coordenadas!$D$117-Coordenadas!$D$165)^2)),0)</f>
        <v>0.37860978488558616</v>
      </c>
    </row>
    <row r="737" spans="1:3">
      <c r="A737" t="s">
        <v>164</v>
      </c>
      <c r="B737" t="s">
        <v>271</v>
      </c>
      <c r="C737" s="20">
        <f>IF(SQRT((Coordenadas!$C$117-Coordenadas!$C$166)^2+(Coordenadas!$D$117-Coordenadas!$D$166)^2)&lt;=LEEME!$B$20,EXP(-LEEME!$B$19*SQRT((Coordenadas!$C$117-Coordenadas!$C$166)^2+(Coordenadas!$D$117-Coordenadas!$D$166)^2)),0)</f>
        <v>0.51861105113133732</v>
      </c>
    </row>
    <row r="738" spans="1:3">
      <c r="A738" t="s">
        <v>164</v>
      </c>
      <c r="B738" t="s">
        <v>273</v>
      </c>
      <c r="C738" s="20">
        <f>IF(SQRT((Coordenadas!$C$117-Coordenadas!$C$168)^2+(Coordenadas!$D$117-Coordenadas!$D$168)^2)&lt;=LEEME!$B$20,EXP(-LEEME!$B$19*SQRT((Coordenadas!$C$117-Coordenadas!$C$168)^2+(Coordenadas!$D$117-Coordenadas!$D$168)^2)),0)</f>
        <v>0.62739353029679135</v>
      </c>
    </row>
    <row r="739" spans="1:3">
      <c r="A739" t="s">
        <v>164</v>
      </c>
      <c r="B739" t="s">
        <v>274</v>
      </c>
      <c r="C739" s="20">
        <f>IF(SQRT((Coordenadas!$C$117-Coordenadas!$C$169)^2+(Coordenadas!$D$117-Coordenadas!$D$169)^2)&lt;=LEEME!$B$20,EXP(-LEEME!$B$19*SQRT((Coordenadas!$C$117-Coordenadas!$C$169)^2+(Coordenadas!$D$117-Coordenadas!$D$169)^2)),0)</f>
        <v>0.84873167181565856</v>
      </c>
    </row>
    <row r="740" spans="1:3">
      <c r="A740" t="s">
        <v>164</v>
      </c>
      <c r="B740" t="s">
        <v>275</v>
      </c>
      <c r="C740" s="20">
        <f>IF(SQRT((Coordenadas!$C$117-Coordenadas!$C$170)^2+(Coordenadas!$D$117-Coordenadas!$D$170)^2)&lt;=LEEME!$B$20,EXP(-LEEME!$B$19*SQRT((Coordenadas!$C$117-Coordenadas!$C$170)^2+(Coordenadas!$D$117-Coordenadas!$D$170)^2)),0)</f>
        <v>0.77794644760163589</v>
      </c>
    </row>
    <row r="741" spans="1:3">
      <c r="A741" t="s">
        <v>164</v>
      </c>
      <c r="B741" t="s">
        <v>276</v>
      </c>
      <c r="C741" s="20">
        <f>IF(SQRT((Coordenadas!$C$117-Coordenadas!$C$171)^2+(Coordenadas!$D$117-Coordenadas!$D$171)^2)&lt;=LEEME!$B$20,EXP(-LEEME!$B$19*SQRT((Coordenadas!$C$117-Coordenadas!$C$171)^2+(Coordenadas!$D$117-Coordenadas!$D$171)^2)),0)</f>
        <v>0.88031499399189805</v>
      </c>
    </row>
    <row r="742" spans="1:3">
      <c r="A742" t="s">
        <v>164</v>
      </c>
      <c r="B742" t="s">
        <v>277</v>
      </c>
      <c r="C742" s="20">
        <f>IF(SQRT((Coordenadas!$C$117-Coordenadas!$C$172)^2+(Coordenadas!$D$117-Coordenadas!$D$172)^2)&lt;=LEEME!$B$20,EXP(-LEEME!$B$19*SQRT((Coordenadas!$C$117-Coordenadas!$C$172)^2+(Coordenadas!$D$117-Coordenadas!$D$172)^2)),0)</f>
        <v>0.45143927863641997</v>
      </c>
    </row>
    <row r="743" spans="1:3">
      <c r="A743" t="s">
        <v>164</v>
      </c>
      <c r="B743" t="s">
        <v>278</v>
      </c>
      <c r="C743" s="20">
        <f>IF(SQRT((Coordenadas!$C$117-Coordenadas!$C$173)^2+(Coordenadas!$D$117-Coordenadas!$D$173)^2)&lt;=LEEME!$B$20,EXP(-LEEME!$B$19*SQRT((Coordenadas!$C$117-Coordenadas!$C$173)^2+(Coordenadas!$D$117-Coordenadas!$D$173)^2)),0)</f>
        <v>0.45488154993670238</v>
      </c>
    </row>
    <row r="744" spans="1:3">
      <c r="A744" t="s">
        <v>164</v>
      </c>
      <c r="B744" t="s">
        <v>280</v>
      </c>
      <c r="C744" s="20">
        <f>IF(SQRT((Coordenadas!$C$117-Coordenadas!$C$175)^2+(Coordenadas!$D$117-Coordenadas!$D$175)^2)&lt;=LEEME!$B$20,EXP(-LEEME!$B$19*SQRT((Coordenadas!$C$117-Coordenadas!$C$175)^2+(Coordenadas!$D$117-Coordenadas!$D$175)^2)),0)</f>
        <v>0.49278995991564672</v>
      </c>
    </row>
    <row r="745" spans="1:3">
      <c r="A745" t="s">
        <v>164</v>
      </c>
      <c r="B745" t="s">
        <v>285</v>
      </c>
      <c r="C745" s="20">
        <f>IF(SQRT((Coordenadas!$C$117-Coordenadas!$C$180)^2+(Coordenadas!$D$117-Coordenadas!$D$180)^2)&lt;=LEEME!$B$20,EXP(-LEEME!$B$19*SQRT((Coordenadas!$C$117-Coordenadas!$C$180)^2+(Coordenadas!$D$117-Coordenadas!$D$180)^2)),0)</f>
        <v>0.3739184927637621</v>
      </c>
    </row>
    <row r="746" spans="1:3">
      <c r="A746" t="s">
        <v>165</v>
      </c>
      <c r="B746" t="s">
        <v>271</v>
      </c>
      <c r="C746" s="20">
        <f>IF(SQRT((Coordenadas!$C$118-Coordenadas!$C$166)^2+(Coordenadas!$D$118-Coordenadas!$D$166)^2)&lt;=LEEME!$B$20,EXP(-LEEME!$B$19*SQRT((Coordenadas!$C$118-Coordenadas!$C$166)^2+(Coordenadas!$D$118-Coordenadas!$D$166)^2)),0)</f>
        <v>0.43572776447986994</v>
      </c>
    </row>
    <row r="747" spans="1:3">
      <c r="A747" t="s">
        <v>165</v>
      </c>
      <c r="B747" t="s">
        <v>273</v>
      </c>
      <c r="C747" s="20">
        <f>IF(SQRT((Coordenadas!$C$118-Coordenadas!$C$168)^2+(Coordenadas!$D$118-Coordenadas!$D$168)^2)&lt;=LEEME!$B$20,EXP(-LEEME!$B$19*SQRT((Coordenadas!$C$118-Coordenadas!$C$168)^2+(Coordenadas!$D$118-Coordenadas!$D$168)^2)),0)</f>
        <v>0.46713638342023434</v>
      </c>
    </row>
    <row r="748" spans="1:3">
      <c r="A748" t="s">
        <v>165</v>
      </c>
      <c r="B748" t="s">
        <v>274</v>
      </c>
      <c r="C748" s="20">
        <f>IF(SQRT((Coordenadas!$C$118-Coordenadas!$C$169)^2+(Coordenadas!$D$118-Coordenadas!$D$169)^2)&lt;=LEEME!$B$20,EXP(-LEEME!$B$19*SQRT((Coordenadas!$C$118-Coordenadas!$C$169)^2+(Coordenadas!$D$118-Coordenadas!$D$169)^2)),0)</f>
        <v>0.63148960547502209</v>
      </c>
    </row>
    <row r="749" spans="1:3">
      <c r="A749" t="s">
        <v>165</v>
      </c>
      <c r="B749" t="s">
        <v>275</v>
      </c>
      <c r="C749" s="20">
        <f>IF(SQRT((Coordenadas!$C$118-Coordenadas!$C$170)^2+(Coordenadas!$D$118-Coordenadas!$D$170)^2)&lt;=LEEME!$B$20,EXP(-LEEME!$B$19*SQRT((Coordenadas!$C$118-Coordenadas!$C$170)^2+(Coordenadas!$D$118-Coordenadas!$D$170)^2)),0)</f>
        <v>0.77396969530906845</v>
      </c>
    </row>
    <row r="750" spans="1:3">
      <c r="A750" t="s">
        <v>165</v>
      </c>
      <c r="B750" t="s">
        <v>276</v>
      </c>
      <c r="C750" s="20">
        <f>IF(SQRT((Coordenadas!$C$118-Coordenadas!$C$171)^2+(Coordenadas!$D$118-Coordenadas!$D$171)^2)&lt;=LEEME!$B$20,EXP(-LEEME!$B$19*SQRT((Coordenadas!$C$118-Coordenadas!$C$171)^2+(Coordenadas!$D$118-Coordenadas!$D$171)^2)),0)</f>
        <v>0.66239984723647349</v>
      </c>
    </row>
    <row r="751" spans="1:3">
      <c r="A751" t="s">
        <v>165</v>
      </c>
      <c r="B751" t="s">
        <v>277</v>
      </c>
      <c r="C751" s="20">
        <f>IF(SQRT((Coordenadas!$C$118-Coordenadas!$C$172)^2+(Coordenadas!$D$118-Coordenadas!$D$172)^2)&lt;=LEEME!$B$20,EXP(-LEEME!$B$19*SQRT((Coordenadas!$C$118-Coordenadas!$C$172)^2+(Coordenadas!$D$118-Coordenadas!$D$172)^2)),0)</f>
        <v>0.58430546938060068</v>
      </c>
    </row>
    <row r="752" spans="1:3">
      <c r="A752" t="s">
        <v>165</v>
      </c>
      <c r="B752" t="s">
        <v>278</v>
      </c>
      <c r="C752" s="20">
        <f>IF(SQRT((Coordenadas!$C$118-Coordenadas!$C$173)^2+(Coordenadas!$D$118-Coordenadas!$D$173)^2)&lt;=LEEME!$B$20,EXP(-LEEME!$B$19*SQRT((Coordenadas!$C$118-Coordenadas!$C$173)^2+(Coordenadas!$D$118-Coordenadas!$D$173)^2)),0)</f>
        <v>0.60866474511090585</v>
      </c>
    </row>
    <row r="753" spans="1:3">
      <c r="A753" t="s">
        <v>165</v>
      </c>
      <c r="B753" t="s">
        <v>280</v>
      </c>
      <c r="C753" s="20">
        <f>IF(SQRT((Coordenadas!$C$118-Coordenadas!$C$175)^2+(Coordenadas!$D$118-Coordenadas!$D$175)^2)&lt;=LEEME!$B$20,EXP(-LEEME!$B$19*SQRT((Coordenadas!$C$118-Coordenadas!$C$175)^2+(Coordenadas!$D$118-Coordenadas!$D$175)^2)),0)</f>
        <v>0.66340760386506592</v>
      </c>
    </row>
    <row r="754" spans="1:3">
      <c r="A754" t="s">
        <v>165</v>
      </c>
      <c r="B754" t="s">
        <v>285</v>
      </c>
      <c r="C754" s="20">
        <f>IF(SQRT((Coordenadas!$C$118-Coordenadas!$C$180)^2+(Coordenadas!$D$118-Coordenadas!$D$180)^2)&lt;=LEEME!$B$20,EXP(-LEEME!$B$19*SQRT((Coordenadas!$C$118-Coordenadas!$C$180)^2+(Coordenadas!$D$118-Coordenadas!$D$180)^2)),0)</f>
        <v>0.40708986724652452</v>
      </c>
    </row>
    <row r="755" spans="1:3">
      <c r="A755" t="s">
        <v>166</v>
      </c>
      <c r="B755" t="s">
        <v>273</v>
      </c>
      <c r="C755" s="20">
        <f>IF(SQRT((Coordenadas!$C$119-Coordenadas!$C$168)^2+(Coordenadas!$D$119-Coordenadas!$D$168)^2)&lt;=LEEME!$B$20,EXP(-LEEME!$B$19*SQRT((Coordenadas!$C$119-Coordenadas!$C$168)^2+(Coordenadas!$D$119-Coordenadas!$D$168)^2)),0)</f>
        <v>0.47257134846338034</v>
      </c>
    </row>
    <row r="756" spans="1:3">
      <c r="A756" t="s">
        <v>166</v>
      </c>
      <c r="B756" t="s">
        <v>274</v>
      </c>
      <c r="C756" s="20">
        <f>IF(SQRT((Coordenadas!$C$119-Coordenadas!$C$169)^2+(Coordenadas!$D$119-Coordenadas!$D$169)^2)&lt;=LEEME!$B$20,EXP(-LEEME!$B$19*SQRT((Coordenadas!$C$119-Coordenadas!$C$169)^2+(Coordenadas!$D$119-Coordenadas!$D$169)^2)),0)</f>
        <v>0.61799534739902617</v>
      </c>
    </row>
    <row r="757" spans="1:3">
      <c r="A757" t="s">
        <v>166</v>
      </c>
      <c r="B757" t="s">
        <v>275</v>
      </c>
      <c r="C757" s="20">
        <f>IF(SQRT((Coordenadas!$C$119-Coordenadas!$C$170)^2+(Coordenadas!$D$119-Coordenadas!$D$170)^2)&lt;=LEEME!$B$20,EXP(-LEEME!$B$19*SQRT((Coordenadas!$C$119-Coordenadas!$C$170)^2+(Coordenadas!$D$119-Coordenadas!$D$170)^2)),0)</f>
        <v>0.60048086131737721</v>
      </c>
    </row>
    <row r="758" spans="1:3">
      <c r="A758" t="s">
        <v>166</v>
      </c>
      <c r="B758" t="s">
        <v>276</v>
      </c>
      <c r="C758" s="20">
        <f>IF(SQRT((Coordenadas!$C$119-Coordenadas!$C$171)^2+(Coordenadas!$D$119-Coordenadas!$D$171)^2)&lt;=LEEME!$B$20,EXP(-LEEME!$B$19*SQRT((Coordenadas!$C$119-Coordenadas!$C$171)^2+(Coordenadas!$D$119-Coordenadas!$D$171)^2)),0)</f>
        <v>0.6840189431802125</v>
      </c>
    </row>
    <row r="759" spans="1:3">
      <c r="A759" t="s">
        <v>166</v>
      </c>
      <c r="B759" t="s">
        <v>277</v>
      </c>
      <c r="C759" s="20">
        <f>IF(SQRT((Coordenadas!$C$119-Coordenadas!$C$172)^2+(Coordenadas!$D$119-Coordenadas!$D$172)^2)&lt;=LEEME!$B$20,EXP(-LEEME!$B$19*SQRT((Coordenadas!$C$119-Coordenadas!$C$172)^2+(Coordenadas!$D$119-Coordenadas!$D$172)^2)),0)</f>
        <v>0.43776411796879705</v>
      </c>
    </row>
    <row r="760" spans="1:3">
      <c r="A760" t="s">
        <v>166</v>
      </c>
      <c r="B760" t="s">
        <v>278</v>
      </c>
      <c r="C760" s="20">
        <f>IF(SQRT((Coordenadas!$C$119-Coordenadas!$C$173)^2+(Coordenadas!$D$119-Coordenadas!$D$173)^2)&lt;=LEEME!$B$20,EXP(-LEEME!$B$19*SQRT((Coordenadas!$C$119-Coordenadas!$C$173)^2+(Coordenadas!$D$119-Coordenadas!$D$173)^2)),0)</f>
        <v>0.48219801069689749</v>
      </c>
    </row>
    <row r="761" spans="1:3">
      <c r="A761" t="s">
        <v>166</v>
      </c>
      <c r="B761" t="s">
        <v>280</v>
      </c>
      <c r="C761" s="20">
        <f>IF(SQRT((Coordenadas!$C$119-Coordenadas!$C$175)^2+(Coordenadas!$D$119-Coordenadas!$D$175)^2)&lt;=LEEME!$B$20,EXP(-LEEME!$B$19*SQRT((Coordenadas!$C$119-Coordenadas!$C$175)^2+(Coordenadas!$D$119-Coordenadas!$D$175)^2)),0)</f>
        <v>0.54921220081358657</v>
      </c>
    </row>
    <row r="762" spans="1:3">
      <c r="A762" t="s">
        <v>166</v>
      </c>
      <c r="B762" t="s">
        <v>285</v>
      </c>
      <c r="C762" s="20">
        <f>IF(SQRT((Coordenadas!$C$119-Coordenadas!$C$180)^2+(Coordenadas!$D$119-Coordenadas!$D$180)^2)&lt;=LEEME!$B$20,EXP(-LEEME!$B$19*SQRT((Coordenadas!$C$119-Coordenadas!$C$180)^2+(Coordenadas!$D$119-Coordenadas!$D$180)^2)),0)</f>
        <v>0.53182183012399975</v>
      </c>
    </row>
    <row r="763" spans="1:3">
      <c r="A763" t="s">
        <v>166</v>
      </c>
      <c r="B763" t="s">
        <v>290</v>
      </c>
      <c r="C763" s="20">
        <f>IF(SQRT((Coordenadas!$C$119-Coordenadas!$C$185)^2+(Coordenadas!$D$119-Coordenadas!$D$185)^2)&lt;=LEEME!$B$20,EXP(-LEEME!$B$19*SQRT((Coordenadas!$C$119-Coordenadas!$C$185)^2+(Coordenadas!$D$119-Coordenadas!$D$185)^2)),0)</f>
        <v>0.40016676765744047</v>
      </c>
    </row>
    <row r="764" spans="1:3">
      <c r="A764" t="s">
        <v>167</v>
      </c>
      <c r="B764" t="s">
        <v>274</v>
      </c>
      <c r="C764" s="20">
        <f>IF(SQRT((Coordenadas!$C$120-Coordenadas!$C$169)^2+(Coordenadas!$D$120-Coordenadas!$D$169)^2)&lt;=LEEME!$B$20,EXP(-LEEME!$B$19*SQRT((Coordenadas!$C$120-Coordenadas!$C$169)^2+(Coordenadas!$D$120-Coordenadas!$D$169)^2)),0)</f>
        <v>0.49104782568708311</v>
      </c>
    </row>
    <row r="765" spans="1:3">
      <c r="A765" t="s">
        <v>167</v>
      </c>
      <c r="B765" t="s">
        <v>275</v>
      </c>
      <c r="C765" s="20">
        <f>IF(SQRT((Coordenadas!$C$120-Coordenadas!$C$170)^2+(Coordenadas!$D$120-Coordenadas!$D$170)^2)&lt;=LEEME!$B$20,EXP(-LEEME!$B$19*SQRT((Coordenadas!$C$120-Coordenadas!$C$170)^2+(Coordenadas!$D$120-Coordenadas!$D$170)^2)),0)</f>
        <v>0.55408080380515345</v>
      </c>
    </row>
    <row r="766" spans="1:3">
      <c r="A766" t="s">
        <v>167</v>
      </c>
      <c r="B766" t="s">
        <v>276</v>
      </c>
      <c r="C766" s="20">
        <f>IF(SQRT((Coordenadas!$C$120-Coordenadas!$C$171)^2+(Coordenadas!$D$120-Coordenadas!$D$171)^2)&lt;=LEEME!$B$20,EXP(-LEEME!$B$19*SQRT((Coordenadas!$C$120-Coordenadas!$C$171)^2+(Coordenadas!$D$120-Coordenadas!$D$171)^2)),0)</f>
        <v>0.53462011474124183</v>
      </c>
    </row>
    <row r="767" spans="1:3">
      <c r="A767" t="s">
        <v>167</v>
      </c>
      <c r="B767" t="s">
        <v>277</v>
      </c>
      <c r="C767" s="20">
        <f>IF(SQRT((Coordenadas!$C$120-Coordenadas!$C$172)^2+(Coordenadas!$D$120-Coordenadas!$D$172)^2)&lt;=LEEME!$B$20,EXP(-LEEME!$B$19*SQRT((Coordenadas!$C$120-Coordenadas!$C$172)^2+(Coordenadas!$D$120-Coordenadas!$D$172)^2)),0)</f>
        <v>0.52044572313144633</v>
      </c>
    </row>
    <row r="768" spans="1:3">
      <c r="A768" t="s">
        <v>167</v>
      </c>
      <c r="B768" t="s">
        <v>278</v>
      </c>
      <c r="C768" s="20">
        <f>IF(SQRT((Coordenadas!$C$120-Coordenadas!$C$173)^2+(Coordenadas!$D$120-Coordenadas!$D$173)^2)&lt;=LEEME!$B$20,EXP(-LEEME!$B$19*SQRT((Coordenadas!$C$120-Coordenadas!$C$173)^2+(Coordenadas!$D$120-Coordenadas!$D$173)^2)),0)</f>
        <v>0.60350557542704064</v>
      </c>
    </row>
    <row r="769" spans="1:3">
      <c r="A769" t="s">
        <v>167</v>
      </c>
      <c r="B769" t="s">
        <v>280</v>
      </c>
      <c r="C769" s="20">
        <f>IF(SQRT((Coordenadas!$C$120-Coordenadas!$C$175)^2+(Coordenadas!$D$120-Coordenadas!$D$175)^2)&lt;=LEEME!$B$20,EXP(-LEEME!$B$19*SQRT((Coordenadas!$C$120-Coordenadas!$C$175)^2+(Coordenadas!$D$120-Coordenadas!$D$175)^2)),0)</f>
        <v>0.69872094595573853</v>
      </c>
    </row>
    <row r="770" spans="1:3">
      <c r="A770" t="s">
        <v>167</v>
      </c>
      <c r="B770" t="s">
        <v>285</v>
      </c>
      <c r="C770" s="20">
        <f>IF(SQRT((Coordenadas!$C$120-Coordenadas!$C$180)^2+(Coordenadas!$D$120-Coordenadas!$D$180)^2)&lt;=LEEME!$B$20,EXP(-LEEME!$B$19*SQRT((Coordenadas!$C$120-Coordenadas!$C$180)^2+(Coordenadas!$D$120-Coordenadas!$D$180)^2)),0)</f>
        <v>0.54200801530585319</v>
      </c>
    </row>
    <row r="771" spans="1:3">
      <c r="A771" t="s">
        <v>167</v>
      </c>
      <c r="B771" t="s">
        <v>290</v>
      </c>
      <c r="C771" s="20">
        <f>IF(SQRT((Coordenadas!$C$120-Coordenadas!$C$185)^2+(Coordenadas!$D$120-Coordenadas!$D$185)^2)&lt;=LEEME!$B$20,EXP(-LEEME!$B$19*SQRT((Coordenadas!$C$120-Coordenadas!$C$185)^2+(Coordenadas!$D$120-Coordenadas!$D$185)^2)),0)</f>
        <v>0.46805909447212252</v>
      </c>
    </row>
    <row r="772" spans="1:3">
      <c r="A772" t="s">
        <v>167</v>
      </c>
      <c r="B772" t="s">
        <v>291</v>
      </c>
      <c r="C772" s="20">
        <f>IF(SQRT((Coordenadas!$C$120-Coordenadas!$C$186)^2+(Coordenadas!$D$120-Coordenadas!$D$186)^2)&lt;=LEEME!$B$20,EXP(-LEEME!$B$19*SQRT((Coordenadas!$C$120-Coordenadas!$C$186)^2+(Coordenadas!$D$120-Coordenadas!$D$186)^2)),0)</f>
        <v>0.42560677269453934</v>
      </c>
    </row>
    <row r="773" spans="1:3">
      <c r="A773" t="s">
        <v>168</v>
      </c>
      <c r="B773" t="s">
        <v>274</v>
      </c>
      <c r="C773" s="20">
        <f>IF(SQRT((Coordenadas!$C$121-Coordenadas!$C$169)^2+(Coordenadas!$D$121-Coordenadas!$D$169)^2)&lt;=LEEME!$B$20,EXP(-LEEME!$B$19*SQRT((Coordenadas!$C$121-Coordenadas!$C$169)^2+(Coordenadas!$D$121-Coordenadas!$D$169)^2)),0)</f>
        <v>0.39126784177685364</v>
      </c>
    </row>
    <row r="774" spans="1:3">
      <c r="A774" t="s">
        <v>168</v>
      </c>
      <c r="B774" t="s">
        <v>275</v>
      </c>
      <c r="C774" s="20">
        <f>IF(SQRT((Coordenadas!$C$121-Coordenadas!$C$170)^2+(Coordenadas!$D$121-Coordenadas!$D$170)^2)&lt;=LEEME!$B$20,EXP(-LEEME!$B$19*SQRT((Coordenadas!$C$121-Coordenadas!$C$170)^2+(Coordenadas!$D$121-Coordenadas!$D$170)^2)),0)</f>
        <v>0.4136022577732944</v>
      </c>
    </row>
    <row r="775" spans="1:3">
      <c r="A775" t="s">
        <v>168</v>
      </c>
      <c r="B775" t="s">
        <v>276</v>
      </c>
      <c r="C775" s="20">
        <f>IF(SQRT((Coordenadas!$C$121-Coordenadas!$C$171)^2+(Coordenadas!$D$121-Coordenadas!$D$171)^2)&lt;=LEEME!$B$20,EXP(-LEEME!$B$19*SQRT((Coordenadas!$C$121-Coordenadas!$C$171)^2+(Coordenadas!$D$121-Coordenadas!$D$171)^2)),0)</f>
        <v>0.43234755377636047</v>
      </c>
    </row>
    <row r="776" spans="1:3">
      <c r="A776" t="s">
        <v>168</v>
      </c>
      <c r="B776" t="s">
        <v>277</v>
      </c>
      <c r="C776" s="20">
        <f>IF(SQRT((Coordenadas!$C$121-Coordenadas!$C$172)^2+(Coordenadas!$D$121-Coordenadas!$D$172)^2)&lt;=LEEME!$B$20,EXP(-LEEME!$B$19*SQRT((Coordenadas!$C$121-Coordenadas!$C$172)^2+(Coordenadas!$D$121-Coordenadas!$D$172)^2)),0)</f>
        <v>0.40091646576316398</v>
      </c>
    </row>
    <row r="777" spans="1:3">
      <c r="A777" t="s">
        <v>168</v>
      </c>
      <c r="B777" t="s">
        <v>278</v>
      </c>
      <c r="C777" s="20">
        <f>IF(SQRT((Coordenadas!$C$121-Coordenadas!$C$173)^2+(Coordenadas!$D$121-Coordenadas!$D$173)^2)&lt;=LEEME!$B$20,EXP(-LEEME!$B$19*SQRT((Coordenadas!$C$121-Coordenadas!$C$173)^2+(Coordenadas!$D$121-Coordenadas!$D$173)^2)),0)</f>
        <v>0.47953808101317291</v>
      </c>
    </row>
    <row r="778" spans="1:3">
      <c r="A778" t="s">
        <v>168</v>
      </c>
      <c r="B778" t="s">
        <v>280</v>
      </c>
      <c r="C778" s="20">
        <f>IF(SQRT((Coordenadas!$C$121-Coordenadas!$C$175)^2+(Coordenadas!$D$121-Coordenadas!$D$175)^2)&lt;=LEEME!$B$20,EXP(-LEEME!$B$19*SQRT((Coordenadas!$C$121-Coordenadas!$C$175)^2+(Coordenadas!$D$121-Coordenadas!$D$175)^2)),0)</f>
        <v>0.55464462340004872</v>
      </c>
    </row>
    <row r="779" spans="1:3">
      <c r="A779" t="s">
        <v>168</v>
      </c>
      <c r="B779" t="s">
        <v>285</v>
      </c>
      <c r="C779" s="20">
        <f>IF(SQRT((Coordenadas!$C$121-Coordenadas!$C$180)^2+(Coordenadas!$D$121-Coordenadas!$D$180)^2)&lt;=LEEME!$B$20,EXP(-LEEME!$B$19*SQRT((Coordenadas!$C$121-Coordenadas!$C$180)^2+(Coordenadas!$D$121-Coordenadas!$D$180)^2)),0)</f>
        <v>0.70842575081552395</v>
      </c>
    </row>
    <row r="780" spans="1:3">
      <c r="A780" t="s">
        <v>168</v>
      </c>
      <c r="B780" t="s">
        <v>290</v>
      </c>
      <c r="C780" s="20">
        <f>IF(SQRT((Coordenadas!$C$121-Coordenadas!$C$185)^2+(Coordenadas!$D$121-Coordenadas!$D$185)^2)&lt;=LEEME!$B$20,EXP(-LEEME!$B$19*SQRT((Coordenadas!$C$121-Coordenadas!$C$185)^2+(Coordenadas!$D$121-Coordenadas!$D$185)^2)),0)</f>
        <v>0.62645367716684253</v>
      </c>
    </row>
    <row r="781" spans="1:3">
      <c r="A781" t="s">
        <v>168</v>
      </c>
      <c r="B781" t="s">
        <v>291</v>
      </c>
      <c r="C781" s="20">
        <f>IF(SQRT((Coordenadas!$C$121-Coordenadas!$C$186)^2+(Coordenadas!$D$121-Coordenadas!$D$186)^2)&lt;=LEEME!$B$20,EXP(-LEEME!$B$19*SQRT((Coordenadas!$C$121-Coordenadas!$C$186)^2+(Coordenadas!$D$121-Coordenadas!$D$186)^2)),0)</f>
        <v>0.49778594670427034</v>
      </c>
    </row>
    <row r="782" spans="1:3">
      <c r="A782" t="s">
        <v>168</v>
      </c>
      <c r="B782" t="s">
        <v>293</v>
      </c>
      <c r="C782" s="20">
        <f>IF(SQRT((Coordenadas!$C$121-Coordenadas!$C$188)^2+(Coordenadas!$D$121-Coordenadas!$D$188)^2)&lt;=LEEME!$B$20,EXP(-LEEME!$B$19*SQRT((Coordenadas!$C$121-Coordenadas!$C$188)^2+(Coordenadas!$D$121-Coordenadas!$D$188)^2)),0)</f>
        <v>0.3954893609810643</v>
      </c>
    </row>
    <row r="783" spans="1:3">
      <c r="A783" t="s">
        <v>169</v>
      </c>
      <c r="B783" t="s">
        <v>275</v>
      </c>
      <c r="C783" s="20">
        <f>IF(SQRT((Coordenadas!$C$122-Coordenadas!$C$170)^2+(Coordenadas!$D$122-Coordenadas!$D$170)^2)&lt;=LEEME!$B$20,EXP(-LEEME!$B$19*SQRT((Coordenadas!$C$122-Coordenadas!$C$170)^2+(Coordenadas!$D$122-Coordenadas!$D$170)^2)),0)</f>
        <v>0.40432409235711814</v>
      </c>
    </row>
    <row r="784" spans="1:3">
      <c r="A784" t="s">
        <v>169</v>
      </c>
      <c r="B784" t="s">
        <v>276</v>
      </c>
      <c r="C784" s="20">
        <f>IF(SQRT((Coordenadas!$C$122-Coordenadas!$C$171)^2+(Coordenadas!$D$122-Coordenadas!$D$171)^2)&lt;=LEEME!$B$20,EXP(-LEEME!$B$19*SQRT((Coordenadas!$C$122-Coordenadas!$C$171)^2+(Coordenadas!$D$122-Coordenadas!$D$171)^2)),0)</f>
        <v>0.37200882512108163</v>
      </c>
    </row>
    <row r="785" spans="1:3">
      <c r="A785" t="s">
        <v>169</v>
      </c>
      <c r="B785" t="s">
        <v>277</v>
      </c>
      <c r="C785" s="20">
        <f>IF(SQRT((Coordenadas!$C$122-Coordenadas!$C$172)^2+(Coordenadas!$D$122-Coordenadas!$D$172)^2)&lt;=LEEME!$B$20,EXP(-LEEME!$B$19*SQRT((Coordenadas!$C$122-Coordenadas!$C$172)^2+(Coordenadas!$D$122-Coordenadas!$D$172)^2)),0)</f>
        <v>0.48549699767396298</v>
      </c>
    </row>
    <row r="786" spans="1:3">
      <c r="A786" t="s">
        <v>169</v>
      </c>
      <c r="B786" t="s">
        <v>278</v>
      </c>
      <c r="C786" s="20">
        <f>IF(SQRT((Coordenadas!$C$122-Coordenadas!$C$173)^2+(Coordenadas!$D$122-Coordenadas!$D$173)^2)&lt;=LEEME!$B$20,EXP(-LEEME!$B$19*SQRT((Coordenadas!$C$122-Coordenadas!$C$173)^2+(Coordenadas!$D$122-Coordenadas!$D$173)^2)),0)</f>
        <v>0.59392119476622884</v>
      </c>
    </row>
    <row r="787" spans="1:3">
      <c r="A787" t="s">
        <v>169</v>
      </c>
      <c r="B787" t="s">
        <v>280</v>
      </c>
      <c r="C787" s="20">
        <f>IF(SQRT((Coordenadas!$C$122-Coordenadas!$C$175)^2+(Coordenadas!$D$122-Coordenadas!$D$175)^2)&lt;=LEEME!$B$20,EXP(-LEEME!$B$19*SQRT((Coordenadas!$C$122-Coordenadas!$C$175)^2+(Coordenadas!$D$122-Coordenadas!$D$175)^2)),0)</f>
        <v>0.66712096481847816</v>
      </c>
    </row>
    <row r="788" spans="1:3">
      <c r="A788" t="s">
        <v>169</v>
      </c>
      <c r="B788" t="s">
        <v>285</v>
      </c>
      <c r="C788" s="20">
        <f>IF(SQRT((Coordenadas!$C$122-Coordenadas!$C$180)^2+(Coordenadas!$D$122-Coordenadas!$D$180)^2)&lt;=LEEME!$B$20,EXP(-LEEME!$B$19*SQRT((Coordenadas!$C$122-Coordenadas!$C$180)^2+(Coordenadas!$D$122-Coordenadas!$D$180)^2)),0)</f>
        <v>0.52620364956550647</v>
      </c>
    </row>
    <row r="789" spans="1:3">
      <c r="A789" t="s">
        <v>169</v>
      </c>
      <c r="B789" t="s">
        <v>290</v>
      </c>
      <c r="C789" s="20">
        <f>IF(SQRT((Coordenadas!$C$122-Coordenadas!$C$185)^2+(Coordenadas!$D$122-Coordenadas!$D$185)^2)&lt;=LEEME!$B$20,EXP(-LEEME!$B$19*SQRT((Coordenadas!$C$122-Coordenadas!$C$185)^2+(Coordenadas!$D$122-Coordenadas!$D$185)^2)),0)</f>
        <v>0.57136212338895875</v>
      </c>
    </row>
    <row r="790" spans="1:3">
      <c r="A790" t="s">
        <v>169</v>
      </c>
      <c r="B790" t="s">
        <v>291</v>
      </c>
      <c r="C790" s="20">
        <f>IF(SQRT((Coordenadas!$C$122-Coordenadas!$C$186)^2+(Coordenadas!$D$122-Coordenadas!$D$186)^2)&lt;=LEEME!$B$20,EXP(-LEEME!$B$19*SQRT((Coordenadas!$C$122-Coordenadas!$C$186)^2+(Coordenadas!$D$122-Coordenadas!$D$186)^2)),0)</f>
        <v>0.60857282043702265</v>
      </c>
    </row>
    <row r="791" spans="1:3">
      <c r="A791" t="s">
        <v>169</v>
      </c>
      <c r="B791" t="s">
        <v>296</v>
      </c>
      <c r="C791" s="20">
        <f>IF(SQRT((Coordenadas!$C$122-Coordenadas!$C$191)^2+(Coordenadas!$D$122-Coordenadas!$D$191)^2)&lt;=LEEME!$B$20,EXP(-LEEME!$B$19*SQRT((Coordenadas!$C$122-Coordenadas!$C$191)^2+(Coordenadas!$D$122-Coordenadas!$D$191)^2)),0)</f>
        <v>0.37399452987502985</v>
      </c>
    </row>
    <row r="792" spans="1:3">
      <c r="A792" t="s">
        <v>170</v>
      </c>
      <c r="B792" t="s">
        <v>297</v>
      </c>
      <c r="C792" s="20">
        <f>IF(SQRT((Coordenadas!$C$123-Coordenadas!$C$192)^2+(Coordenadas!$D$123-Coordenadas!$D$192)^2)&lt;=LEEME!$B$20,EXP(-LEEME!$B$19*SQRT((Coordenadas!$C$123-Coordenadas!$C$192)^2+(Coordenadas!$D$123-Coordenadas!$D$192)^2)),0)</f>
        <v>0.80847710660389305</v>
      </c>
    </row>
    <row r="793" spans="1:3">
      <c r="A793" t="s">
        <v>170</v>
      </c>
      <c r="B793" t="s">
        <v>299</v>
      </c>
      <c r="C793" s="20">
        <f>IF(SQRT((Coordenadas!$C$123-Coordenadas!$C$194)^2+(Coordenadas!$D$123-Coordenadas!$D$194)^2)&lt;=LEEME!$B$20,EXP(-LEEME!$B$19*SQRT((Coordenadas!$C$123-Coordenadas!$C$194)^2+(Coordenadas!$D$123-Coordenadas!$D$194)^2)),0)</f>
        <v>0.50328233632284336</v>
      </c>
    </row>
    <row r="794" spans="1:3">
      <c r="A794" t="s">
        <v>170</v>
      </c>
      <c r="B794" t="s">
        <v>302</v>
      </c>
      <c r="C794" s="20">
        <f>IF(SQRT((Coordenadas!$C$123-Coordenadas!$C$197)^2+(Coordenadas!$D$123-Coordenadas!$D$197)^2)&lt;=LEEME!$B$20,EXP(-LEEME!$B$19*SQRT((Coordenadas!$C$123-Coordenadas!$C$197)^2+(Coordenadas!$D$123-Coordenadas!$D$197)^2)),0)</f>
        <v>0.6492837793906987</v>
      </c>
    </row>
    <row r="795" spans="1:3">
      <c r="A795" t="s">
        <v>170</v>
      </c>
      <c r="B795" t="s">
        <v>304</v>
      </c>
      <c r="C795" s="20">
        <f>IF(SQRT((Coordenadas!$C$123-Coordenadas!$C$199)^2+(Coordenadas!$D$123-Coordenadas!$D$199)^2)&lt;=LEEME!$B$20,EXP(-LEEME!$B$19*SQRT((Coordenadas!$C$123-Coordenadas!$C$199)^2+(Coordenadas!$D$123-Coordenadas!$D$199)^2)),0)</f>
        <v>0.79609632829000443</v>
      </c>
    </row>
    <row r="796" spans="1:3">
      <c r="A796" t="s">
        <v>170</v>
      </c>
      <c r="B796" t="s">
        <v>306</v>
      </c>
      <c r="C796" s="20">
        <f>IF(SQRT((Coordenadas!$C$123-Coordenadas!$C$201)^2+(Coordenadas!$D$123-Coordenadas!$D$201)^2)&lt;=LEEME!$B$20,EXP(-LEEME!$B$19*SQRT((Coordenadas!$C$123-Coordenadas!$C$201)^2+(Coordenadas!$D$123-Coordenadas!$D$201)^2)),0)</f>
        <v>0.51605996338796745</v>
      </c>
    </row>
    <row r="797" spans="1:3">
      <c r="A797" t="s">
        <v>170</v>
      </c>
      <c r="B797" t="s">
        <v>307</v>
      </c>
      <c r="C797" s="20">
        <f>IF(SQRT((Coordenadas!$C$123-Coordenadas!$C$202)^2+(Coordenadas!$D$123-Coordenadas!$D$202)^2)&lt;=LEEME!$B$20,EXP(-LEEME!$B$19*SQRT((Coordenadas!$C$123-Coordenadas!$C$202)^2+(Coordenadas!$D$123-Coordenadas!$D$202)^2)),0)</f>
        <v>0.48238816241383609</v>
      </c>
    </row>
    <row r="798" spans="1:3">
      <c r="A798" t="s">
        <v>170</v>
      </c>
      <c r="B798" t="s">
        <v>308</v>
      </c>
      <c r="C798" s="20">
        <f>IF(SQRT((Coordenadas!$C$123-Coordenadas!$C$203)^2+(Coordenadas!$D$123-Coordenadas!$D$203)^2)&lt;=LEEME!$B$20,EXP(-LEEME!$B$19*SQRT((Coordenadas!$C$123-Coordenadas!$C$203)^2+(Coordenadas!$D$123-Coordenadas!$D$203)^2)),0)</f>
        <v>0.5742404143995804</v>
      </c>
    </row>
    <row r="799" spans="1:3">
      <c r="A799" t="s">
        <v>171</v>
      </c>
      <c r="B799" t="s">
        <v>297</v>
      </c>
      <c r="C799" s="20">
        <f>IF(SQRT((Coordenadas!$C$124-Coordenadas!$C$192)^2+(Coordenadas!$D$124-Coordenadas!$D$192)^2)&lt;=LEEME!$B$20,EXP(-LEEME!$B$19*SQRT((Coordenadas!$C$124-Coordenadas!$C$192)^2+(Coordenadas!$D$124-Coordenadas!$D$192)^2)),0)</f>
        <v>0.71406143110531617</v>
      </c>
    </row>
    <row r="800" spans="1:3">
      <c r="A800" t="s">
        <v>171</v>
      </c>
      <c r="B800" t="s">
        <v>299</v>
      </c>
      <c r="C800" s="20">
        <f>IF(SQRT((Coordenadas!$C$124-Coordenadas!$C$194)^2+(Coordenadas!$D$124-Coordenadas!$D$194)^2)&lt;=LEEME!$B$20,EXP(-LEEME!$B$19*SQRT((Coordenadas!$C$124-Coordenadas!$C$194)^2+(Coordenadas!$D$124-Coordenadas!$D$194)^2)),0)</f>
        <v>0.42276883866796877</v>
      </c>
    </row>
    <row r="801" spans="1:3">
      <c r="A801" t="s">
        <v>171</v>
      </c>
      <c r="B801" t="s">
        <v>302</v>
      </c>
      <c r="C801" s="20">
        <f>IF(SQRT((Coordenadas!$C$124-Coordenadas!$C$197)^2+(Coordenadas!$D$124-Coordenadas!$D$197)^2)&lt;=LEEME!$B$20,EXP(-LEEME!$B$19*SQRT((Coordenadas!$C$124-Coordenadas!$C$197)^2+(Coordenadas!$D$124-Coordenadas!$D$197)^2)),0)</f>
        <v>0.53800952180492834</v>
      </c>
    </row>
    <row r="802" spans="1:3">
      <c r="A802" t="s">
        <v>171</v>
      </c>
      <c r="B802" t="s">
        <v>304</v>
      </c>
      <c r="C802" s="20">
        <f>IF(SQRT((Coordenadas!$C$124-Coordenadas!$C$199)^2+(Coordenadas!$D$124-Coordenadas!$D$199)^2)&lt;=LEEME!$B$20,EXP(-LEEME!$B$19*SQRT((Coordenadas!$C$124-Coordenadas!$C$199)^2+(Coordenadas!$D$124-Coordenadas!$D$199)^2)),0)</f>
        <v>0.69419665087797888</v>
      </c>
    </row>
    <row r="803" spans="1:3">
      <c r="A803" t="s">
        <v>171</v>
      </c>
      <c r="B803" t="s">
        <v>306</v>
      </c>
      <c r="C803" s="20">
        <f>IF(SQRT((Coordenadas!$C$124-Coordenadas!$C$201)^2+(Coordenadas!$D$124-Coordenadas!$D$201)^2)&lt;=LEEME!$B$20,EXP(-LEEME!$B$19*SQRT((Coordenadas!$C$124-Coordenadas!$C$201)^2+(Coordenadas!$D$124-Coordenadas!$D$201)^2)),0)</f>
        <v>0.42995809314628064</v>
      </c>
    </row>
    <row r="804" spans="1:3">
      <c r="A804" t="s">
        <v>171</v>
      </c>
      <c r="B804" t="s">
        <v>307</v>
      </c>
      <c r="C804" s="20">
        <f>IF(SQRT((Coordenadas!$C$124-Coordenadas!$C$202)^2+(Coordenadas!$D$124-Coordenadas!$D$202)^2)&lt;=LEEME!$B$20,EXP(-LEEME!$B$19*SQRT((Coordenadas!$C$124-Coordenadas!$C$202)^2+(Coordenadas!$D$124-Coordenadas!$D$202)^2)),0)</f>
        <v>0.40313894683725598</v>
      </c>
    </row>
    <row r="805" spans="1:3">
      <c r="A805" t="s">
        <v>171</v>
      </c>
      <c r="B805" t="s">
        <v>308</v>
      </c>
      <c r="C805" s="20">
        <f>IF(SQRT((Coordenadas!$C$124-Coordenadas!$C$203)^2+(Coordenadas!$D$124-Coordenadas!$D$203)^2)&lt;=LEEME!$B$20,EXP(-LEEME!$B$19*SQRT((Coordenadas!$C$124-Coordenadas!$C$203)^2+(Coordenadas!$D$124-Coordenadas!$D$203)^2)),0)</f>
        <v>0.49122050780635307</v>
      </c>
    </row>
    <row r="806" spans="1:3">
      <c r="A806" t="s">
        <v>172</v>
      </c>
      <c r="B806" t="s">
        <v>297</v>
      </c>
      <c r="C806" s="20">
        <f>IF(SQRT((Coordenadas!$C$125-Coordenadas!$C$192)^2+(Coordenadas!$D$125-Coordenadas!$D$192)^2)&lt;=LEEME!$B$20,EXP(-LEEME!$B$19*SQRT((Coordenadas!$C$125-Coordenadas!$C$192)^2+(Coordenadas!$D$125-Coordenadas!$D$192)^2)),0)</f>
        <v>0.62006046560171502</v>
      </c>
    </row>
    <row r="807" spans="1:3">
      <c r="A807" t="s">
        <v>172</v>
      </c>
      <c r="B807" t="s">
        <v>299</v>
      </c>
      <c r="C807" s="20">
        <f>IF(SQRT((Coordenadas!$C$125-Coordenadas!$C$194)^2+(Coordenadas!$D$125-Coordenadas!$D$194)^2)&lt;=LEEME!$B$20,EXP(-LEEME!$B$19*SQRT((Coordenadas!$C$125-Coordenadas!$C$194)^2+(Coordenadas!$D$125-Coordenadas!$D$194)^2)),0)</f>
        <v>0.39430992225591305</v>
      </c>
    </row>
    <row r="808" spans="1:3">
      <c r="A808" t="s">
        <v>172</v>
      </c>
      <c r="B808" t="s">
        <v>302</v>
      </c>
      <c r="C808" s="20">
        <f>IF(SQRT((Coordenadas!$C$125-Coordenadas!$C$197)^2+(Coordenadas!$D$125-Coordenadas!$D$197)^2)&lt;=LEEME!$B$20,EXP(-LEEME!$B$19*SQRT((Coordenadas!$C$125-Coordenadas!$C$197)^2+(Coordenadas!$D$125-Coordenadas!$D$197)^2)),0)</f>
        <v>0.53790105954884704</v>
      </c>
    </row>
    <row r="809" spans="1:3">
      <c r="A809" t="s">
        <v>172</v>
      </c>
      <c r="B809" t="s">
        <v>304</v>
      </c>
      <c r="C809" s="20">
        <f>IF(SQRT((Coordenadas!$C$125-Coordenadas!$C$199)^2+(Coordenadas!$D$125-Coordenadas!$D$199)^2)&lt;=LEEME!$B$20,EXP(-LEEME!$B$19*SQRT((Coordenadas!$C$125-Coordenadas!$C$199)^2+(Coordenadas!$D$125-Coordenadas!$D$199)^2)),0)</f>
        <v>0.75467403936315303</v>
      </c>
    </row>
    <row r="810" spans="1:3">
      <c r="A810" t="s">
        <v>172</v>
      </c>
      <c r="B810" t="s">
        <v>306</v>
      </c>
      <c r="C810" s="20">
        <f>IF(SQRT((Coordenadas!$C$125-Coordenadas!$C$201)^2+(Coordenadas!$D$125-Coordenadas!$D$201)^2)&lt;=LEEME!$B$20,EXP(-LEEME!$B$19*SQRT((Coordenadas!$C$125-Coordenadas!$C$201)^2+(Coordenadas!$D$125-Coordenadas!$D$201)^2)),0)</f>
        <v>0.45133287750949708</v>
      </c>
    </row>
    <row r="811" spans="1:3">
      <c r="A811" t="s">
        <v>172</v>
      </c>
      <c r="B811" t="s">
        <v>307</v>
      </c>
      <c r="C811" s="20">
        <f>IF(SQRT((Coordenadas!$C$125-Coordenadas!$C$202)^2+(Coordenadas!$D$125-Coordenadas!$D$202)^2)&lt;=LEEME!$B$20,EXP(-LEEME!$B$19*SQRT((Coordenadas!$C$125-Coordenadas!$C$202)^2+(Coordenadas!$D$125-Coordenadas!$D$202)^2)),0)</f>
        <v>0.42915109649401728</v>
      </c>
    </row>
    <row r="812" spans="1:3">
      <c r="A812" t="s">
        <v>172</v>
      </c>
      <c r="B812" t="s">
        <v>308</v>
      </c>
      <c r="C812" s="20">
        <f>IF(SQRT((Coordenadas!$C$125-Coordenadas!$C$203)^2+(Coordenadas!$D$125-Coordenadas!$D$203)^2)&lt;=LEEME!$B$20,EXP(-LEEME!$B$19*SQRT((Coordenadas!$C$125-Coordenadas!$C$203)^2+(Coordenadas!$D$125-Coordenadas!$D$203)^2)),0)</f>
        <v>0.54625502631515765</v>
      </c>
    </row>
    <row r="813" spans="1:3">
      <c r="A813" t="s">
        <v>173</v>
      </c>
      <c r="B813" t="s">
        <v>297</v>
      </c>
      <c r="C813" s="20">
        <f>IF(SQRT((Coordenadas!$C$126-Coordenadas!$C$192)^2+(Coordenadas!$D$126-Coordenadas!$D$192)^2)&lt;=LEEME!$B$20,EXP(-LEEME!$B$19*SQRT((Coordenadas!$C$126-Coordenadas!$C$192)^2+(Coordenadas!$D$126-Coordenadas!$D$192)^2)),0)</f>
        <v>0.53624867290255118</v>
      </c>
    </row>
    <row r="814" spans="1:3">
      <c r="A814" t="s">
        <v>173</v>
      </c>
      <c r="B814" t="s">
        <v>302</v>
      </c>
      <c r="C814" s="20">
        <f>IF(SQRT((Coordenadas!$C$126-Coordenadas!$C$197)^2+(Coordenadas!$D$126-Coordenadas!$D$197)^2)&lt;=LEEME!$B$20,EXP(-LEEME!$B$19*SQRT((Coordenadas!$C$126-Coordenadas!$C$197)^2+(Coordenadas!$D$126-Coordenadas!$D$197)^2)),0)</f>
        <v>0.5094300388181231</v>
      </c>
    </row>
    <row r="815" spans="1:3">
      <c r="A815" t="s">
        <v>173</v>
      </c>
      <c r="B815" t="s">
        <v>304</v>
      </c>
      <c r="C815" s="20">
        <f>IF(SQRT((Coordenadas!$C$126-Coordenadas!$C$199)^2+(Coordenadas!$D$126-Coordenadas!$D$199)^2)&lt;=LEEME!$B$20,EXP(-LEEME!$B$19*SQRT((Coordenadas!$C$126-Coordenadas!$C$199)^2+(Coordenadas!$D$126-Coordenadas!$D$199)^2)),0)</f>
        <v>0.7230840175434361</v>
      </c>
    </row>
    <row r="816" spans="1:3">
      <c r="A816" t="s">
        <v>173</v>
      </c>
      <c r="B816" t="s">
        <v>306</v>
      </c>
      <c r="C816" s="20">
        <f>IF(SQRT((Coordenadas!$C$126-Coordenadas!$C$201)^2+(Coordenadas!$D$126-Coordenadas!$D$201)^2)&lt;=LEEME!$B$20,EXP(-LEEME!$B$19*SQRT((Coordenadas!$C$126-Coordenadas!$C$201)^2+(Coordenadas!$D$126-Coordenadas!$D$201)^2)),0)</f>
        <v>0.44907637639103681</v>
      </c>
    </row>
    <row r="817" spans="1:3">
      <c r="A817" t="s">
        <v>173</v>
      </c>
      <c r="B817" t="s">
        <v>307</v>
      </c>
      <c r="C817" s="20">
        <f>IF(SQRT((Coordenadas!$C$126-Coordenadas!$C$202)^2+(Coordenadas!$D$126-Coordenadas!$D$202)^2)&lt;=LEEME!$B$20,EXP(-LEEME!$B$19*SQRT((Coordenadas!$C$126-Coordenadas!$C$202)^2+(Coordenadas!$D$126-Coordenadas!$D$202)^2)),0)</f>
        <v>0.43317425118169384</v>
      </c>
    </row>
    <row r="818" spans="1:3">
      <c r="A818" t="s">
        <v>173</v>
      </c>
      <c r="B818" t="s">
        <v>308</v>
      </c>
      <c r="C818" s="20">
        <f>IF(SQRT((Coordenadas!$C$126-Coordenadas!$C$203)^2+(Coordenadas!$D$126-Coordenadas!$D$203)^2)&lt;=LEEME!$B$20,EXP(-LEEME!$B$19*SQRT((Coordenadas!$C$126-Coordenadas!$C$203)^2+(Coordenadas!$D$126-Coordenadas!$D$203)^2)),0)</f>
        <v>0.56551303720042245</v>
      </c>
    </row>
    <row r="819" spans="1:3">
      <c r="A819" t="s">
        <v>174</v>
      </c>
      <c r="B819" t="s">
        <v>297</v>
      </c>
      <c r="C819" s="20">
        <f>IF(SQRT((Coordenadas!$C$127-Coordenadas!$C$192)^2+(Coordenadas!$D$127-Coordenadas!$D$192)^2)&lt;=LEEME!$B$20,EXP(-LEEME!$B$19*SQRT((Coordenadas!$C$127-Coordenadas!$C$192)^2+(Coordenadas!$D$127-Coordenadas!$D$192)^2)),0)</f>
        <v>0.44498854574988056</v>
      </c>
    </row>
    <row r="820" spans="1:3">
      <c r="A820" t="s">
        <v>174</v>
      </c>
      <c r="B820" t="s">
        <v>302</v>
      </c>
      <c r="C820" s="20">
        <f>IF(SQRT((Coordenadas!$C$127-Coordenadas!$C$197)^2+(Coordenadas!$D$127-Coordenadas!$D$197)^2)&lt;=LEEME!$B$20,EXP(-LEEME!$B$19*SQRT((Coordenadas!$C$127-Coordenadas!$C$197)^2+(Coordenadas!$D$127-Coordenadas!$D$197)^2)),0)</f>
        <v>0.46691402612856631</v>
      </c>
    </row>
    <row r="821" spans="1:3">
      <c r="A821" t="s">
        <v>174</v>
      </c>
      <c r="B821" t="s">
        <v>304</v>
      </c>
      <c r="C821" s="20">
        <f>IF(SQRT((Coordenadas!$C$127-Coordenadas!$C$199)^2+(Coordenadas!$D$127-Coordenadas!$D$199)^2)&lt;=LEEME!$B$20,EXP(-LEEME!$B$19*SQRT((Coordenadas!$C$127-Coordenadas!$C$199)^2+(Coordenadas!$D$127-Coordenadas!$D$199)^2)),0)</f>
        <v>0.63782307842618358</v>
      </c>
    </row>
    <row r="822" spans="1:3">
      <c r="A822" t="s">
        <v>174</v>
      </c>
      <c r="B822" t="s">
        <v>306</v>
      </c>
      <c r="C822" s="20">
        <f>IF(SQRT((Coordenadas!$C$127-Coordenadas!$C$201)^2+(Coordenadas!$D$127-Coordenadas!$D$201)^2)&lt;=LEEME!$B$20,EXP(-LEEME!$B$19*SQRT((Coordenadas!$C$127-Coordenadas!$C$201)^2+(Coordenadas!$D$127-Coordenadas!$D$201)^2)),0)</f>
        <v>0.44106376639923656</v>
      </c>
    </row>
    <row r="823" spans="1:3">
      <c r="A823" t="s">
        <v>174</v>
      </c>
      <c r="B823" t="s">
        <v>307</v>
      </c>
      <c r="C823" s="20">
        <f>IF(SQRT((Coordenadas!$C$127-Coordenadas!$C$202)^2+(Coordenadas!$D$127-Coordenadas!$D$202)^2)&lt;=LEEME!$B$20,EXP(-LEEME!$B$19*SQRT((Coordenadas!$C$127-Coordenadas!$C$202)^2+(Coordenadas!$D$127-Coordenadas!$D$202)^2)),0)</f>
        <v>0.43444688144285748</v>
      </c>
    </row>
    <row r="824" spans="1:3">
      <c r="A824" t="s">
        <v>174</v>
      </c>
      <c r="B824" t="s">
        <v>308</v>
      </c>
      <c r="C824" s="20">
        <f>IF(SQRT((Coordenadas!$C$127-Coordenadas!$C$203)^2+(Coordenadas!$D$127-Coordenadas!$D$203)^2)&lt;=LEEME!$B$20,EXP(-LEEME!$B$19*SQRT((Coordenadas!$C$127-Coordenadas!$C$203)^2+(Coordenadas!$D$127-Coordenadas!$D$203)^2)),0)</f>
        <v>0.57227007119716222</v>
      </c>
    </row>
    <row r="825" spans="1:3">
      <c r="A825" t="s">
        <v>175</v>
      </c>
      <c r="B825" t="s">
        <v>302</v>
      </c>
      <c r="C825" s="20">
        <f>IF(SQRT((Coordenadas!$C$128-Coordenadas!$C$197)^2+(Coordenadas!$D$128-Coordenadas!$D$197)^2)&lt;=LEEME!$B$20,EXP(-LEEME!$B$19*SQRT((Coordenadas!$C$128-Coordenadas!$C$197)^2+(Coordenadas!$D$128-Coordenadas!$D$197)^2)),0)</f>
        <v>0.40094936647062723</v>
      </c>
    </row>
    <row r="826" spans="1:3">
      <c r="A826" t="s">
        <v>175</v>
      </c>
      <c r="B826" t="s">
        <v>304</v>
      </c>
      <c r="C826" s="20">
        <f>IF(SQRT((Coordenadas!$C$128-Coordenadas!$C$199)^2+(Coordenadas!$D$128-Coordenadas!$D$199)^2)&lt;=LEEME!$B$20,EXP(-LEEME!$B$19*SQRT((Coordenadas!$C$128-Coordenadas!$C$199)^2+(Coordenadas!$D$128-Coordenadas!$D$199)^2)),0)</f>
        <v>0.49372346268366812</v>
      </c>
    </row>
    <row r="827" spans="1:3">
      <c r="A827" t="s">
        <v>175</v>
      </c>
      <c r="B827" t="s">
        <v>306</v>
      </c>
      <c r="C827" s="20">
        <f>IF(SQRT((Coordenadas!$C$128-Coordenadas!$C$201)^2+(Coordenadas!$D$128-Coordenadas!$D$201)^2)&lt;=LEEME!$B$20,EXP(-LEEME!$B$19*SQRT((Coordenadas!$C$128-Coordenadas!$C$201)^2+(Coordenadas!$D$128-Coordenadas!$D$201)^2)),0)</f>
        <v>0.42324820983439848</v>
      </c>
    </row>
    <row r="828" spans="1:3">
      <c r="A828" t="s">
        <v>175</v>
      </c>
      <c r="B828" t="s">
        <v>307</v>
      </c>
      <c r="C828" s="20">
        <f>IF(SQRT((Coordenadas!$C$128-Coordenadas!$C$202)^2+(Coordenadas!$D$128-Coordenadas!$D$202)^2)&lt;=LEEME!$B$20,EXP(-LEEME!$B$19*SQRT((Coordenadas!$C$128-Coordenadas!$C$202)^2+(Coordenadas!$D$128-Coordenadas!$D$202)^2)),0)</f>
        <v>0.43214141974548304</v>
      </c>
    </row>
    <row r="829" spans="1:3">
      <c r="A829" t="s">
        <v>175</v>
      </c>
      <c r="B829" t="s">
        <v>308</v>
      </c>
      <c r="C829" s="20">
        <f>IF(SQRT((Coordenadas!$C$128-Coordenadas!$C$203)^2+(Coordenadas!$D$128-Coordenadas!$D$203)^2)&lt;=LEEME!$B$20,EXP(-LEEME!$B$19*SQRT((Coordenadas!$C$128-Coordenadas!$C$203)^2+(Coordenadas!$D$128-Coordenadas!$D$203)^2)),0)</f>
        <v>0.54231798029845291</v>
      </c>
    </row>
    <row r="830" spans="1:3">
      <c r="A830" t="s">
        <v>176</v>
      </c>
      <c r="B830" t="s">
        <v>297</v>
      </c>
      <c r="C830" s="20">
        <f>IF(SQRT((Coordenadas!$C$129-Coordenadas!$C$192)^2+(Coordenadas!$D$129-Coordenadas!$D$192)^2)&lt;=LEEME!$B$20,EXP(-LEEME!$B$19*SQRT((Coordenadas!$C$129-Coordenadas!$C$192)^2+(Coordenadas!$D$129-Coordenadas!$D$192)^2)),0)</f>
        <v>0.48449164597453775</v>
      </c>
    </row>
    <row r="831" spans="1:3">
      <c r="A831" t="s">
        <v>176</v>
      </c>
      <c r="B831" t="s">
        <v>299</v>
      </c>
      <c r="C831" s="20">
        <f>IF(SQRT((Coordenadas!$C$129-Coordenadas!$C$194)^2+(Coordenadas!$D$129-Coordenadas!$D$194)^2)&lt;=LEEME!$B$20,EXP(-LEEME!$B$19*SQRT((Coordenadas!$C$129-Coordenadas!$C$194)^2+(Coordenadas!$D$129-Coordenadas!$D$194)^2)),0)</f>
        <v>0.39028530726357596</v>
      </c>
    </row>
    <row r="832" spans="1:3">
      <c r="A832" t="s">
        <v>176</v>
      </c>
      <c r="B832" t="s">
        <v>302</v>
      </c>
      <c r="C832" s="20">
        <f>IF(SQRT((Coordenadas!$C$129-Coordenadas!$C$197)^2+(Coordenadas!$D$129-Coordenadas!$D$197)^2)&lt;=LEEME!$B$20,EXP(-LEEME!$B$19*SQRT((Coordenadas!$C$129-Coordenadas!$C$197)^2+(Coordenadas!$D$129-Coordenadas!$D$197)^2)),0)</f>
        <v>0.56394410350013768</v>
      </c>
    </row>
    <row r="833" spans="1:3">
      <c r="A833" t="s">
        <v>176</v>
      </c>
      <c r="B833" t="s">
        <v>304</v>
      </c>
      <c r="C833" s="20">
        <f>IF(SQRT((Coordenadas!$C$129-Coordenadas!$C$199)^2+(Coordenadas!$D$129-Coordenadas!$D$199)^2)&lt;=LEEME!$B$20,EXP(-LEEME!$B$19*SQRT((Coordenadas!$C$129-Coordenadas!$C$199)^2+(Coordenadas!$D$129-Coordenadas!$D$199)^2)),0)</f>
        <v>0.71437974579192531</v>
      </c>
    </row>
    <row r="834" spans="1:3">
      <c r="A834" t="s">
        <v>176</v>
      </c>
      <c r="B834" t="s">
        <v>306</v>
      </c>
      <c r="C834" s="20">
        <f>IF(SQRT((Coordenadas!$C$129-Coordenadas!$C$201)^2+(Coordenadas!$D$129-Coordenadas!$D$201)^2)&lt;=LEEME!$B$20,EXP(-LEEME!$B$19*SQRT((Coordenadas!$C$129-Coordenadas!$C$201)^2+(Coordenadas!$D$129-Coordenadas!$D$201)^2)),0)</f>
        <v>0.55357702441585732</v>
      </c>
    </row>
    <row r="835" spans="1:3">
      <c r="A835" t="s">
        <v>176</v>
      </c>
      <c r="B835" t="s">
        <v>307</v>
      </c>
      <c r="C835" s="20">
        <f>IF(SQRT((Coordenadas!$C$129-Coordenadas!$C$202)^2+(Coordenadas!$D$129-Coordenadas!$D$202)^2)&lt;=LEEME!$B$20,EXP(-LEEME!$B$19*SQRT((Coordenadas!$C$129-Coordenadas!$C$202)^2+(Coordenadas!$D$129-Coordenadas!$D$202)^2)),0)</f>
        <v>0.548206546954908</v>
      </c>
    </row>
    <row r="836" spans="1:3">
      <c r="A836" t="s">
        <v>176</v>
      </c>
      <c r="B836" t="s">
        <v>308</v>
      </c>
      <c r="C836" s="20">
        <f>IF(SQRT((Coordenadas!$C$129-Coordenadas!$C$203)^2+(Coordenadas!$D$129-Coordenadas!$D$203)^2)&lt;=LEEME!$B$20,EXP(-LEEME!$B$19*SQRT((Coordenadas!$C$129-Coordenadas!$C$203)^2+(Coordenadas!$D$129-Coordenadas!$D$203)^2)),0)</f>
        <v>0.72064765892572491</v>
      </c>
    </row>
    <row r="837" spans="1:3">
      <c r="A837" t="s">
        <v>177</v>
      </c>
      <c r="B837" t="s">
        <v>297</v>
      </c>
      <c r="C837" s="20">
        <f>IF(SQRT((Coordenadas!$C$130-Coordenadas!$C$192)^2+(Coordenadas!$D$130-Coordenadas!$D$192)^2)&lt;=LEEME!$B$20,EXP(-LEEME!$B$19*SQRT((Coordenadas!$C$130-Coordenadas!$C$192)^2+(Coordenadas!$D$130-Coordenadas!$D$192)^2)),0)</f>
        <v>0.53742450328492442</v>
      </c>
    </row>
    <row r="838" spans="1:3">
      <c r="A838" t="s">
        <v>177</v>
      </c>
      <c r="B838" t="s">
        <v>299</v>
      </c>
      <c r="C838" s="20">
        <f>IF(SQRT((Coordenadas!$C$130-Coordenadas!$C$194)^2+(Coordenadas!$D$130-Coordenadas!$D$194)^2)&lt;=LEEME!$B$20,EXP(-LEEME!$B$19*SQRT((Coordenadas!$C$130-Coordenadas!$C$194)^2+(Coordenadas!$D$130-Coordenadas!$D$194)^2)),0)</f>
        <v>0.41435328583954695</v>
      </c>
    </row>
    <row r="839" spans="1:3">
      <c r="A839" t="s">
        <v>177</v>
      </c>
      <c r="B839" t="s">
        <v>302</v>
      </c>
      <c r="C839" s="20">
        <f>IF(SQRT((Coordenadas!$C$130-Coordenadas!$C$197)^2+(Coordenadas!$D$130-Coordenadas!$D$197)^2)&lt;=LEEME!$B$20,EXP(-LEEME!$B$19*SQRT((Coordenadas!$C$130-Coordenadas!$C$197)^2+(Coordenadas!$D$130-Coordenadas!$D$197)^2)),0)</f>
        <v>0.59779085075705063</v>
      </c>
    </row>
    <row r="840" spans="1:3">
      <c r="A840" t="s">
        <v>177</v>
      </c>
      <c r="B840" t="s">
        <v>304</v>
      </c>
      <c r="C840" s="20">
        <f>IF(SQRT((Coordenadas!$C$130-Coordenadas!$C$199)^2+(Coordenadas!$D$130-Coordenadas!$D$199)^2)&lt;=LEEME!$B$20,EXP(-LEEME!$B$19*SQRT((Coordenadas!$C$130-Coordenadas!$C$199)^2+(Coordenadas!$D$130-Coordenadas!$D$199)^2)),0)</f>
        <v>0.79128743279394542</v>
      </c>
    </row>
    <row r="841" spans="1:3">
      <c r="A841" t="s">
        <v>177</v>
      </c>
      <c r="B841" t="s">
        <v>306</v>
      </c>
      <c r="C841" s="20">
        <f>IF(SQRT((Coordenadas!$C$130-Coordenadas!$C$201)^2+(Coordenadas!$D$130-Coordenadas!$D$201)^2)&lt;=LEEME!$B$20,EXP(-LEEME!$B$19*SQRT((Coordenadas!$C$130-Coordenadas!$C$201)^2+(Coordenadas!$D$130-Coordenadas!$D$201)^2)),0)</f>
        <v>0.55959691835399328</v>
      </c>
    </row>
    <row r="842" spans="1:3">
      <c r="A842" t="s">
        <v>177</v>
      </c>
      <c r="B842" t="s">
        <v>307</v>
      </c>
      <c r="C842" s="20">
        <f>IF(SQRT((Coordenadas!$C$130-Coordenadas!$C$202)^2+(Coordenadas!$D$130-Coordenadas!$D$202)^2)&lt;=LEEME!$B$20,EXP(-LEEME!$B$19*SQRT((Coordenadas!$C$130-Coordenadas!$C$202)^2+(Coordenadas!$D$130-Coordenadas!$D$202)^2)),0)</f>
        <v>0.54606314441943005</v>
      </c>
    </row>
    <row r="843" spans="1:3">
      <c r="A843" t="s">
        <v>177</v>
      </c>
      <c r="B843" t="s">
        <v>308</v>
      </c>
      <c r="C843" s="20">
        <f>IF(SQRT((Coordenadas!$C$130-Coordenadas!$C$203)^2+(Coordenadas!$D$130-Coordenadas!$D$203)^2)&lt;=LEEME!$B$20,EXP(-LEEME!$B$19*SQRT((Coordenadas!$C$130-Coordenadas!$C$203)^2+(Coordenadas!$D$130-Coordenadas!$D$203)^2)),0)</f>
        <v>0.71848855321267635</v>
      </c>
    </row>
    <row r="844" spans="1:3">
      <c r="A844" t="s">
        <v>178</v>
      </c>
      <c r="B844" t="s">
        <v>297</v>
      </c>
      <c r="C844" s="20">
        <f>IF(SQRT((Coordenadas!$C$131-Coordenadas!$C$192)^2+(Coordenadas!$D$131-Coordenadas!$D$192)^2)&lt;=LEEME!$B$20,EXP(-LEEME!$B$19*SQRT((Coordenadas!$C$131-Coordenadas!$C$192)^2+(Coordenadas!$D$131-Coordenadas!$D$192)^2)),0)</f>
        <v>0.63910372886793798</v>
      </c>
    </row>
    <row r="845" spans="1:3">
      <c r="A845" t="s">
        <v>178</v>
      </c>
      <c r="B845" t="s">
        <v>299</v>
      </c>
      <c r="C845" s="20">
        <f>IF(SQRT((Coordenadas!$C$131-Coordenadas!$C$194)^2+(Coordenadas!$D$131-Coordenadas!$D$194)^2)&lt;=LEEME!$B$20,EXP(-LEEME!$B$19*SQRT((Coordenadas!$C$131-Coordenadas!$C$194)^2+(Coordenadas!$D$131-Coordenadas!$D$194)^2)),0)</f>
        <v>0.45821509955432999</v>
      </c>
    </row>
    <row r="846" spans="1:3">
      <c r="A846" t="s">
        <v>178</v>
      </c>
      <c r="B846" t="s">
        <v>302</v>
      </c>
      <c r="C846" s="20">
        <f>IF(SQRT((Coordenadas!$C$131-Coordenadas!$C$197)^2+(Coordenadas!$D$131-Coordenadas!$D$197)^2)&lt;=LEEME!$B$20,EXP(-LEEME!$B$19*SQRT((Coordenadas!$C$131-Coordenadas!$C$197)^2+(Coordenadas!$D$131-Coordenadas!$D$197)^2)),0)</f>
        <v>0.64780479718604056</v>
      </c>
    </row>
    <row r="847" spans="1:3">
      <c r="A847" t="s">
        <v>178</v>
      </c>
      <c r="B847" t="s">
        <v>304</v>
      </c>
      <c r="C847" s="20">
        <f>IF(SQRT((Coordenadas!$C$131-Coordenadas!$C$199)^2+(Coordenadas!$D$131-Coordenadas!$D$199)^2)&lt;=LEEME!$B$20,EXP(-LEEME!$B$19*SQRT((Coordenadas!$C$131-Coordenadas!$C$199)^2+(Coordenadas!$D$131-Coordenadas!$D$199)^2)),0)</f>
        <v>0.91851228440145738</v>
      </c>
    </row>
    <row r="848" spans="1:3">
      <c r="A848" t="s">
        <v>178</v>
      </c>
      <c r="B848" t="s">
        <v>306</v>
      </c>
      <c r="C848" s="20">
        <f>IF(SQRT((Coordenadas!$C$131-Coordenadas!$C$201)^2+(Coordenadas!$D$131-Coordenadas!$D$201)^2)&lt;=LEEME!$B$20,EXP(-LEEME!$B$19*SQRT((Coordenadas!$C$131-Coordenadas!$C$201)^2+(Coordenadas!$D$131-Coordenadas!$D$201)^2)),0)</f>
        <v>0.5606236513171966</v>
      </c>
    </row>
    <row r="849" spans="1:3">
      <c r="A849" t="s">
        <v>178</v>
      </c>
      <c r="B849" t="s">
        <v>307</v>
      </c>
      <c r="C849" s="20">
        <f>IF(SQRT((Coordenadas!$C$131-Coordenadas!$C$202)^2+(Coordenadas!$D$131-Coordenadas!$D$202)^2)&lt;=LEEME!$B$20,EXP(-LEEME!$B$19*SQRT((Coordenadas!$C$131-Coordenadas!$C$202)^2+(Coordenadas!$D$131-Coordenadas!$D$202)^2)),0)</f>
        <v>0.53526142851899028</v>
      </c>
    </row>
    <row r="850" spans="1:3">
      <c r="A850" t="s">
        <v>178</v>
      </c>
      <c r="B850" t="s">
        <v>308</v>
      </c>
      <c r="C850" s="20">
        <f>IF(SQRT((Coordenadas!$C$131-Coordenadas!$C$203)^2+(Coordenadas!$D$131-Coordenadas!$D$203)^2)&lt;=LEEME!$B$20,EXP(-LEEME!$B$19*SQRT((Coordenadas!$C$131-Coordenadas!$C$203)^2+(Coordenadas!$D$131-Coordenadas!$D$203)^2)),0)</f>
        <v>0.68276234461836194</v>
      </c>
    </row>
    <row r="851" spans="1:3">
      <c r="A851" t="s">
        <v>179</v>
      </c>
      <c r="B851" t="s">
        <v>273</v>
      </c>
      <c r="C851" s="20">
        <f>IF(SQRT((Coordenadas!$C$132-Coordenadas!$C$168)^2+(Coordenadas!$D$132-Coordenadas!$D$168)^2)&lt;=LEEME!$B$20,EXP(-LEEME!$B$19*SQRT((Coordenadas!$C$132-Coordenadas!$C$168)^2+(Coordenadas!$D$132-Coordenadas!$D$168)^2)),0)</f>
        <v>0.39264885767846375</v>
      </c>
    </row>
    <row r="852" spans="1:3">
      <c r="A852" t="s">
        <v>179</v>
      </c>
      <c r="B852" t="s">
        <v>274</v>
      </c>
      <c r="C852" s="20">
        <f>IF(SQRT((Coordenadas!$C$132-Coordenadas!$C$169)^2+(Coordenadas!$D$132-Coordenadas!$D$169)^2)&lt;=LEEME!$B$20,EXP(-LEEME!$B$19*SQRT((Coordenadas!$C$132-Coordenadas!$C$169)^2+(Coordenadas!$D$132-Coordenadas!$D$169)^2)),0)</f>
        <v>0.47181620724082546</v>
      </c>
    </row>
    <row r="853" spans="1:3">
      <c r="A853" t="s">
        <v>179</v>
      </c>
      <c r="B853" t="s">
        <v>275</v>
      </c>
      <c r="C853" s="20">
        <f>IF(SQRT((Coordenadas!$C$132-Coordenadas!$C$170)^2+(Coordenadas!$D$132-Coordenadas!$D$170)^2)&lt;=LEEME!$B$20,EXP(-LEEME!$B$19*SQRT((Coordenadas!$C$132-Coordenadas!$C$170)^2+(Coordenadas!$D$132-Coordenadas!$D$170)^2)),0)</f>
        <v>0.41316354969666136</v>
      </c>
    </row>
    <row r="854" spans="1:3">
      <c r="A854" t="s">
        <v>179</v>
      </c>
      <c r="B854" t="s">
        <v>276</v>
      </c>
      <c r="C854" s="20">
        <f>IF(SQRT((Coordenadas!$C$132-Coordenadas!$C$171)^2+(Coordenadas!$D$132-Coordenadas!$D$171)^2)&lt;=LEEME!$B$20,EXP(-LEEME!$B$19*SQRT((Coordenadas!$C$132-Coordenadas!$C$171)^2+(Coordenadas!$D$132-Coordenadas!$D$171)^2)),0)</f>
        <v>0.52479476701420125</v>
      </c>
    </row>
    <row r="855" spans="1:3">
      <c r="A855" t="s">
        <v>179</v>
      </c>
      <c r="B855" t="s">
        <v>280</v>
      </c>
      <c r="C855" s="20">
        <f>IF(SQRT((Coordenadas!$C$132-Coordenadas!$C$175)^2+(Coordenadas!$D$132-Coordenadas!$D$175)^2)&lt;=LEEME!$B$20,EXP(-LEEME!$B$19*SQRT((Coordenadas!$C$132-Coordenadas!$C$175)^2+(Coordenadas!$D$132-Coordenadas!$D$175)^2)),0)</f>
        <v>0.40293382030145752</v>
      </c>
    </row>
    <row r="856" spans="1:3">
      <c r="A856" t="s">
        <v>179</v>
      </c>
      <c r="B856" t="s">
        <v>282</v>
      </c>
      <c r="C856" s="20">
        <f>IF(SQRT((Coordenadas!$C$132-Coordenadas!$C$177)^2+(Coordenadas!$D$132-Coordenadas!$D$177)^2)&lt;=LEEME!$B$20,EXP(-LEEME!$B$19*SQRT((Coordenadas!$C$132-Coordenadas!$C$177)^2+(Coordenadas!$D$132-Coordenadas!$D$177)^2)),0)</f>
        <v>0.42701307057325039</v>
      </c>
    </row>
    <row r="857" spans="1:3">
      <c r="A857" t="s">
        <v>179</v>
      </c>
      <c r="B857" t="s">
        <v>285</v>
      </c>
      <c r="C857" s="20">
        <f>IF(SQRT((Coordenadas!$C$132-Coordenadas!$C$180)^2+(Coordenadas!$D$132-Coordenadas!$D$180)^2)&lt;=LEEME!$B$20,EXP(-LEEME!$B$19*SQRT((Coordenadas!$C$132-Coordenadas!$C$180)^2+(Coordenadas!$D$132-Coordenadas!$D$180)^2)),0)</f>
        <v>0.6791955317666194</v>
      </c>
    </row>
    <row r="858" spans="1:3">
      <c r="A858" t="s">
        <v>179</v>
      </c>
      <c r="B858" t="s">
        <v>286</v>
      </c>
      <c r="C858" s="20">
        <f>IF(SQRT((Coordenadas!$C$132-Coordenadas!$C$181)^2+(Coordenadas!$D$132-Coordenadas!$D$181)^2)&lt;=LEEME!$B$20,EXP(-LEEME!$B$19*SQRT((Coordenadas!$C$132-Coordenadas!$C$181)^2+(Coordenadas!$D$132-Coordenadas!$D$181)^2)),0)</f>
        <v>0.42750923729368695</v>
      </c>
    </row>
    <row r="859" spans="1:3">
      <c r="A859" t="s">
        <v>179</v>
      </c>
      <c r="B859" t="s">
        <v>290</v>
      </c>
      <c r="C859" s="20">
        <f>IF(SQRT((Coordenadas!$C$132-Coordenadas!$C$185)^2+(Coordenadas!$D$132-Coordenadas!$D$185)^2)&lt;=LEEME!$B$20,EXP(-LEEME!$B$19*SQRT((Coordenadas!$C$132-Coordenadas!$C$185)^2+(Coordenadas!$D$132-Coordenadas!$D$185)^2)),0)</f>
        <v>0.45514157883100609</v>
      </c>
    </row>
    <row r="860" spans="1:3">
      <c r="A860" t="s">
        <v>179</v>
      </c>
      <c r="B860" t="s">
        <v>293</v>
      </c>
      <c r="C860" s="20">
        <f>IF(SQRT((Coordenadas!$C$132-Coordenadas!$C$188)^2+(Coordenadas!$D$132-Coordenadas!$D$188)^2)&lt;=LEEME!$B$20,EXP(-LEEME!$B$19*SQRT((Coordenadas!$C$132-Coordenadas!$C$188)^2+(Coordenadas!$D$132-Coordenadas!$D$188)^2)),0)</f>
        <v>0.38730671708360914</v>
      </c>
    </row>
    <row r="861" spans="1:3">
      <c r="A861" t="s">
        <v>180</v>
      </c>
      <c r="B861" t="s">
        <v>273</v>
      </c>
      <c r="C861" s="20">
        <f>IF(SQRT((Coordenadas!$C$133-Coordenadas!$C$168)^2+(Coordenadas!$D$133-Coordenadas!$D$168)^2)&lt;=LEEME!$B$20,EXP(-LEEME!$B$19*SQRT((Coordenadas!$C$133-Coordenadas!$C$168)^2+(Coordenadas!$D$133-Coordenadas!$D$168)^2)),0)</f>
        <v>0.4313703312528141</v>
      </c>
    </row>
    <row r="862" spans="1:3">
      <c r="A862" t="s">
        <v>180</v>
      </c>
      <c r="B862" t="s">
        <v>274</v>
      </c>
      <c r="C862" s="20">
        <f>IF(SQRT((Coordenadas!$C$133-Coordenadas!$C$169)^2+(Coordenadas!$D$133-Coordenadas!$D$169)^2)&lt;=LEEME!$B$20,EXP(-LEEME!$B$19*SQRT((Coordenadas!$C$133-Coordenadas!$C$169)^2+(Coordenadas!$D$133-Coordenadas!$D$169)^2)),0)</f>
        <v>0.46570684677736246</v>
      </c>
    </row>
    <row r="863" spans="1:3">
      <c r="A863" t="s">
        <v>180</v>
      </c>
      <c r="B863" t="s">
        <v>276</v>
      </c>
      <c r="C863" s="20">
        <f>IF(SQRT((Coordenadas!$C$133-Coordenadas!$C$171)^2+(Coordenadas!$D$133-Coordenadas!$D$171)^2)&lt;=LEEME!$B$20,EXP(-LEEME!$B$19*SQRT((Coordenadas!$C$133-Coordenadas!$C$171)^2+(Coordenadas!$D$133-Coordenadas!$D$171)^2)),0)</f>
        <v>0.50809372065187675</v>
      </c>
    </row>
    <row r="864" spans="1:3">
      <c r="A864" t="s">
        <v>180</v>
      </c>
      <c r="B864" t="s">
        <v>282</v>
      </c>
      <c r="C864" s="20">
        <f>IF(SQRT((Coordenadas!$C$133-Coordenadas!$C$177)^2+(Coordenadas!$D$133-Coordenadas!$D$177)^2)&lt;=LEEME!$B$20,EXP(-LEEME!$B$19*SQRT((Coordenadas!$C$133-Coordenadas!$C$177)^2+(Coordenadas!$D$133-Coordenadas!$D$177)^2)),0)</f>
        <v>0.49593015254583445</v>
      </c>
    </row>
    <row r="865" spans="1:3">
      <c r="A865" t="s">
        <v>180</v>
      </c>
      <c r="B865" t="s">
        <v>285</v>
      </c>
      <c r="C865" s="20">
        <f>IF(SQRT((Coordenadas!$C$133-Coordenadas!$C$180)^2+(Coordenadas!$D$133-Coordenadas!$D$180)^2)&lt;=LEEME!$B$20,EXP(-LEEME!$B$19*SQRT((Coordenadas!$C$133-Coordenadas!$C$180)^2+(Coordenadas!$D$133-Coordenadas!$D$180)^2)),0)</f>
        <v>0.51536879038093031</v>
      </c>
    </row>
    <row r="866" spans="1:3">
      <c r="A866" t="s">
        <v>180</v>
      </c>
      <c r="B866" t="s">
        <v>286</v>
      </c>
      <c r="C866" s="20">
        <f>IF(SQRT((Coordenadas!$C$133-Coordenadas!$C$181)^2+(Coordenadas!$D$133-Coordenadas!$D$181)^2)&lt;=LEEME!$B$20,EXP(-LEEME!$B$19*SQRT((Coordenadas!$C$133-Coordenadas!$C$181)^2+(Coordenadas!$D$133-Coordenadas!$D$181)^2)),0)</f>
        <v>0.46719776648648298</v>
      </c>
    </row>
    <row r="867" spans="1:3">
      <c r="A867" t="s">
        <v>181</v>
      </c>
      <c r="B867" t="s">
        <v>272</v>
      </c>
      <c r="C867" s="20">
        <f>IF(SQRT((Coordenadas!$C$134-Coordenadas!$C$167)^2+(Coordenadas!$D$134-Coordenadas!$D$167)^2)&lt;=LEEME!$B$20,EXP(-LEEME!$B$19*SQRT((Coordenadas!$C$134-Coordenadas!$C$167)^2+(Coordenadas!$D$134-Coordenadas!$D$167)^2)),0)</f>
        <v>0.37987610465948912</v>
      </c>
    </row>
    <row r="868" spans="1:3">
      <c r="A868" t="s">
        <v>181</v>
      </c>
      <c r="B868" t="s">
        <v>273</v>
      </c>
      <c r="C868" s="20">
        <f>IF(SQRT((Coordenadas!$C$134-Coordenadas!$C$168)^2+(Coordenadas!$D$134-Coordenadas!$D$168)^2)&lt;=LEEME!$B$20,EXP(-LEEME!$B$19*SQRT((Coordenadas!$C$134-Coordenadas!$C$168)^2+(Coordenadas!$D$134-Coordenadas!$D$168)^2)),0)</f>
        <v>0.3837523723066496</v>
      </c>
    </row>
    <row r="869" spans="1:3">
      <c r="A869" t="s">
        <v>181</v>
      </c>
      <c r="B869" t="s">
        <v>274</v>
      </c>
      <c r="C869" s="20">
        <f>IF(SQRT((Coordenadas!$C$134-Coordenadas!$C$169)^2+(Coordenadas!$D$134-Coordenadas!$D$169)^2)&lt;=LEEME!$B$20,EXP(-LEEME!$B$19*SQRT((Coordenadas!$C$134-Coordenadas!$C$169)^2+(Coordenadas!$D$134-Coordenadas!$D$169)^2)),0)</f>
        <v>0.38702110988335592</v>
      </c>
    </row>
    <row r="870" spans="1:3">
      <c r="A870" t="s">
        <v>181</v>
      </c>
      <c r="B870" t="s">
        <v>276</v>
      </c>
      <c r="C870" s="20">
        <f>IF(SQRT((Coordenadas!$C$134-Coordenadas!$C$171)^2+(Coordenadas!$D$134-Coordenadas!$D$171)^2)&lt;=LEEME!$B$20,EXP(-LEEME!$B$19*SQRT((Coordenadas!$C$134-Coordenadas!$C$171)^2+(Coordenadas!$D$134-Coordenadas!$D$171)^2)),0)</f>
        <v>0.41621992218937337</v>
      </c>
    </row>
    <row r="871" spans="1:3">
      <c r="A871" t="s">
        <v>181</v>
      </c>
      <c r="B871" t="s">
        <v>279</v>
      </c>
      <c r="C871" s="20">
        <f>IF(SQRT((Coordenadas!$C$134-Coordenadas!$C$174)^2+(Coordenadas!$D$134-Coordenadas!$D$174)^2)&lt;=LEEME!$B$20,EXP(-LEEME!$B$19*SQRT((Coordenadas!$C$134-Coordenadas!$C$174)^2+(Coordenadas!$D$134-Coordenadas!$D$174)^2)),0)</f>
        <v>0.39070057259992885</v>
      </c>
    </row>
    <row r="872" spans="1:3">
      <c r="A872" t="s">
        <v>181</v>
      </c>
      <c r="B872" t="s">
        <v>282</v>
      </c>
      <c r="C872" s="20">
        <f>IF(SQRT((Coordenadas!$C$134-Coordenadas!$C$177)^2+(Coordenadas!$D$134-Coordenadas!$D$177)^2)&lt;=LEEME!$B$20,EXP(-LEEME!$B$19*SQRT((Coordenadas!$C$134-Coordenadas!$C$177)^2+(Coordenadas!$D$134-Coordenadas!$D$177)^2)),0)</f>
        <v>0.57012815041145237</v>
      </c>
    </row>
    <row r="873" spans="1:3">
      <c r="A873" t="s">
        <v>181</v>
      </c>
      <c r="B873" t="s">
        <v>285</v>
      </c>
      <c r="C873" s="20">
        <f>IF(SQRT((Coordenadas!$C$134-Coordenadas!$C$180)^2+(Coordenadas!$D$134-Coordenadas!$D$180)^2)&lt;=LEEME!$B$20,EXP(-LEEME!$B$19*SQRT((Coordenadas!$C$134-Coordenadas!$C$180)^2+(Coordenadas!$D$134-Coordenadas!$D$180)^2)),0)</f>
        <v>0.42930334632349482</v>
      </c>
    </row>
    <row r="874" spans="1:3">
      <c r="A874" t="s">
        <v>181</v>
      </c>
      <c r="B874" t="s">
        <v>286</v>
      </c>
      <c r="C874" s="20">
        <f>IF(SQRT((Coordenadas!$C$134-Coordenadas!$C$181)^2+(Coordenadas!$D$134-Coordenadas!$D$181)^2)&lt;=LEEME!$B$20,EXP(-LEEME!$B$19*SQRT((Coordenadas!$C$134-Coordenadas!$C$181)^2+(Coordenadas!$D$134-Coordenadas!$D$181)^2)),0)</f>
        <v>0.51310716354998065</v>
      </c>
    </row>
    <row r="875" spans="1:3">
      <c r="A875" t="s">
        <v>182</v>
      </c>
      <c r="B875" t="s">
        <v>279</v>
      </c>
      <c r="C875" s="20">
        <f>IF(SQRT((Coordenadas!$C$135-Coordenadas!$C$174)^2+(Coordenadas!$D$135-Coordenadas!$D$174)^2)&lt;=LEEME!$B$20,EXP(-LEEME!$B$19*SQRT((Coordenadas!$C$135-Coordenadas!$C$174)^2+(Coordenadas!$D$135-Coordenadas!$D$174)^2)),0)</f>
        <v>0.57942992542768013</v>
      </c>
    </row>
    <row r="876" spans="1:3">
      <c r="A876" t="s">
        <v>182</v>
      </c>
      <c r="B876" t="s">
        <v>282</v>
      </c>
      <c r="C876" s="20">
        <f>IF(SQRT((Coordenadas!$C$135-Coordenadas!$C$177)^2+(Coordenadas!$D$135-Coordenadas!$D$177)^2)&lt;=LEEME!$B$20,EXP(-LEEME!$B$19*SQRT((Coordenadas!$C$135-Coordenadas!$C$177)^2+(Coordenadas!$D$135-Coordenadas!$D$177)^2)),0)</f>
        <v>0.74440544258967922</v>
      </c>
    </row>
    <row r="877" spans="1:3">
      <c r="A877" t="s">
        <v>182</v>
      </c>
      <c r="B877" t="s">
        <v>286</v>
      </c>
      <c r="C877" s="20">
        <f>IF(SQRT((Coordenadas!$C$135-Coordenadas!$C$181)^2+(Coordenadas!$D$135-Coordenadas!$D$181)^2)&lt;=LEEME!$B$20,EXP(-LEEME!$B$19*SQRT((Coordenadas!$C$135-Coordenadas!$C$181)^2+(Coordenadas!$D$135-Coordenadas!$D$181)^2)),0)</f>
        <v>0.63369989451074782</v>
      </c>
    </row>
    <row r="878" spans="1:3">
      <c r="A878" t="s">
        <v>182</v>
      </c>
      <c r="B878" t="s">
        <v>287</v>
      </c>
      <c r="C878" s="20">
        <f>IF(SQRT((Coordenadas!$C$135-Coordenadas!$C$182)^2+(Coordenadas!$D$135-Coordenadas!$D$182)^2)&lt;=LEEME!$B$20,EXP(-LEEME!$B$19*SQRT((Coordenadas!$C$135-Coordenadas!$C$182)^2+(Coordenadas!$D$135-Coordenadas!$D$182)^2)),0)</f>
        <v>0.48446657567800888</v>
      </c>
    </row>
    <row r="879" spans="1:3">
      <c r="A879" t="s">
        <v>182</v>
      </c>
      <c r="B879" t="s">
        <v>288</v>
      </c>
      <c r="C879" s="20">
        <f>IF(SQRT((Coordenadas!$C$135-Coordenadas!$C$183)^2+(Coordenadas!$D$135-Coordenadas!$D$183)^2)&lt;=LEEME!$B$20,EXP(-LEEME!$B$19*SQRT((Coordenadas!$C$135-Coordenadas!$C$183)^2+(Coordenadas!$D$135-Coordenadas!$D$183)^2)),0)</f>
        <v>0.45762881447878573</v>
      </c>
    </row>
    <row r="880" spans="1:3">
      <c r="A880" t="s">
        <v>182</v>
      </c>
      <c r="B880" t="s">
        <v>294</v>
      </c>
      <c r="C880" s="20">
        <f>IF(SQRT((Coordenadas!$C$135-Coordenadas!$C$189)^2+(Coordenadas!$D$135-Coordenadas!$D$189)^2)&lt;=LEEME!$B$20,EXP(-LEEME!$B$19*SQRT((Coordenadas!$C$135-Coordenadas!$C$189)^2+(Coordenadas!$D$135-Coordenadas!$D$189)^2)),0)</f>
        <v>0.37222997957272264</v>
      </c>
    </row>
    <row r="881" spans="1:3">
      <c r="A881" t="s">
        <v>183</v>
      </c>
      <c r="B881" t="s">
        <v>276</v>
      </c>
      <c r="C881" s="20">
        <f>IF(SQRT((Coordenadas!$C$136-Coordenadas!$C$171)^2+(Coordenadas!$D$136-Coordenadas!$D$171)^2)&lt;=LEEME!$B$20,EXP(-LEEME!$B$19*SQRT((Coordenadas!$C$136-Coordenadas!$C$171)^2+(Coordenadas!$D$136-Coordenadas!$D$171)^2)),0)</f>
        <v>0.39414580645048969</v>
      </c>
    </row>
    <row r="882" spans="1:3">
      <c r="A882" t="s">
        <v>183</v>
      </c>
      <c r="B882" t="s">
        <v>282</v>
      </c>
      <c r="C882" s="20">
        <f>IF(SQRT((Coordenadas!$C$136-Coordenadas!$C$177)^2+(Coordenadas!$D$136-Coordenadas!$D$177)^2)&lt;=LEEME!$B$20,EXP(-LEEME!$B$19*SQRT((Coordenadas!$C$136-Coordenadas!$C$177)^2+(Coordenadas!$D$136-Coordenadas!$D$177)^2)),0)</f>
        <v>0.597848951798026</v>
      </c>
    </row>
    <row r="883" spans="1:3">
      <c r="A883" t="s">
        <v>183</v>
      </c>
      <c r="B883" t="s">
        <v>285</v>
      </c>
      <c r="C883" s="20">
        <f>IF(SQRT((Coordenadas!$C$136-Coordenadas!$C$180)^2+(Coordenadas!$D$136-Coordenadas!$D$180)^2)&lt;=LEEME!$B$20,EXP(-LEEME!$B$19*SQRT((Coordenadas!$C$136-Coordenadas!$C$180)^2+(Coordenadas!$D$136-Coordenadas!$D$180)^2)),0)</f>
        <v>0.63195379684401287</v>
      </c>
    </row>
    <row r="884" spans="1:3">
      <c r="A884" t="s">
        <v>183</v>
      </c>
      <c r="B884" t="s">
        <v>286</v>
      </c>
      <c r="C884" s="20">
        <f>IF(SQRT((Coordenadas!$C$136-Coordenadas!$C$181)^2+(Coordenadas!$D$136-Coordenadas!$D$181)^2)&lt;=LEEME!$B$20,EXP(-LEEME!$B$19*SQRT((Coordenadas!$C$136-Coordenadas!$C$181)^2+(Coordenadas!$D$136-Coordenadas!$D$181)^2)),0)</f>
        <v>0.59946792427162876</v>
      </c>
    </row>
    <row r="885" spans="1:3">
      <c r="A885" t="s">
        <v>183</v>
      </c>
      <c r="B885" t="s">
        <v>290</v>
      </c>
      <c r="C885" s="20">
        <f>IF(SQRT((Coordenadas!$C$136-Coordenadas!$C$185)^2+(Coordenadas!$D$136-Coordenadas!$D$185)^2)&lt;=LEEME!$B$20,EXP(-LEEME!$B$19*SQRT((Coordenadas!$C$136-Coordenadas!$C$185)^2+(Coordenadas!$D$136-Coordenadas!$D$185)^2)),0)</f>
        <v>0.42190525382536764</v>
      </c>
    </row>
    <row r="886" spans="1:3">
      <c r="A886" t="s">
        <v>183</v>
      </c>
      <c r="B886" t="s">
        <v>293</v>
      </c>
      <c r="C886" s="20">
        <f>IF(SQRT((Coordenadas!$C$136-Coordenadas!$C$188)^2+(Coordenadas!$D$136-Coordenadas!$D$188)^2)&lt;=LEEME!$B$20,EXP(-LEEME!$B$19*SQRT((Coordenadas!$C$136-Coordenadas!$C$188)^2+(Coordenadas!$D$136-Coordenadas!$D$188)^2)),0)</f>
        <v>0.45803903424009651</v>
      </c>
    </row>
    <row r="887" spans="1:3">
      <c r="A887" t="s">
        <v>184</v>
      </c>
      <c r="B887" t="s">
        <v>282</v>
      </c>
      <c r="C887" s="20">
        <f>IF(SQRT((Coordenadas!$C$137-Coordenadas!$C$177)^2+(Coordenadas!$D$137-Coordenadas!$D$177)^2)&lt;=LEEME!$B$20,EXP(-LEEME!$B$19*SQRT((Coordenadas!$C$137-Coordenadas!$C$177)^2+(Coordenadas!$D$137-Coordenadas!$D$177)^2)),0)</f>
        <v>0.59086638311153339</v>
      </c>
    </row>
    <row r="888" spans="1:3">
      <c r="A888" t="s">
        <v>184</v>
      </c>
      <c r="B888" t="s">
        <v>285</v>
      </c>
      <c r="C888" s="20">
        <f>IF(SQRT((Coordenadas!$C$137-Coordenadas!$C$180)^2+(Coordenadas!$D$137-Coordenadas!$D$180)^2)&lt;=LEEME!$B$20,EXP(-LEEME!$B$19*SQRT((Coordenadas!$C$137-Coordenadas!$C$180)^2+(Coordenadas!$D$137-Coordenadas!$D$180)^2)),0)</f>
        <v>0.68841522798455235</v>
      </c>
    </row>
    <row r="889" spans="1:3">
      <c r="A889" t="s">
        <v>184</v>
      </c>
      <c r="B889" t="s">
        <v>286</v>
      </c>
      <c r="C889" s="20">
        <f>IF(SQRT((Coordenadas!$C$137-Coordenadas!$C$181)^2+(Coordenadas!$D$137-Coordenadas!$D$181)^2)&lt;=LEEME!$B$20,EXP(-LEEME!$B$19*SQRT((Coordenadas!$C$137-Coordenadas!$C$181)^2+(Coordenadas!$D$137-Coordenadas!$D$181)^2)),0)</f>
        <v>0.62618595858922543</v>
      </c>
    </row>
    <row r="890" spans="1:3">
      <c r="A890" t="s">
        <v>184</v>
      </c>
      <c r="B890" t="s">
        <v>290</v>
      </c>
      <c r="C890" s="20">
        <f>IF(SQRT((Coordenadas!$C$137-Coordenadas!$C$185)^2+(Coordenadas!$D$137-Coordenadas!$D$185)^2)&lt;=LEEME!$B$20,EXP(-LEEME!$B$19*SQRT((Coordenadas!$C$137-Coordenadas!$C$185)^2+(Coordenadas!$D$137-Coordenadas!$D$185)^2)),0)</f>
        <v>0.47832643392020602</v>
      </c>
    </row>
    <row r="891" spans="1:3">
      <c r="A891" t="s">
        <v>184</v>
      </c>
      <c r="B891" t="s">
        <v>293</v>
      </c>
      <c r="C891" s="20">
        <f>IF(SQRT((Coordenadas!$C$137-Coordenadas!$C$188)^2+(Coordenadas!$D$137-Coordenadas!$D$188)^2)&lt;=LEEME!$B$20,EXP(-LEEME!$B$19*SQRT((Coordenadas!$C$137-Coordenadas!$C$188)^2+(Coordenadas!$D$137-Coordenadas!$D$188)^2)),0)</f>
        <v>0.54688837595084028</v>
      </c>
    </row>
    <row r="892" spans="1:3">
      <c r="A892" t="s">
        <v>184</v>
      </c>
      <c r="B892" t="s">
        <v>295</v>
      </c>
      <c r="C892" s="20">
        <f>IF(SQRT((Coordenadas!$C$137-Coordenadas!$C$190)^2+(Coordenadas!$D$137-Coordenadas!$D$190)^2)&lt;=LEEME!$B$20,EXP(-LEEME!$B$19*SQRT((Coordenadas!$C$137-Coordenadas!$C$190)^2+(Coordenadas!$D$137-Coordenadas!$D$190)^2)),0)</f>
        <v>0.4097064274059477</v>
      </c>
    </row>
    <row r="893" spans="1:3">
      <c r="A893" t="s">
        <v>185</v>
      </c>
      <c r="B893" t="s">
        <v>282</v>
      </c>
      <c r="C893" s="20">
        <f>IF(SQRT((Coordenadas!$C$138-Coordenadas!$C$177)^2+(Coordenadas!$D$138-Coordenadas!$D$177)^2)&lt;=LEEME!$B$20,EXP(-LEEME!$B$19*SQRT((Coordenadas!$C$138-Coordenadas!$C$177)^2+(Coordenadas!$D$138-Coordenadas!$D$177)^2)),0)</f>
        <v>0.77250392448565863</v>
      </c>
    </row>
    <row r="894" spans="1:3">
      <c r="A894" t="s">
        <v>185</v>
      </c>
      <c r="B894" t="s">
        <v>285</v>
      </c>
      <c r="C894" s="20">
        <f>IF(SQRT((Coordenadas!$C$138-Coordenadas!$C$180)^2+(Coordenadas!$D$138-Coordenadas!$D$180)^2)&lt;=LEEME!$B$20,EXP(-LEEME!$B$19*SQRT((Coordenadas!$C$138-Coordenadas!$C$180)^2+(Coordenadas!$D$138-Coordenadas!$D$180)^2)),0)</f>
        <v>0.52645991732755337</v>
      </c>
    </row>
    <row r="895" spans="1:3">
      <c r="A895" t="s">
        <v>185</v>
      </c>
      <c r="B895" t="s">
        <v>286</v>
      </c>
      <c r="C895" s="20">
        <f>IF(SQRT((Coordenadas!$C$138-Coordenadas!$C$181)^2+(Coordenadas!$D$138-Coordenadas!$D$181)^2)&lt;=LEEME!$B$20,EXP(-LEEME!$B$19*SQRT((Coordenadas!$C$138-Coordenadas!$C$181)^2+(Coordenadas!$D$138-Coordenadas!$D$181)^2)),0)</f>
        <v>0.80838206955609182</v>
      </c>
    </row>
    <row r="896" spans="1:3">
      <c r="A896" t="s">
        <v>185</v>
      </c>
      <c r="B896" t="s">
        <v>287</v>
      </c>
      <c r="C896" s="20">
        <f>IF(SQRT((Coordenadas!$C$138-Coordenadas!$C$182)^2+(Coordenadas!$D$138-Coordenadas!$D$182)^2)&lt;=LEEME!$B$20,EXP(-LEEME!$B$19*SQRT((Coordenadas!$C$138-Coordenadas!$C$182)^2+(Coordenadas!$D$138-Coordenadas!$D$182)^2)),0)</f>
        <v>0.38380246372463828</v>
      </c>
    </row>
    <row r="897" spans="1:3">
      <c r="A897" t="s">
        <v>185</v>
      </c>
      <c r="B897" t="s">
        <v>290</v>
      </c>
      <c r="C897" s="20">
        <f>IF(SQRT((Coordenadas!$C$138-Coordenadas!$C$185)^2+(Coordenadas!$D$138-Coordenadas!$D$185)^2)&lt;=LEEME!$B$20,EXP(-LEEME!$B$19*SQRT((Coordenadas!$C$138-Coordenadas!$C$185)^2+(Coordenadas!$D$138-Coordenadas!$D$185)^2)),0)</f>
        <v>0.3761699771291187</v>
      </c>
    </row>
    <row r="898" spans="1:3">
      <c r="A898" t="s">
        <v>185</v>
      </c>
      <c r="B898" t="s">
        <v>293</v>
      </c>
      <c r="C898" s="20">
        <f>IF(SQRT((Coordenadas!$C$138-Coordenadas!$C$188)^2+(Coordenadas!$D$138-Coordenadas!$D$188)^2)&lt;=LEEME!$B$20,EXP(-LEEME!$B$19*SQRT((Coordenadas!$C$138-Coordenadas!$C$188)^2+(Coordenadas!$D$138-Coordenadas!$D$188)^2)),0)</f>
        <v>0.50518781185268913</v>
      </c>
    </row>
    <row r="899" spans="1:3">
      <c r="A899" t="s">
        <v>185</v>
      </c>
      <c r="B899" t="s">
        <v>294</v>
      </c>
      <c r="C899" s="20">
        <f>IF(SQRT((Coordenadas!$C$138-Coordenadas!$C$189)^2+(Coordenadas!$D$138-Coordenadas!$D$189)^2)&lt;=LEEME!$B$20,EXP(-LEEME!$B$19*SQRT((Coordenadas!$C$138-Coordenadas!$C$189)^2+(Coordenadas!$D$138-Coordenadas!$D$189)^2)),0)</f>
        <v>0.38849457603989529</v>
      </c>
    </row>
    <row r="900" spans="1:3">
      <c r="A900" t="s">
        <v>185</v>
      </c>
      <c r="B900" t="s">
        <v>295</v>
      </c>
      <c r="C900" s="20">
        <f>IF(SQRT((Coordenadas!$C$138-Coordenadas!$C$190)^2+(Coordenadas!$D$138-Coordenadas!$D$190)^2)&lt;=LEEME!$B$20,EXP(-LEEME!$B$19*SQRT((Coordenadas!$C$138-Coordenadas!$C$190)^2+(Coordenadas!$D$138-Coordenadas!$D$190)^2)),0)</f>
        <v>0.43912007614258375</v>
      </c>
    </row>
    <row r="901" spans="1:3">
      <c r="A901" t="s">
        <v>186</v>
      </c>
      <c r="B901" t="s">
        <v>279</v>
      </c>
      <c r="C901" s="20">
        <f>IF(SQRT((Coordenadas!$C$139-Coordenadas!$C$174)^2+(Coordenadas!$D$139-Coordenadas!$D$174)^2)&lt;=LEEME!$B$20,EXP(-LEEME!$B$19*SQRT((Coordenadas!$C$139-Coordenadas!$C$174)^2+(Coordenadas!$D$139-Coordenadas!$D$174)^2)),0)</f>
        <v>0.44204956495758263</v>
      </c>
    </row>
    <row r="902" spans="1:3">
      <c r="A902" t="s">
        <v>186</v>
      </c>
      <c r="B902" t="s">
        <v>282</v>
      </c>
      <c r="C902" s="20">
        <f>IF(SQRT((Coordenadas!$C$139-Coordenadas!$C$177)^2+(Coordenadas!$D$139-Coordenadas!$D$177)^2)&lt;=LEEME!$B$20,EXP(-LEEME!$B$19*SQRT((Coordenadas!$C$139-Coordenadas!$C$177)^2+(Coordenadas!$D$139-Coordenadas!$D$177)^2)),0)</f>
        <v>0.95392530651160201</v>
      </c>
    </row>
    <row r="903" spans="1:3">
      <c r="A903" t="s">
        <v>186</v>
      </c>
      <c r="B903" t="s">
        <v>285</v>
      </c>
      <c r="C903" s="20">
        <f>IF(SQRT((Coordenadas!$C$139-Coordenadas!$C$180)^2+(Coordenadas!$D$139-Coordenadas!$D$180)^2)&lt;=LEEME!$B$20,EXP(-LEEME!$B$19*SQRT((Coordenadas!$C$139-Coordenadas!$C$180)^2+(Coordenadas!$D$139-Coordenadas!$D$180)^2)),0)</f>
        <v>0.42438989711384345</v>
      </c>
    </row>
    <row r="904" spans="1:3">
      <c r="A904" t="s">
        <v>186</v>
      </c>
      <c r="B904" t="s">
        <v>286</v>
      </c>
      <c r="C904" s="20">
        <f>IF(SQRT((Coordenadas!$C$139-Coordenadas!$C$181)^2+(Coordenadas!$D$139-Coordenadas!$D$181)^2)&lt;=LEEME!$B$20,EXP(-LEEME!$B$19*SQRT((Coordenadas!$C$139-Coordenadas!$C$181)^2+(Coordenadas!$D$139-Coordenadas!$D$181)^2)),0)</f>
        <v>0.88365093099451431</v>
      </c>
    </row>
    <row r="905" spans="1:3">
      <c r="A905" t="s">
        <v>186</v>
      </c>
      <c r="B905" t="s">
        <v>287</v>
      </c>
      <c r="C905" s="20">
        <f>IF(SQRT((Coordenadas!$C$139-Coordenadas!$C$182)^2+(Coordenadas!$D$139-Coordenadas!$D$182)^2)&lt;=LEEME!$B$20,EXP(-LEEME!$B$19*SQRT((Coordenadas!$C$139-Coordenadas!$C$182)^2+(Coordenadas!$D$139-Coordenadas!$D$182)^2)),0)</f>
        <v>0.47258711056446606</v>
      </c>
    </row>
    <row r="906" spans="1:3">
      <c r="A906" t="s">
        <v>186</v>
      </c>
      <c r="B906" t="s">
        <v>288</v>
      </c>
      <c r="C906" s="20">
        <f>IF(SQRT((Coordenadas!$C$139-Coordenadas!$C$183)^2+(Coordenadas!$D$139-Coordenadas!$D$183)^2)&lt;=LEEME!$B$20,EXP(-LEEME!$B$19*SQRT((Coordenadas!$C$139-Coordenadas!$C$183)^2+(Coordenadas!$D$139-Coordenadas!$D$183)^2)),0)</f>
        <v>0.44858614647389849</v>
      </c>
    </row>
    <row r="907" spans="1:3">
      <c r="A907" t="s">
        <v>186</v>
      </c>
      <c r="B907" t="s">
        <v>293</v>
      </c>
      <c r="C907" s="20">
        <f>IF(SQRT((Coordenadas!$C$139-Coordenadas!$C$188)^2+(Coordenadas!$D$139-Coordenadas!$D$188)^2)&lt;=LEEME!$B$20,EXP(-LEEME!$B$19*SQRT((Coordenadas!$C$139-Coordenadas!$C$188)^2+(Coordenadas!$D$139-Coordenadas!$D$188)^2)),0)</f>
        <v>0.4398417094986431</v>
      </c>
    </row>
    <row r="908" spans="1:3">
      <c r="A908" t="s">
        <v>186</v>
      </c>
      <c r="B908" t="s">
        <v>294</v>
      </c>
      <c r="C908" s="20">
        <f>IF(SQRT((Coordenadas!$C$139-Coordenadas!$C$189)^2+(Coordenadas!$D$139-Coordenadas!$D$189)^2)&lt;=LEEME!$B$20,EXP(-LEEME!$B$19*SQRT((Coordenadas!$C$139-Coordenadas!$C$189)^2+(Coordenadas!$D$139-Coordenadas!$D$189)^2)),0)</f>
        <v>0.44485120124769229</v>
      </c>
    </row>
    <row r="909" spans="1:3">
      <c r="A909" t="s">
        <v>186</v>
      </c>
      <c r="B909" t="s">
        <v>295</v>
      </c>
      <c r="C909" s="20">
        <f>IF(SQRT((Coordenadas!$C$139-Coordenadas!$C$190)^2+(Coordenadas!$D$139-Coordenadas!$D$190)^2)&lt;=LEEME!$B$20,EXP(-LEEME!$B$19*SQRT((Coordenadas!$C$139-Coordenadas!$C$190)^2+(Coordenadas!$D$139-Coordenadas!$D$190)^2)),0)</f>
        <v>0.428486386029091</v>
      </c>
    </row>
    <row r="910" spans="1:3">
      <c r="A910" t="s">
        <v>187</v>
      </c>
      <c r="B910" t="s">
        <v>273</v>
      </c>
      <c r="C910" s="20">
        <f>IF(SQRT((Coordenadas!$C$140-Coordenadas!$C$168)^2+(Coordenadas!$D$140-Coordenadas!$D$168)^2)&lt;=LEEME!$B$20,EXP(-LEEME!$B$19*SQRT((Coordenadas!$C$140-Coordenadas!$C$168)^2+(Coordenadas!$D$140-Coordenadas!$D$168)^2)),0)</f>
        <v>0.37097713663875015</v>
      </c>
    </row>
    <row r="911" spans="1:3">
      <c r="A911" t="s">
        <v>187</v>
      </c>
      <c r="B911" t="s">
        <v>274</v>
      </c>
      <c r="C911" s="20">
        <f>IF(SQRT((Coordenadas!$C$140-Coordenadas!$C$169)^2+(Coordenadas!$D$140-Coordenadas!$D$169)^2)&lt;=LEEME!$B$20,EXP(-LEEME!$B$19*SQRT((Coordenadas!$C$140-Coordenadas!$C$169)^2+(Coordenadas!$D$140-Coordenadas!$D$169)^2)),0)</f>
        <v>0.41280746447243694</v>
      </c>
    </row>
    <row r="912" spans="1:3">
      <c r="A912" t="s">
        <v>187</v>
      </c>
      <c r="B912" t="s">
        <v>276</v>
      </c>
      <c r="C912" s="20">
        <f>IF(SQRT((Coordenadas!$C$140-Coordenadas!$C$171)^2+(Coordenadas!$D$140-Coordenadas!$D$171)^2)&lt;=LEEME!$B$20,EXP(-LEEME!$B$19*SQRT((Coordenadas!$C$140-Coordenadas!$C$171)^2+(Coordenadas!$D$140-Coordenadas!$D$171)^2)),0)</f>
        <v>0.45426892819593556</v>
      </c>
    </row>
    <row r="913" spans="1:3">
      <c r="A913" t="s">
        <v>187</v>
      </c>
      <c r="B913" t="s">
        <v>282</v>
      </c>
      <c r="C913" s="20">
        <f>IF(SQRT((Coordenadas!$C$140-Coordenadas!$C$177)^2+(Coordenadas!$D$140-Coordenadas!$D$177)^2)&lt;=LEEME!$B$20,EXP(-LEEME!$B$19*SQRT((Coordenadas!$C$140-Coordenadas!$C$177)^2+(Coordenadas!$D$140-Coordenadas!$D$177)^2)),0)</f>
        <v>0.54625502631515754</v>
      </c>
    </row>
    <row r="914" spans="1:3">
      <c r="A914" t="s">
        <v>187</v>
      </c>
      <c r="B914" t="s">
        <v>285</v>
      </c>
      <c r="C914" s="20">
        <f>IF(SQRT((Coordenadas!$C$140-Coordenadas!$C$180)^2+(Coordenadas!$D$140-Coordenadas!$D$180)^2)&lt;=LEEME!$B$20,EXP(-LEEME!$B$19*SQRT((Coordenadas!$C$140-Coordenadas!$C$180)^2+(Coordenadas!$D$140-Coordenadas!$D$180)^2)),0)</f>
        <v>0.58627226984901681</v>
      </c>
    </row>
    <row r="915" spans="1:3">
      <c r="A915" t="s">
        <v>187</v>
      </c>
      <c r="B915" t="s">
        <v>286</v>
      </c>
      <c r="C915" s="20">
        <f>IF(SQRT((Coordenadas!$C$140-Coordenadas!$C$181)^2+(Coordenadas!$D$140-Coordenadas!$D$181)^2)&lt;=LEEME!$B$20,EXP(-LEEME!$B$19*SQRT((Coordenadas!$C$140-Coordenadas!$C$181)^2+(Coordenadas!$D$140-Coordenadas!$D$181)^2)),0)</f>
        <v>0.52917537222729194</v>
      </c>
    </row>
    <row r="916" spans="1:3">
      <c r="A916" t="s">
        <v>187</v>
      </c>
      <c r="B916" t="s">
        <v>290</v>
      </c>
      <c r="C916" s="20">
        <f>IF(SQRT((Coordenadas!$C$140-Coordenadas!$C$185)^2+(Coordenadas!$D$140-Coordenadas!$D$185)^2)&lt;=LEEME!$B$20,EXP(-LEEME!$B$19*SQRT((Coordenadas!$C$140-Coordenadas!$C$185)^2+(Coordenadas!$D$140-Coordenadas!$D$185)^2)),0)</f>
        <v>0.38576145663023304</v>
      </c>
    </row>
    <row r="917" spans="1:3">
      <c r="A917" t="s">
        <v>187</v>
      </c>
      <c r="B917" t="s">
        <v>293</v>
      </c>
      <c r="C917" s="20">
        <f>IF(SQRT((Coordenadas!$C$140-Coordenadas!$C$188)^2+(Coordenadas!$D$140-Coordenadas!$D$188)^2)&lt;=LEEME!$B$20,EXP(-LEEME!$B$19*SQRT((Coordenadas!$C$140-Coordenadas!$C$188)^2+(Coordenadas!$D$140-Coordenadas!$D$188)^2)),0)</f>
        <v>0.39170094134676992</v>
      </c>
    </row>
    <row r="918" spans="1:3">
      <c r="A918" t="s">
        <v>188</v>
      </c>
      <c r="B918" t="s">
        <v>279</v>
      </c>
      <c r="C918" s="20">
        <f>IF(SQRT((Coordenadas!$C$141-Coordenadas!$C$174)^2+(Coordenadas!$D$141-Coordenadas!$D$174)^2)&lt;=LEEME!$B$20,EXP(-LEEME!$B$19*SQRT((Coordenadas!$C$141-Coordenadas!$C$174)^2+(Coordenadas!$D$141-Coordenadas!$D$174)^2)),0)</f>
        <v>0.41950008737301248</v>
      </c>
    </row>
    <row r="919" spans="1:3">
      <c r="A919" t="s">
        <v>188</v>
      </c>
      <c r="B919" t="s">
        <v>282</v>
      </c>
      <c r="C919" s="20">
        <f>IF(SQRT((Coordenadas!$C$141-Coordenadas!$C$177)^2+(Coordenadas!$D$141-Coordenadas!$D$177)^2)&lt;=LEEME!$B$20,EXP(-LEEME!$B$19*SQRT((Coordenadas!$C$141-Coordenadas!$C$177)^2+(Coordenadas!$D$141-Coordenadas!$D$177)^2)),0)</f>
        <v>0.68671741074122361</v>
      </c>
    </row>
    <row r="920" spans="1:3">
      <c r="A920" t="s">
        <v>188</v>
      </c>
      <c r="B920" t="s">
        <v>285</v>
      </c>
      <c r="C920" s="20">
        <f>IF(SQRT((Coordenadas!$C$141-Coordenadas!$C$180)^2+(Coordenadas!$D$141-Coordenadas!$D$180)^2)&lt;=LEEME!$B$20,EXP(-LEEME!$B$19*SQRT((Coordenadas!$C$141-Coordenadas!$C$180)^2+(Coordenadas!$D$141-Coordenadas!$D$180)^2)),0)</f>
        <v>0.45042721709493899</v>
      </c>
    </row>
    <row r="921" spans="1:3">
      <c r="A921" t="s">
        <v>188</v>
      </c>
      <c r="B921" t="s">
        <v>286</v>
      </c>
      <c r="C921" s="20">
        <f>IF(SQRT((Coordenadas!$C$141-Coordenadas!$C$181)^2+(Coordenadas!$D$141-Coordenadas!$D$181)^2)&lt;=LEEME!$B$20,EXP(-LEEME!$B$19*SQRT((Coordenadas!$C$141-Coordenadas!$C$181)^2+(Coordenadas!$D$141-Coordenadas!$D$181)^2)),0)</f>
        <v>0.61915435995848345</v>
      </c>
    </row>
    <row r="922" spans="1:3">
      <c r="A922" t="s">
        <v>189</v>
      </c>
      <c r="B922" t="s">
        <v>279</v>
      </c>
      <c r="C922" s="20">
        <f>IF(SQRT((Coordenadas!$C$142-Coordenadas!$C$174)^2+(Coordenadas!$D$142-Coordenadas!$D$174)^2)&lt;=LEEME!$B$20,EXP(-LEEME!$B$19*SQRT((Coordenadas!$C$142-Coordenadas!$C$174)^2+(Coordenadas!$D$142-Coordenadas!$D$174)^2)),0)</f>
        <v>0.41255102169392988</v>
      </c>
    </row>
    <row r="923" spans="1:3">
      <c r="A923" t="s">
        <v>189</v>
      </c>
      <c r="B923" t="s">
        <v>282</v>
      </c>
      <c r="C923" s="20">
        <f>IF(SQRT((Coordenadas!$C$142-Coordenadas!$C$177)^2+(Coordenadas!$D$142-Coordenadas!$D$177)^2)&lt;=LEEME!$B$20,EXP(-LEEME!$B$19*SQRT((Coordenadas!$C$142-Coordenadas!$C$177)^2+(Coordenadas!$D$142-Coordenadas!$D$177)^2)),0)</f>
        <v>0.774574993536843</v>
      </c>
    </row>
    <row r="924" spans="1:3">
      <c r="A924" t="s">
        <v>189</v>
      </c>
      <c r="B924" t="s">
        <v>285</v>
      </c>
      <c r="C924" s="20">
        <f>IF(SQRT((Coordenadas!$C$142-Coordenadas!$C$180)^2+(Coordenadas!$D$142-Coordenadas!$D$180)^2)&lt;=LEEME!$B$20,EXP(-LEEME!$B$19*SQRT((Coordenadas!$C$142-Coordenadas!$C$180)^2+(Coordenadas!$D$142-Coordenadas!$D$180)^2)),0)</f>
        <v>0.47554040002059067</v>
      </c>
    </row>
    <row r="925" spans="1:3">
      <c r="A925" t="s">
        <v>189</v>
      </c>
      <c r="B925" t="s">
        <v>286</v>
      </c>
      <c r="C925" s="20">
        <f>IF(SQRT((Coordenadas!$C$142-Coordenadas!$C$181)^2+(Coordenadas!$D$142-Coordenadas!$D$181)^2)&lt;=LEEME!$B$20,EXP(-LEEME!$B$19*SQRT((Coordenadas!$C$142-Coordenadas!$C$181)^2+(Coordenadas!$D$142-Coordenadas!$D$181)^2)),0)</f>
        <v>0.7158727163630727</v>
      </c>
    </row>
    <row r="926" spans="1:3">
      <c r="A926" t="s">
        <v>189</v>
      </c>
      <c r="B926" t="s">
        <v>287</v>
      </c>
      <c r="C926" s="20">
        <f>IF(SQRT((Coordenadas!$C$142-Coordenadas!$C$182)^2+(Coordenadas!$D$142-Coordenadas!$D$182)^2)&lt;=LEEME!$B$20,EXP(-LEEME!$B$19*SQRT((Coordenadas!$C$142-Coordenadas!$C$182)^2+(Coordenadas!$D$142-Coordenadas!$D$182)^2)),0)</f>
        <v>0.38465103575596649</v>
      </c>
    </row>
    <row r="927" spans="1:3">
      <c r="A927" t="s">
        <v>189</v>
      </c>
      <c r="B927" t="s">
        <v>293</v>
      </c>
      <c r="C927" s="20">
        <f>IF(SQRT((Coordenadas!$C$142-Coordenadas!$C$188)^2+(Coordenadas!$D$142-Coordenadas!$D$188)^2)&lt;=LEEME!$B$20,EXP(-LEEME!$B$19*SQRT((Coordenadas!$C$142-Coordenadas!$C$188)^2+(Coordenadas!$D$142-Coordenadas!$D$188)^2)),0)</f>
        <v>0.40975234789282755</v>
      </c>
    </row>
    <row r="928" spans="1:3">
      <c r="A928" t="s">
        <v>190</v>
      </c>
      <c r="B928" t="s">
        <v>279</v>
      </c>
      <c r="C928" s="20">
        <f>IF(SQRT((Coordenadas!$C$143-Coordenadas!$C$174)^2+(Coordenadas!$D$143-Coordenadas!$D$174)^2)&lt;=LEEME!$B$20,EXP(-LEEME!$B$19*SQRT((Coordenadas!$C$143-Coordenadas!$C$174)^2+(Coordenadas!$D$143-Coordenadas!$D$174)^2)),0)</f>
        <v>0.50731664546094313</v>
      </c>
    </row>
    <row r="929" spans="1:3">
      <c r="A929" t="s">
        <v>190</v>
      </c>
      <c r="B929" t="s">
        <v>282</v>
      </c>
      <c r="C929" s="20">
        <f>IF(SQRT((Coordenadas!$C$143-Coordenadas!$C$177)^2+(Coordenadas!$D$143-Coordenadas!$D$177)^2)&lt;=LEEME!$B$20,EXP(-LEEME!$B$19*SQRT((Coordenadas!$C$143-Coordenadas!$C$177)^2+(Coordenadas!$D$143-Coordenadas!$D$177)^2)),0)</f>
        <v>0.62798319490454457</v>
      </c>
    </row>
    <row r="930" spans="1:3">
      <c r="A930" t="s">
        <v>190</v>
      </c>
      <c r="B930" t="s">
        <v>286</v>
      </c>
      <c r="C930" s="20">
        <f>IF(SQRT((Coordenadas!$C$143-Coordenadas!$C$181)^2+(Coordenadas!$D$143-Coordenadas!$D$181)^2)&lt;=LEEME!$B$20,EXP(-LEEME!$B$19*SQRT((Coordenadas!$C$143-Coordenadas!$C$181)^2+(Coordenadas!$D$143-Coordenadas!$D$181)^2)),0)</f>
        <v>0.54200801530585296</v>
      </c>
    </row>
    <row r="931" spans="1:3">
      <c r="A931" t="s">
        <v>190</v>
      </c>
      <c r="B931" t="s">
        <v>287</v>
      </c>
      <c r="C931" s="20">
        <f>IF(SQRT((Coordenadas!$C$143-Coordenadas!$C$182)^2+(Coordenadas!$D$143-Coordenadas!$D$182)^2)&lt;=LEEME!$B$20,EXP(-LEEME!$B$19*SQRT((Coordenadas!$C$143-Coordenadas!$C$182)^2+(Coordenadas!$D$143-Coordenadas!$D$182)^2)),0)</f>
        <v>0.38070704279604811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4"/>
  <sheetViews>
    <sheetView zoomScaleNormal="100" workbookViewId="0"/>
  </sheetViews>
  <sheetFormatPr defaultColWidth="8.7109375" defaultRowHeight="15"/>
  <cols>
    <col min="1" max="1" width="13" customWidth="1"/>
    <col min="2" max="2" width="24" customWidth="1"/>
    <col min="3" max="3" width="30" customWidth="1"/>
    <col min="4" max="5" width="25" customWidth="1"/>
  </cols>
  <sheetData>
    <row r="1" spans="1:5" ht="33" customHeight="1">
      <c r="A1" s="21" t="s">
        <v>309</v>
      </c>
      <c r="B1" s="21" t="s">
        <v>310</v>
      </c>
      <c r="C1" s="21" t="s">
        <v>311</v>
      </c>
      <c r="D1" s="21" t="s">
        <v>312</v>
      </c>
      <c r="E1" s="21" t="s">
        <v>313</v>
      </c>
    </row>
    <row r="2" spans="1:5" ht="24" customHeight="1">
      <c r="A2" s="22" t="s">
        <v>314</v>
      </c>
      <c r="B2" s="23">
        <v>1.5</v>
      </c>
      <c r="C2" s="24">
        <v>222000</v>
      </c>
      <c r="D2" s="23">
        <v>5.5</v>
      </c>
      <c r="E2" s="25">
        <v>1</v>
      </c>
    </row>
    <row r="3" spans="1:5" ht="24" customHeight="1">
      <c r="A3" s="22" t="s">
        <v>315</v>
      </c>
      <c r="B3" s="23">
        <v>2.4</v>
      </c>
      <c r="C3" s="24">
        <v>287000</v>
      </c>
      <c r="D3" s="23">
        <v>8.8000000000000007</v>
      </c>
      <c r="E3" s="25">
        <v>1</v>
      </c>
    </row>
    <row r="4" spans="1:5" ht="24" customHeight="1">
      <c r="A4" s="22" t="s">
        <v>316</v>
      </c>
      <c r="B4" s="23">
        <v>4</v>
      </c>
      <c r="C4" s="24">
        <v>384000</v>
      </c>
      <c r="D4" s="23">
        <v>20.8</v>
      </c>
      <c r="E4" s="25">
        <v>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5"/>
  <sheetViews>
    <sheetView zoomScaleNormal="100" workbookViewId="0"/>
  </sheetViews>
  <sheetFormatPr defaultColWidth="8.7109375" defaultRowHeight="15"/>
  <cols>
    <col min="1" max="1" width="23" customWidth="1"/>
    <col min="2" max="2" width="21" customWidth="1"/>
    <col min="3" max="3" width="29" customWidth="1"/>
  </cols>
  <sheetData>
    <row r="1" spans="1:3">
      <c r="A1" t="s">
        <v>317</v>
      </c>
      <c r="B1" t="s">
        <v>318</v>
      </c>
      <c r="C1" t="s">
        <v>319</v>
      </c>
    </row>
    <row r="2" spans="1:3">
      <c r="A2" t="s">
        <v>320</v>
      </c>
      <c r="B2" s="16">
        <v>10</v>
      </c>
      <c r="C2" t="s">
        <v>321</v>
      </c>
    </row>
    <row r="3" spans="1:3">
      <c r="A3" t="s">
        <v>322</v>
      </c>
      <c r="B3" s="26">
        <v>180000000</v>
      </c>
      <c r="C3" t="s">
        <v>323</v>
      </c>
    </row>
    <row r="4" spans="1:3">
      <c r="A4" t="s">
        <v>324</v>
      </c>
      <c r="B4" s="26">
        <v>36000000</v>
      </c>
      <c r="C4" t="s">
        <v>325</v>
      </c>
    </row>
    <row r="5" spans="1:3">
      <c r="A5" t="s">
        <v>326</v>
      </c>
      <c r="B5" s="27">
        <v>0.05</v>
      </c>
      <c r="C5" t="s">
        <v>327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M144"/>
  <sheetViews>
    <sheetView zoomScaleNormal="100" workbookViewId="0">
      <pane xSplit="1" ySplit="2" topLeftCell="AC21" activePane="bottomRight" state="frozen"/>
      <selection pane="bottomRight"/>
      <selection pane="bottomLeft" activeCell="A3" sqref="A3"/>
      <selection pane="topRight" activeCell="B1" sqref="B1"/>
    </sheetView>
  </sheetViews>
  <sheetFormatPr defaultColWidth="8.7109375" defaultRowHeight="15"/>
  <cols>
    <col min="27" max="27" width="8" customWidth="1"/>
    <col min="28" max="28" width="7" customWidth="1"/>
    <col min="29" max="29" width="44" customWidth="1"/>
    <col min="30" max="36" width="16" customWidth="1"/>
  </cols>
  <sheetData>
    <row r="1" spans="1:39">
      <c r="A1" s="28" t="s">
        <v>42</v>
      </c>
      <c r="B1" s="28" t="s">
        <v>44</v>
      </c>
      <c r="C1" s="28" t="s">
        <v>328</v>
      </c>
      <c r="D1" s="28"/>
      <c r="E1" s="28"/>
      <c r="F1" s="28"/>
      <c r="G1" s="28"/>
      <c r="H1" s="28" t="s">
        <v>329</v>
      </c>
      <c r="I1" s="28"/>
      <c r="J1" s="28"/>
      <c r="K1" s="28"/>
      <c r="L1" s="28"/>
      <c r="M1" s="28" t="s">
        <v>330</v>
      </c>
      <c r="N1" s="28"/>
      <c r="O1" s="28"/>
      <c r="P1" s="28"/>
      <c r="Q1" s="28"/>
      <c r="R1" s="28"/>
      <c r="S1" s="28"/>
      <c r="T1" s="28" t="s">
        <v>331</v>
      </c>
      <c r="U1" s="28" t="s">
        <v>332</v>
      </c>
      <c r="V1" s="28"/>
      <c r="W1" s="28"/>
      <c r="X1" s="28"/>
      <c r="Y1" s="28"/>
      <c r="AA1" s="10" t="s">
        <v>333</v>
      </c>
    </row>
    <row r="2" spans="1:39">
      <c r="A2" s="28"/>
      <c r="B2" s="28"/>
      <c r="C2" s="28" t="s">
        <v>232</v>
      </c>
      <c r="D2" s="28" t="s">
        <v>233</v>
      </c>
      <c r="E2" s="28" t="s">
        <v>234</v>
      </c>
      <c r="F2" s="28" t="s">
        <v>235</v>
      </c>
      <c r="G2" s="28" t="s">
        <v>236</v>
      </c>
      <c r="H2" s="28" t="s">
        <v>232</v>
      </c>
      <c r="I2" s="28" t="s">
        <v>233</v>
      </c>
      <c r="J2" s="28" t="s">
        <v>234</v>
      </c>
      <c r="K2" s="28" t="s">
        <v>235</v>
      </c>
      <c r="L2" s="28" t="s">
        <v>236</v>
      </c>
      <c r="M2" s="28" t="s">
        <v>193</v>
      </c>
      <c r="N2" s="28" t="s">
        <v>194</v>
      </c>
      <c r="O2" s="28" t="s">
        <v>195</v>
      </c>
      <c r="P2" s="28" t="s">
        <v>196</v>
      </c>
      <c r="Q2" s="28" t="s">
        <v>197</v>
      </c>
      <c r="R2" s="28" t="s">
        <v>198</v>
      </c>
      <c r="S2" s="28" t="s">
        <v>199</v>
      </c>
      <c r="T2" s="28"/>
      <c r="U2" s="28" t="s">
        <v>232</v>
      </c>
      <c r="V2" s="28" t="s">
        <v>233</v>
      </c>
      <c r="W2" s="28" t="s">
        <v>234</v>
      </c>
      <c r="X2" s="28" t="s">
        <v>235</v>
      </c>
      <c r="Y2" s="28" t="s">
        <v>236</v>
      </c>
    </row>
    <row r="3" spans="1:39">
      <c r="A3" t="s">
        <v>45</v>
      </c>
      <c r="B3">
        <f>SUMIFS(Sectores!$C:$C,Sectores!$A:$A,$A3)</f>
        <v>2849</v>
      </c>
      <c r="C3">
        <f>SUMIFS(Generacion!$C:$C,Generacion!$A:$A,$A3,Generacion!$B:$B,C$2)</f>
        <v>4.3533876706587399E-2</v>
      </c>
      <c r="D3">
        <f>SUMIFS(Generacion!$C:$C,Generacion!$A:$A,$A3,Generacion!$B:$B,D$2)</f>
        <v>3.7870933395161399E-2</v>
      </c>
      <c r="E3">
        <f>SUMIFS(Generacion!$C:$C,Generacion!$A:$A,$A3,Generacion!$B:$B,E$2)</f>
        <v>1.34494903646368E-2</v>
      </c>
      <c r="F3">
        <f>SUMIFS(Generacion!$C:$C,Generacion!$A:$A,$A3,Generacion!$B:$B,F$2)</f>
        <v>3.5393395696412498E-3</v>
      </c>
      <c r="G3">
        <f>SUMIFS(Generacion!$C:$C,Generacion!$A:$A,$A3,Generacion!$B:$B,G$2)</f>
        <v>2.4775376987488701E-3</v>
      </c>
      <c r="H3">
        <f>SUMPRODUCT((AtractivoAlternativas!$A$2:$A$931=$A3)*AtractivoAlternativas!$C$2:$C$931*COUNTIFS(Alternativas!$A$2:$A$51,AtractivoAlternativas!$B$2:$B$931,Alternativas!$B$2:$B$51,H$2))</f>
        <v>1.2146453223399039</v>
      </c>
      <c r="I3">
        <f>SUMPRODUCT((AtractivoAlternativas!$A$2:$A$931=$A3)*AtractivoAlternativas!$C$2:$C$931*COUNTIFS(Alternativas!$A$2:$A$51,AtractivoAlternativas!$B$2:$B$931,Alternativas!$B$2:$B$51,I$2))</f>
        <v>3.3323138786381898</v>
      </c>
      <c r="J3">
        <f>SUMPRODUCT((AtractivoAlternativas!$A$2:$A$931=$A3)*AtractivoAlternativas!$C$2:$C$931*COUNTIFS(Alternativas!$A$2:$A$51,AtractivoAlternativas!$B$2:$B$931,Alternativas!$B$2:$B$51,J$2))</f>
        <v>2.1497190825290975</v>
      </c>
      <c r="K3">
        <f>SUMPRODUCT((AtractivoAlternativas!$A$2:$A$931=$A3)*AtractivoAlternativas!$C$2:$C$931*COUNTIFS(Alternativas!$A$2:$A$51,AtractivoAlternativas!$B$2:$B$931,Alternativas!$B$2:$B$51,K$2))</f>
        <v>0</v>
      </c>
      <c r="L3">
        <f>SUMPRODUCT((AtractivoAlternativas!$A$2:$A$931=$A3)*AtractivoAlternativas!$C$2:$C$931*COUNTIFS(Alternativas!$A$2:$A$51,AtractivoAlternativas!$B$2:$B$931,Alternativas!$B$2:$B$51,L$2))</f>
        <v>0</v>
      </c>
      <c r="M3">
        <f>SUMIFS(AtractivoSitios!$C:$C,AtractivoSitios!$A:$A,$A3,AtractivoSitios!$B:$B,M$2)</f>
        <v>0</v>
      </c>
      <c r="N3">
        <f>SUMIFS(AtractivoSitios!$C:$C,AtractivoSitios!$A:$A,$A3,AtractivoSitios!$B:$B,N$2)</f>
        <v>0</v>
      </c>
      <c r="O3">
        <f>SUMIFS(AtractivoSitios!$C:$C,AtractivoSitios!$A:$A,$A3,AtractivoSitios!$B:$B,O$2)</f>
        <v>0</v>
      </c>
      <c r="P3">
        <f>SUMIFS(AtractivoSitios!$C:$C,AtractivoSitios!$A:$A,$A3,AtractivoSitios!$B:$B,P$2)</f>
        <v>0</v>
      </c>
      <c r="Q3">
        <f>SUMIFS(AtractivoSitios!$C:$C,AtractivoSitios!$A:$A,$A3,AtractivoSitios!$B:$B,Q$2)</f>
        <v>0</v>
      </c>
      <c r="R3">
        <f>SUMIFS(AtractivoSitios!$C:$C,AtractivoSitios!$A:$A,$A3,AtractivoSitios!$B:$B,R$2)</f>
        <v>0</v>
      </c>
      <c r="S3">
        <f>SUMIFS(AtractivoSitios!$C:$C,AtractivoSitios!$A:$A,$A3,AtractivoSitios!$B:$B,S$2)</f>
        <v>0</v>
      </c>
      <c r="T3">
        <f>SUM(M3:S3)</f>
        <v>0</v>
      </c>
      <c r="U3">
        <f>C3/(AD$4+H3+$T3)</f>
        <v>1.9212851908980758E-4</v>
      </c>
      <c r="V3">
        <f>D3/(AE$4+I3+$T3)</f>
        <v>5.5437852905736303E-5</v>
      </c>
      <c r="W3">
        <f>E3/(AF$4+J3+$T3)</f>
        <v>3.1217797179028861E-4</v>
      </c>
      <c r="X3">
        <f>F3/(AG$4+K3+$T3)</f>
        <v>1.7469273344224566E-5</v>
      </c>
      <c r="Y3">
        <f>G3/(AH$4+L3+$T3)</f>
        <v>1.0833620424026486E-5</v>
      </c>
      <c r="AC3" s="10" t="s">
        <v>230</v>
      </c>
      <c r="AD3" s="10" t="s">
        <v>232</v>
      </c>
      <c r="AE3" s="10" t="s">
        <v>233</v>
      </c>
      <c r="AF3" s="10" t="s">
        <v>234</v>
      </c>
      <c r="AG3" s="10" t="s">
        <v>235</v>
      </c>
      <c r="AH3" s="10" t="s">
        <v>236</v>
      </c>
    </row>
    <row r="4" spans="1:39">
      <c r="A4" t="s">
        <v>47</v>
      </c>
      <c r="B4">
        <f>SUMIFS(Sectores!$C:$C,Sectores!$A:$A,$A4)</f>
        <v>5671</v>
      </c>
      <c r="C4">
        <f>SUMIFS(Generacion!$C:$C,Generacion!$A:$A,$A4,Generacion!$B:$B,C$2)</f>
        <v>4.3533876706587399E-2</v>
      </c>
      <c r="D4">
        <f>SUMIFS(Generacion!$C:$C,Generacion!$A:$A,$A4,Generacion!$B:$B,D$2)</f>
        <v>3.7870933395161399E-2</v>
      </c>
      <c r="E4">
        <f>SUMIFS(Generacion!$C:$C,Generacion!$A:$A,$A4,Generacion!$B:$B,E$2)</f>
        <v>1.34494903646368E-2</v>
      </c>
      <c r="F4">
        <f>SUMIFS(Generacion!$C:$C,Generacion!$A:$A,$A4,Generacion!$B:$B,F$2)</f>
        <v>3.5393395696412498E-3</v>
      </c>
      <c r="G4">
        <f>SUMIFS(Generacion!$C:$C,Generacion!$A:$A,$A4,Generacion!$B:$B,G$2)</f>
        <v>2.4775376987488701E-3</v>
      </c>
      <c r="H4">
        <f>SUMPRODUCT((AtractivoAlternativas!$A$2:$A$931=$A4)*AtractivoAlternativas!$C$2:$C$931*COUNTIFS(Alternativas!$A$2:$A$51,AtractivoAlternativas!$B$2:$B$931,Alternativas!$B$2:$B$51,H$2))</f>
        <v>1.2218919383165701</v>
      </c>
      <c r="I4">
        <f>SUMPRODUCT((AtractivoAlternativas!$A$2:$A$931=$A4)*AtractivoAlternativas!$C$2:$C$931*COUNTIFS(Alternativas!$A$2:$A$51,AtractivoAlternativas!$B$2:$B$931,Alternativas!$B$2:$B$51,I$2))</f>
        <v>3.387547052533141</v>
      </c>
      <c r="J4">
        <f>SUMPRODUCT((AtractivoAlternativas!$A$2:$A$931=$A4)*AtractivoAlternativas!$C$2:$C$931*COUNTIFS(Alternativas!$A$2:$A$51,AtractivoAlternativas!$B$2:$B$931,Alternativas!$B$2:$B$51,J$2))</f>
        <v>2.2900033139024112</v>
      </c>
      <c r="K4">
        <f>SUMPRODUCT((AtractivoAlternativas!$A$2:$A$931=$A4)*AtractivoAlternativas!$C$2:$C$931*COUNTIFS(Alternativas!$A$2:$A$51,AtractivoAlternativas!$B$2:$B$931,Alternativas!$B$2:$B$51,K$2))</f>
        <v>0</v>
      </c>
      <c r="L4">
        <f>SUMPRODUCT((AtractivoAlternativas!$A$2:$A$931=$A4)*AtractivoAlternativas!$C$2:$C$931*COUNTIFS(Alternativas!$A$2:$A$51,AtractivoAlternativas!$B$2:$B$931,Alternativas!$B$2:$B$51,L$2))</f>
        <v>0</v>
      </c>
      <c r="M4">
        <f>SUMIFS(AtractivoSitios!$C:$C,AtractivoSitios!$A:$A,$A4,AtractivoSitios!$B:$B,M$2)</f>
        <v>0</v>
      </c>
      <c r="N4">
        <f>SUMIFS(AtractivoSitios!$C:$C,AtractivoSitios!$A:$A,$A4,AtractivoSitios!$B:$B,N$2)</f>
        <v>0</v>
      </c>
      <c r="O4">
        <f>SUMIFS(AtractivoSitios!$C:$C,AtractivoSitios!$A:$A,$A4,AtractivoSitios!$B:$B,O$2)</f>
        <v>0</v>
      </c>
      <c r="P4">
        <f>SUMIFS(AtractivoSitios!$C:$C,AtractivoSitios!$A:$A,$A4,AtractivoSitios!$B:$B,P$2)</f>
        <v>0</v>
      </c>
      <c r="Q4">
        <f>SUMIFS(AtractivoSitios!$C:$C,AtractivoSitios!$A:$A,$A4,AtractivoSitios!$B:$B,Q$2)</f>
        <v>0</v>
      </c>
      <c r="R4">
        <f>SUMIFS(AtractivoSitios!$C:$C,AtractivoSitios!$A:$A,$A4,AtractivoSitios!$B:$B,R$2)</f>
        <v>0</v>
      </c>
      <c r="S4">
        <f>SUMIFS(AtractivoSitios!$C:$C,AtractivoSitios!$A:$A,$A4,AtractivoSitios!$B:$B,S$2)</f>
        <v>0</v>
      </c>
      <c r="T4">
        <f>SUM(M4:S4)</f>
        <v>0</v>
      </c>
      <c r="U4">
        <f>C4/(AD$4+H4+$T4)</f>
        <v>1.921223747152025E-4</v>
      </c>
      <c r="V4">
        <f>D4/(AE$4+I4+$T4)</f>
        <v>5.5433370907497542E-5</v>
      </c>
      <c r="W4">
        <f>E4/(AF$4+J4+$T4)</f>
        <v>3.1116477056875562E-4</v>
      </c>
      <c r="X4">
        <f>F4/(AG$4+K4+$T4)</f>
        <v>1.7469273344224566E-5</v>
      </c>
      <c r="Y4">
        <f>G4/(AH$4+L4+$T4)</f>
        <v>1.0833620424026486E-5</v>
      </c>
      <c r="AC4" s="10" t="s">
        <v>334</v>
      </c>
      <c r="AD4" s="29">
        <v>225.37262507783501</v>
      </c>
      <c r="AE4" s="29">
        <v>679.79178653620295</v>
      </c>
      <c r="AF4" s="29">
        <v>40.933046455046203</v>
      </c>
      <c r="AG4" s="29">
        <v>202.60370880345599</v>
      </c>
      <c r="AH4" s="29">
        <v>228.68972714368499</v>
      </c>
    </row>
    <row r="5" spans="1:39">
      <c r="A5" t="s">
        <v>48</v>
      </c>
      <c r="B5">
        <f>SUMIFS(Sectores!$C:$C,Sectores!$A:$A,$A5)</f>
        <v>2170</v>
      </c>
      <c r="C5">
        <f>SUMIFS(Generacion!$C:$C,Generacion!$A:$A,$A5,Generacion!$B:$B,C$2)</f>
        <v>4.3533876706587399E-2</v>
      </c>
      <c r="D5">
        <f>SUMIFS(Generacion!$C:$C,Generacion!$A:$A,$A5,Generacion!$B:$B,D$2)</f>
        <v>3.7870933395161399E-2</v>
      </c>
      <c r="E5">
        <f>SUMIFS(Generacion!$C:$C,Generacion!$A:$A,$A5,Generacion!$B:$B,E$2)</f>
        <v>1.34494903646368E-2</v>
      </c>
      <c r="F5">
        <f>SUMIFS(Generacion!$C:$C,Generacion!$A:$A,$A5,Generacion!$B:$B,F$2)</f>
        <v>3.5393395696412498E-3</v>
      </c>
      <c r="G5">
        <f>SUMIFS(Generacion!$C:$C,Generacion!$A:$A,$A5,Generacion!$B:$B,G$2)</f>
        <v>2.4775376987488701E-3</v>
      </c>
      <c r="H5">
        <f>SUMPRODUCT((AtractivoAlternativas!$A$2:$A$931=$A5)*AtractivoAlternativas!$C$2:$C$931*COUNTIFS(Alternativas!$A$2:$A$51,AtractivoAlternativas!$B$2:$B$931,Alternativas!$B$2:$B$51,H$2))</f>
        <v>1.5280210036596928</v>
      </c>
      <c r="I5">
        <f>SUMPRODUCT((AtractivoAlternativas!$A$2:$A$931=$A5)*AtractivoAlternativas!$C$2:$C$931*COUNTIFS(Alternativas!$A$2:$A$51,AtractivoAlternativas!$B$2:$B$931,Alternativas!$B$2:$B$51,I$2))</f>
        <v>3.4775482631923258</v>
      </c>
      <c r="J5">
        <f>SUMPRODUCT((AtractivoAlternativas!$A$2:$A$931=$A5)*AtractivoAlternativas!$C$2:$C$931*COUNTIFS(Alternativas!$A$2:$A$51,AtractivoAlternativas!$B$2:$B$931,Alternativas!$B$2:$B$51,J$2))</f>
        <v>0.96042002343130095</v>
      </c>
      <c r="K5">
        <f>SUMPRODUCT((AtractivoAlternativas!$A$2:$A$931=$A5)*AtractivoAlternativas!$C$2:$C$931*COUNTIFS(Alternativas!$A$2:$A$51,AtractivoAlternativas!$B$2:$B$931,Alternativas!$B$2:$B$51,K$2))</f>
        <v>0</v>
      </c>
      <c r="L5">
        <f>SUMPRODUCT((AtractivoAlternativas!$A$2:$A$931=$A5)*AtractivoAlternativas!$C$2:$C$931*COUNTIFS(Alternativas!$A$2:$A$51,AtractivoAlternativas!$B$2:$B$931,Alternativas!$B$2:$B$51,L$2))</f>
        <v>0</v>
      </c>
      <c r="M5">
        <f>SUMIFS(AtractivoSitios!$C:$C,AtractivoSitios!$A:$A,$A5,AtractivoSitios!$B:$B,M$2)</f>
        <v>0.48153799475923187</v>
      </c>
      <c r="N5">
        <f>SUMIFS(AtractivoSitios!$C:$C,AtractivoSitios!$A:$A,$A5,AtractivoSitios!$B:$B,N$2)</f>
        <v>0</v>
      </c>
      <c r="O5">
        <f>SUMIFS(AtractivoSitios!$C:$C,AtractivoSitios!$A:$A,$A5,AtractivoSitios!$B:$B,O$2)</f>
        <v>0</v>
      </c>
      <c r="P5">
        <f>SUMIFS(AtractivoSitios!$C:$C,AtractivoSitios!$A:$A,$A5,AtractivoSitios!$B:$B,P$2)</f>
        <v>0</v>
      </c>
      <c r="Q5">
        <f>SUMIFS(AtractivoSitios!$C:$C,AtractivoSitios!$A:$A,$A5,AtractivoSitios!$B:$B,Q$2)</f>
        <v>0</v>
      </c>
      <c r="R5">
        <f>SUMIFS(AtractivoSitios!$C:$C,AtractivoSitios!$A:$A,$A5,AtractivoSitios!$B:$B,R$2)</f>
        <v>0</v>
      </c>
      <c r="S5">
        <f>SUMIFS(AtractivoSitios!$C:$C,AtractivoSitios!$A:$A,$A5,AtractivoSitios!$B:$B,S$2)</f>
        <v>0</v>
      </c>
      <c r="T5">
        <f>SUM(M5:S5)</f>
        <v>0.48153799475923187</v>
      </c>
      <c r="U5">
        <f>C5/(AD$4+H5+$T5)</f>
        <v>1.9145684998780757E-4</v>
      </c>
      <c r="V5">
        <f>D5/(AE$4+I5+$T5)</f>
        <v>5.5387034813427677E-5</v>
      </c>
      <c r="W5">
        <f>E5/(AF$4+J5+$T5)</f>
        <v>3.1739206949538487E-4</v>
      </c>
      <c r="X5">
        <f>F5/(AG$4+K5+$T5)</f>
        <v>1.7427851729465729E-5</v>
      </c>
      <c r="Y5">
        <f>G5/(AH$4+L5+$T5)</f>
        <v>1.0810856663256493E-5</v>
      </c>
    </row>
    <row r="6" spans="1:39">
      <c r="A6" t="s">
        <v>49</v>
      </c>
      <c r="B6">
        <f>SUMIFS(Sectores!$C:$C,Sectores!$A:$A,$A6)</f>
        <v>1868</v>
      </c>
      <c r="C6">
        <f>SUMIFS(Generacion!$C:$C,Generacion!$A:$A,$A6,Generacion!$B:$B,C$2)</f>
        <v>4.3533876706587399E-2</v>
      </c>
      <c r="D6">
        <f>SUMIFS(Generacion!$C:$C,Generacion!$A:$A,$A6,Generacion!$B:$B,D$2)</f>
        <v>3.7870933395161399E-2</v>
      </c>
      <c r="E6">
        <f>SUMIFS(Generacion!$C:$C,Generacion!$A:$A,$A6,Generacion!$B:$B,E$2)</f>
        <v>1.34494903646368E-2</v>
      </c>
      <c r="F6">
        <f>SUMIFS(Generacion!$C:$C,Generacion!$A:$A,$A6,Generacion!$B:$B,F$2)</f>
        <v>3.5393395696412498E-3</v>
      </c>
      <c r="G6">
        <f>SUMIFS(Generacion!$C:$C,Generacion!$A:$A,$A6,Generacion!$B:$B,G$2)</f>
        <v>2.4775376987488701E-3</v>
      </c>
      <c r="H6">
        <f>SUMPRODUCT((AtractivoAlternativas!$A$2:$A$931=$A6)*AtractivoAlternativas!$C$2:$C$931*COUNTIFS(Alternativas!$A$2:$A$51,AtractivoAlternativas!$B$2:$B$931,Alternativas!$B$2:$B$51,H$2))</f>
        <v>1.8449961936039931</v>
      </c>
      <c r="I6">
        <f>SUMPRODUCT((AtractivoAlternativas!$A$2:$A$931=$A6)*AtractivoAlternativas!$C$2:$C$931*COUNTIFS(Alternativas!$A$2:$A$51,AtractivoAlternativas!$B$2:$B$931,Alternativas!$B$2:$B$51,I$2))</f>
        <v>3.3422772251521744</v>
      </c>
      <c r="J6">
        <f>SUMPRODUCT((AtractivoAlternativas!$A$2:$A$931=$A6)*AtractivoAlternativas!$C$2:$C$931*COUNTIFS(Alternativas!$A$2:$A$51,AtractivoAlternativas!$B$2:$B$931,Alternativas!$B$2:$B$51,J$2))</f>
        <v>1.5312186310418578</v>
      </c>
      <c r="K6">
        <f>SUMPRODUCT((AtractivoAlternativas!$A$2:$A$931=$A6)*AtractivoAlternativas!$C$2:$C$931*COUNTIFS(Alternativas!$A$2:$A$51,AtractivoAlternativas!$B$2:$B$931,Alternativas!$B$2:$B$51,K$2))</f>
        <v>0</v>
      </c>
      <c r="L6">
        <f>SUMPRODUCT((AtractivoAlternativas!$A$2:$A$931=$A6)*AtractivoAlternativas!$C$2:$C$931*COUNTIFS(Alternativas!$A$2:$A$51,AtractivoAlternativas!$B$2:$B$931,Alternativas!$B$2:$B$51,L$2))</f>
        <v>0</v>
      </c>
      <c r="M6">
        <f>SUMIFS(AtractivoSitios!$C:$C,AtractivoSitios!$A:$A,$A6,AtractivoSitios!$B:$B,M$2)</f>
        <v>0.38279320078529749</v>
      </c>
      <c r="N6">
        <f>SUMIFS(AtractivoSitios!$C:$C,AtractivoSitios!$A:$A,$A6,AtractivoSitios!$B:$B,N$2)</f>
        <v>0</v>
      </c>
      <c r="O6">
        <f>SUMIFS(AtractivoSitios!$C:$C,AtractivoSitios!$A:$A,$A6,AtractivoSitios!$B:$B,O$2)</f>
        <v>0</v>
      </c>
      <c r="P6">
        <f>SUMIFS(AtractivoSitios!$C:$C,AtractivoSitios!$A:$A,$A6,AtractivoSitios!$B:$B,P$2)</f>
        <v>0</v>
      </c>
      <c r="Q6">
        <f>SUMIFS(AtractivoSitios!$C:$C,AtractivoSitios!$A:$A,$A6,AtractivoSitios!$B:$B,Q$2)</f>
        <v>0</v>
      </c>
      <c r="R6">
        <f>SUMIFS(AtractivoSitios!$C:$C,AtractivoSitios!$A:$A,$A6,AtractivoSitios!$B:$B,R$2)</f>
        <v>0</v>
      </c>
      <c r="S6">
        <f>SUMIFS(AtractivoSitios!$C:$C,AtractivoSitios!$A:$A,$A6,AtractivoSitios!$B:$B,S$2)</f>
        <v>0</v>
      </c>
      <c r="T6">
        <f>SUM(M6:S6)</f>
        <v>0.38279320078529749</v>
      </c>
      <c r="U6">
        <f>C6/(AD$4+H6+$T6)</f>
        <v>1.9127327517191382E-4</v>
      </c>
      <c r="V6">
        <f>D6/(AE$4+I6+$T6)</f>
        <v>5.5405997685963503E-5</v>
      </c>
      <c r="W6">
        <f>E6/(AF$4+J6+$T6)</f>
        <v>3.1389530349058267E-4</v>
      </c>
      <c r="X6">
        <f>F6/(AG$4+K6+$T6)</f>
        <v>1.7436329680518844E-5</v>
      </c>
      <c r="Y6">
        <f>G6/(AH$4+L6+$T6)</f>
        <v>1.0815516828571345E-5</v>
      </c>
      <c r="AA6" s="28" t="s">
        <v>213</v>
      </c>
      <c r="AB6" s="28" t="s">
        <v>191</v>
      </c>
      <c r="AC6" s="28" t="s">
        <v>335</v>
      </c>
      <c r="AD6" s="28" t="s">
        <v>336</v>
      </c>
      <c r="AE6" s="28" t="s">
        <v>337</v>
      </c>
      <c r="AF6" s="28" t="s">
        <v>338</v>
      </c>
      <c r="AG6" s="28" t="s">
        <v>339</v>
      </c>
      <c r="AH6" s="28" t="s">
        <v>340</v>
      </c>
      <c r="AI6" s="28" t="s">
        <v>341</v>
      </c>
      <c r="AJ6" s="28" t="s">
        <v>342</v>
      </c>
      <c r="AK6" s="28" t="s">
        <v>343</v>
      </c>
      <c r="AL6" s="28" t="s">
        <v>344</v>
      </c>
    </row>
    <row r="7" spans="1:39">
      <c r="A7" t="s">
        <v>50</v>
      </c>
      <c r="B7">
        <f>SUMIFS(Sectores!$C:$C,Sectores!$A:$A,$A7)</f>
        <v>1511</v>
      </c>
      <c r="C7">
        <f>SUMIFS(Generacion!$C:$C,Generacion!$A:$A,$A7,Generacion!$B:$B,C$2)</f>
        <v>4.3533876706587399E-2</v>
      </c>
      <c r="D7">
        <f>SUMIFS(Generacion!$C:$C,Generacion!$A:$A,$A7,Generacion!$B:$B,D$2)</f>
        <v>3.7870933395161399E-2</v>
      </c>
      <c r="E7">
        <f>SUMIFS(Generacion!$C:$C,Generacion!$A:$A,$A7,Generacion!$B:$B,E$2)</f>
        <v>1.34494903646368E-2</v>
      </c>
      <c r="F7">
        <f>SUMIFS(Generacion!$C:$C,Generacion!$A:$A,$A7,Generacion!$B:$B,F$2)</f>
        <v>3.5393395696412498E-3</v>
      </c>
      <c r="G7">
        <f>SUMIFS(Generacion!$C:$C,Generacion!$A:$A,$A7,Generacion!$B:$B,G$2)</f>
        <v>2.4775376987488701E-3</v>
      </c>
      <c r="H7">
        <f>SUMPRODUCT((AtractivoAlternativas!$A$2:$A$931=$A7)*AtractivoAlternativas!$C$2:$C$931*COUNTIFS(Alternativas!$A$2:$A$51,AtractivoAlternativas!$B$2:$B$931,Alternativas!$B$2:$B$51,H$2))</f>
        <v>1.8767797573213378</v>
      </c>
      <c r="I7">
        <f>SUMPRODUCT((AtractivoAlternativas!$A$2:$A$931=$A7)*AtractivoAlternativas!$C$2:$C$931*COUNTIFS(Alternativas!$A$2:$A$51,AtractivoAlternativas!$B$2:$B$931,Alternativas!$B$2:$B$51,I$2))</f>
        <v>3.4549820347431162</v>
      </c>
      <c r="J7">
        <f>SUMPRODUCT((AtractivoAlternativas!$A$2:$A$931=$A7)*AtractivoAlternativas!$C$2:$C$931*COUNTIFS(Alternativas!$A$2:$A$51,AtractivoAlternativas!$B$2:$B$931,Alternativas!$B$2:$B$51,J$2))</f>
        <v>1.5848775681490017</v>
      </c>
      <c r="K7">
        <f>SUMPRODUCT((AtractivoAlternativas!$A$2:$A$931=$A7)*AtractivoAlternativas!$C$2:$C$931*COUNTIFS(Alternativas!$A$2:$A$51,AtractivoAlternativas!$B$2:$B$931,Alternativas!$B$2:$B$51,K$2))</f>
        <v>0</v>
      </c>
      <c r="L7">
        <f>SUMPRODUCT((AtractivoAlternativas!$A$2:$A$931=$A7)*AtractivoAlternativas!$C$2:$C$931*COUNTIFS(Alternativas!$A$2:$A$51,AtractivoAlternativas!$B$2:$B$931,Alternativas!$B$2:$B$51,L$2))</f>
        <v>0</v>
      </c>
      <c r="M7">
        <f>SUMIFS(AtractivoSitios!$C:$C,AtractivoSitios!$A:$A,$A7,AtractivoSitios!$B:$B,M$2)</f>
        <v>0</v>
      </c>
      <c r="N7">
        <f>SUMIFS(AtractivoSitios!$C:$C,AtractivoSitios!$A:$A,$A7,AtractivoSitios!$B:$B,N$2)</f>
        <v>0</v>
      </c>
      <c r="O7">
        <f>SUMIFS(AtractivoSitios!$C:$C,AtractivoSitios!$A:$A,$A7,AtractivoSitios!$B:$B,O$2)</f>
        <v>0</v>
      </c>
      <c r="P7">
        <f>SUMIFS(AtractivoSitios!$C:$C,AtractivoSitios!$A:$A,$A7,AtractivoSitios!$B:$B,P$2)</f>
        <v>0</v>
      </c>
      <c r="Q7">
        <f>SUMIFS(AtractivoSitios!$C:$C,AtractivoSitios!$A:$A,$A7,AtractivoSitios!$B:$B,Q$2)</f>
        <v>0</v>
      </c>
      <c r="R7">
        <f>SUMIFS(AtractivoSitios!$C:$C,AtractivoSitios!$A:$A,$A7,AtractivoSitios!$B:$B,R$2)</f>
        <v>0</v>
      </c>
      <c r="S7">
        <f>SUMIFS(AtractivoSitios!$C:$C,AtractivoSitios!$A:$A,$A7,AtractivoSitios!$B:$B,S$2)</f>
        <v>0</v>
      </c>
      <c r="T7">
        <f>SUM(M7:S7)</f>
        <v>0</v>
      </c>
      <c r="U7">
        <f>C7/(AD$4+H7+$T7)</f>
        <v>1.9156871604643491E-4</v>
      </c>
      <c r="V7">
        <f>D7/(AE$4+I7+$T7)</f>
        <v>5.542789975336562E-5</v>
      </c>
      <c r="W7">
        <f>E7/(AF$4+J7+$T7)</f>
        <v>3.1632518928486659E-4</v>
      </c>
      <c r="X7">
        <f>F7/(AG$4+K7+$T7)</f>
        <v>1.7469273344224566E-5</v>
      </c>
      <c r="Y7">
        <f>G7/(AH$4+L7+$T7)</f>
        <v>1.0833620424026486E-5</v>
      </c>
      <c r="AA7" t="s">
        <v>216</v>
      </c>
      <c r="AB7" t="s">
        <v>193</v>
      </c>
      <c r="AC7" t="s">
        <v>217</v>
      </c>
      <c r="AD7">
        <f>SUMPRODUCT($B$3:$B$144,U$3:U$144,M$3:M$144)</f>
        <v>12.010602485439822</v>
      </c>
      <c r="AE7">
        <f>SUMPRODUCT($B$3:$B$144,V$3:V$144,M$3:M$144)</f>
        <v>3.475705820632502</v>
      </c>
      <c r="AF7">
        <f>SUMPRODUCT($B$3:$B$144,W$3:W$144,M$3:M$144)</f>
        <v>19.830078682307949</v>
      </c>
      <c r="AG7">
        <f>SUMPRODUCT($B$3:$B$144,X$3:X$144,M$3:M$144)</f>
        <v>1.0920447651349012</v>
      </c>
      <c r="AH7">
        <f>SUMPRODUCT($B$3:$B$144,Y$3:Y$144,M$3:M$144)</f>
        <v>0.6776054902524784</v>
      </c>
      <c r="AI7">
        <f>SUM(AD7:AH7)</f>
        <v>37.086037243767649</v>
      </c>
      <c r="AJ7">
        <v>51.6877</v>
      </c>
      <c r="AK7">
        <v>1</v>
      </c>
      <c r="AL7" s="4">
        <f>AI7-AJ7</f>
        <v>-14.601662756232351</v>
      </c>
    </row>
    <row r="8" spans="1:39">
      <c r="A8" t="s">
        <v>51</v>
      </c>
      <c r="B8">
        <f>SUMIFS(Sectores!$C:$C,Sectores!$A:$A,$A8)</f>
        <v>3068</v>
      </c>
      <c r="C8">
        <f>SUMIFS(Generacion!$C:$C,Generacion!$A:$A,$A8,Generacion!$B:$B,C$2)</f>
        <v>4.3533876706587399E-2</v>
      </c>
      <c r="D8">
        <f>SUMIFS(Generacion!$C:$C,Generacion!$A:$A,$A8,Generacion!$B:$B,D$2)</f>
        <v>3.7870933395161399E-2</v>
      </c>
      <c r="E8">
        <f>SUMIFS(Generacion!$C:$C,Generacion!$A:$A,$A8,Generacion!$B:$B,E$2)</f>
        <v>1.34494903646368E-2</v>
      </c>
      <c r="F8">
        <f>SUMIFS(Generacion!$C:$C,Generacion!$A:$A,$A8,Generacion!$B:$B,F$2)</f>
        <v>3.5393395696412498E-3</v>
      </c>
      <c r="G8">
        <f>SUMIFS(Generacion!$C:$C,Generacion!$A:$A,$A8,Generacion!$B:$B,G$2)</f>
        <v>2.4775376987488701E-3</v>
      </c>
      <c r="H8">
        <f>SUMPRODUCT((AtractivoAlternativas!$A$2:$A$931=$A8)*AtractivoAlternativas!$C$2:$C$931*COUNTIFS(Alternativas!$A$2:$A$51,AtractivoAlternativas!$B$2:$B$931,Alternativas!$B$2:$B$51,H$2))</f>
        <v>1.3457004889050634</v>
      </c>
      <c r="I8">
        <f>SUMPRODUCT((AtractivoAlternativas!$A$2:$A$931=$A8)*AtractivoAlternativas!$C$2:$C$931*COUNTIFS(Alternativas!$A$2:$A$51,AtractivoAlternativas!$B$2:$B$931,Alternativas!$B$2:$B$51,I$2))</f>
        <v>3.7203490687643175</v>
      </c>
      <c r="J8">
        <f>SUMPRODUCT((AtractivoAlternativas!$A$2:$A$931=$A8)*AtractivoAlternativas!$C$2:$C$931*COUNTIFS(Alternativas!$A$2:$A$51,AtractivoAlternativas!$B$2:$B$931,Alternativas!$B$2:$B$51,J$2))</f>
        <v>2.3554695605027489</v>
      </c>
      <c r="K8">
        <f>SUMPRODUCT((AtractivoAlternativas!$A$2:$A$931=$A8)*AtractivoAlternativas!$C$2:$C$931*COUNTIFS(Alternativas!$A$2:$A$51,AtractivoAlternativas!$B$2:$B$931,Alternativas!$B$2:$B$51,K$2))</f>
        <v>0</v>
      </c>
      <c r="L8">
        <f>SUMPRODUCT((AtractivoAlternativas!$A$2:$A$931=$A8)*AtractivoAlternativas!$C$2:$C$931*COUNTIFS(Alternativas!$A$2:$A$51,AtractivoAlternativas!$B$2:$B$931,Alternativas!$B$2:$B$51,L$2))</f>
        <v>0</v>
      </c>
      <c r="M8">
        <f>SUMIFS(AtractivoSitios!$C:$C,AtractivoSitios!$A:$A,$A8,AtractivoSitios!$B:$B,M$2)</f>
        <v>0</v>
      </c>
      <c r="N8">
        <f>SUMIFS(AtractivoSitios!$C:$C,AtractivoSitios!$A:$A,$A8,AtractivoSitios!$B:$B,N$2)</f>
        <v>0</v>
      </c>
      <c r="O8">
        <f>SUMIFS(AtractivoSitios!$C:$C,AtractivoSitios!$A:$A,$A8,AtractivoSitios!$B:$B,O$2)</f>
        <v>0</v>
      </c>
      <c r="P8">
        <f>SUMIFS(AtractivoSitios!$C:$C,AtractivoSitios!$A:$A,$A8,AtractivoSitios!$B:$B,P$2)</f>
        <v>0</v>
      </c>
      <c r="Q8">
        <f>SUMIFS(AtractivoSitios!$C:$C,AtractivoSitios!$A:$A,$A8,AtractivoSitios!$B:$B,Q$2)</f>
        <v>0</v>
      </c>
      <c r="R8">
        <f>SUMIFS(AtractivoSitios!$C:$C,AtractivoSitios!$A:$A,$A8,AtractivoSitios!$B:$B,R$2)</f>
        <v>0</v>
      </c>
      <c r="S8">
        <f>SUMIFS(AtractivoSitios!$C:$C,AtractivoSitios!$A:$A,$A8,AtractivoSitios!$B:$B,S$2)</f>
        <v>0</v>
      </c>
      <c r="T8">
        <f>SUM(M8:S8)</f>
        <v>0</v>
      </c>
      <c r="U8">
        <f>C8/(AD$4+H8+$T8)</f>
        <v>1.9201745865828627E-4</v>
      </c>
      <c r="V8">
        <f>D8/(AE$4+I8+$T8)</f>
        <v>5.5406380402657153E-5</v>
      </c>
      <c r="W8">
        <f>E8/(AF$4+J8+$T8)</f>
        <v>3.1069418872677068E-4</v>
      </c>
      <c r="X8">
        <f>F8/(AG$4+K8+$T8)</f>
        <v>1.7469273344224566E-5</v>
      </c>
      <c r="Y8">
        <f>G8/(AH$4+L8+$T8)</f>
        <v>1.0833620424026486E-5</v>
      </c>
      <c r="AA8" t="s">
        <v>218</v>
      </c>
      <c r="AB8" t="s">
        <v>194</v>
      </c>
      <c r="AC8" t="s">
        <v>219</v>
      </c>
      <c r="AD8">
        <f>SUMPRODUCT($B$3:$B$144,U$3:U$144,N$3:N$144)</f>
        <v>10.089964422293798</v>
      </c>
      <c r="AE8">
        <f>SUMPRODUCT($B$3:$B$144,V$3:V$144,N$3:N$144)</f>
        <v>2.9129222555510936</v>
      </c>
      <c r="AF8">
        <f>SUMPRODUCT($B$3:$B$144,W$3:W$144,N$3:N$144)</f>
        <v>16.882195607836074</v>
      </c>
      <c r="AG8">
        <f>SUMPRODUCT($B$3:$B$144,X$3:X$144,N$3:N$144)</f>
        <v>0.9127020028015117</v>
      </c>
      <c r="AH8">
        <f>SUMPRODUCT($B$3:$B$144,Y$3:Y$144,N$3:N$144)</f>
        <v>0.56627610820830199</v>
      </c>
      <c r="AI8">
        <f>SUM(AD8:AH8)</f>
        <v>31.364060396690782</v>
      </c>
      <c r="AJ8">
        <v>48.840800000000002</v>
      </c>
      <c r="AK8">
        <v>1</v>
      </c>
      <c r="AL8" s="4">
        <f>AI8-AJ8</f>
        <v>-17.47673960330922</v>
      </c>
    </row>
    <row r="9" spans="1:39">
      <c r="A9" t="s">
        <v>52</v>
      </c>
      <c r="B9">
        <f>SUMIFS(Sectores!$C:$C,Sectores!$A:$A,$A9)</f>
        <v>3975</v>
      </c>
      <c r="C9">
        <f>SUMIFS(Generacion!$C:$C,Generacion!$A:$A,$A9,Generacion!$B:$B,C$2)</f>
        <v>4.3533876706587399E-2</v>
      </c>
      <c r="D9">
        <f>SUMIFS(Generacion!$C:$C,Generacion!$A:$A,$A9,Generacion!$B:$B,D$2)</f>
        <v>3.7870933395161399E-2</v>
      </c>
      <c r="E9">
        <f>SUMIFS(Generacion!$C:$C,Generacion!$A:$A,$A9,Generacion!$B:$B,E$2)</f>
        <v>1.34494903646368E-2</v>
      </c>
      <c r="F9">
        <f>SUMIFS(Generacion!$C:$C,Generacion!$A:$A,$A9,Generacion!$B:$B,F$2)</f>
        <v>3.5393395696412498E-3</v>
      </c>
      <c r="G9">
        <f>SUMIFS(Generacion!$C:$C,Generacion!$A:$A,$A9,Generacion!$B:$B,G$2)</f>
        <v>2.4775376987488701E-3</v>
      </c>
      <c r="H9">
        <f>SUMPRODUCT((AtractivoAlternativas!$A$2:$A$931=$A9)*AtractivoAlternativas!$C$2:$C$931*COUNTIFS(Alternativas!$A$2:$A$51,AtractivoAlternativas!$B$2:$B$931,Alternativas!$B$2:$B$51,H$2))</f>
        <v>0</v>
      </c>
      <c r="I9">
        <f>SUMPRODUCT((AtractivoAlternativas!$A$2:$A$931=$A9)*AtractivoAlternativas!$C$2:$C$931*COUNTIFS(Alternativas!$A$2:$A$51,AtractivoAlternativas!$B$2:$B$931,Alternativas!$B$2:$B$51,I$2))</f>
        <v>0.77012752748910862</v>
      </c>
      <c r="J9">
        <f>SUMPRODUCT((AtractivoAlternativas!$A$2:$A$931=$A9)*AtractivoAlternativas!$C$2:$C$931*COUNTIFS(Alternativas!$A$2:$A$51,AtractivoAlternativas!$B$2:$B$931,Alternativas!$B$2:$B$51,J$2))</f>
        <v>0</v>
      </c>
      <c r="K9">
        <f>SUMPRODUCT((AtractivoAlternativas!$A$2:$A$931=$A9)*AtractivoAlternativas!$C$2:$C$931*COUNTIFS(Alternativas!$A$2:$A$51,AtractivoAlternativas!$B$2:$B$931,Alternativas!$B$2:$B$51,K$2))</f>
        <v>0</v>
      </c>
      <c r="L9">
        <f>SUMPRODUCT((AtractivoAlternativas!$A$2:$A$931=$A9)*AtractivoAlternativas!$C$2:$C$931*COUNTIFS(Alternativas!$A$2:$A$51,AtractivoAlternativas!$B$2:$B$931,Alternativas!$B$2:$B$51,L$2))</f>
        <v>0</v>
      </c>
      <c r="M9">
        <f>SUMIFS(AtractivoSitios!$C:$C,AtractivoSitios!$A:$A,$A9,AtractivoSitios!$B:$B,M$2)</f>
        <v>0</v>
      </c>
      <c r="N9">
        <f>SUMIFS(AtractivoSitios!$C:$C,AtractivoSitios!$A:$A,$A9,AtractivoSitios!$B:$B,N$2)</f>
        <v>0.37898047938087159</v>
      </c>
      <c r="O9">
        <f>SUMIFS(AtractivoSitios!$C:$C,AtractivoSitios!$A:$A,$A9,AtractivoSitios!$B:$B,O$2)</f>
        <v>0</v>
      </c>
      <c r="P9">
        <f>SUMIFS(AtractivoSitios!$C:$C,AtractivoSitios!$A:$A,$A9,AtractivoSitios!$B:$B,P$2)</f>
        <v>0</v>
      </c>
      <c r="Q9">
        <f>SUMIFS(AtractivoSitios!$C:$C,AtractivoSitios!$A:$A,$A9,AtractivoSitios!$B:$B,Q$2)</f>
        <v>0</v>
      </c>
      <c r="R9">
        <f>SUMIFS(AtractivoSitios!$C:$C,AtractivoSitios!$A:$A,$A9,AtractivoSitios!$B:$B,R$2)</f>
        <v>0</v>
      </c>
      <c r="S9">
        <f>SUMIFS(AtractivoSitios!$C:$C,AtractivoSitios!$A:$A,$A9,AtractivoSitios!$B:$B,S$2)</f>
        <v>0</v>
      </c>
      <c r="T9">
        <f>SUM(M9:S9)</f>
        <v>0.37898047938087159</v>
      </c>
      <c r="U9">
        <f>C9/(AD$4+H9+$T9)</f>
        <v>1.9283972133502235E-4</v>
      </c>
      <c r="V9">
        <f>D9/(AE$4+I9+$T9)</f>
        <v>5.5615595565858432E-5</v>
      </c>
      <c r="W9">
        <f>E9/(AF$4+J9+$T9)</f>
        <v>3.2555871407579778E-4</v>
      </c>
      <c r="X9">
        <f>F9/(AG$4+K9+$T9)</f>
        <v>1.7436657195478973E-5</v>
      </c>
      <c r="Y9">
        <f>G9/(AH$4+L9+$T9)</f>
        <v>1.0815696846841583E-5</v>
      </c>
      <c r="AA9" t="s">
        <v>220</v>
      </c>
      <c r="AB9" t="s">
        <v>195</v>
      </c>
      <c r="AC9" t="s">
        <v>221</v>
      </c>
      <c r="AD9">
        <f>SUMPRODUCT($B$3:$B$144,U$3:U$144,O$3:O$144)</f>
        <v>7.0863181243242961</v>
      </c>
      <c r="AE9">
        <f>SUMPRODUCT($B$3:$B$144,V$3:V$144,O$3:O$144)</f>
        <v>2.0471772252018563</v>
      </c>
      <c r="AF9">
        <f>SUMPRODUCT($B$3:$B$144,W$3:W$144,O$3:O$144)</f>
        <v>11.826050539480701</v>
      </c>
      <c r="AG9">
        <f>SUMPRODUCT($B$3:$B$144,X$3:X$144,O$3:O$144)</f>
        <v>0.64294205286653672</v>
      </c>
      <c r="AH9">
        <f>SUMPRODUCT($B$3:$B$144,Y$3:Y$144,O$3:O$144)</f>
        <v>0.39887573889496442</v>
      </c>
      <c r="AI9">
        <f>SUM(AD9:AH9)</f>
        <v>22.001363680768357</v>
      </c>
      <c r="AJ9">
        <v>19.985099999999999</v>
      </c>
      <c r="AK9">
        <v>1</v>
      </c>
      <c r="AL9" s="4">
        <f>AI9-AJ9</f>
        <v>2.0162636807683576</v>
      </c>
    </row>
    <row r="10" spans="1:39">
      <c r="A10" t="s">
        <v>54</v>
      </c>
      <c r="B10">
        <f>SUMIFS(Sectores!$C:$C,Sectores!$A:$A,$A10)</f>
        <v>3739</v>
      </c>
      <c r="C10">
        <f>SUMIFS(Generacion!$C:$C,Generacion!$A:$A,$A10,Generacion!$B:$B,C$2)</f>
        <v>4.3533876706587399E-2</v>
      </c>
      <c r="D10">
        <f>SUMIFS(Generacion!$C:$C,Generacion!$A:$A,$A10,Generacion!$B:$B,D$2)</f>
        <v>3.7870933395161399E-2</v>
      </c>
      <c r="E10">
        <f>SUMIFS(Generacion!$C:$C,Generacion!$A:$A,$A10,Generacion!$B:$B,E$2)</f>
        <v>1.34494903646368E-2</v>
      </c>
      <c r="F10">
        <f>SUMIFS(Generacion!$C:$C,Generacion!$A:$A,$A10,Generacion!$B:$B,F$2)</f>
        <v>3.5393395696412498E-3</v>
      </c>
      <c r="G10">
        <f>SUMIFS(Generacion!$C:$C,Generacion!$A:$A,$A10,Generacion!$B:$B,G$2)</f>
        <v>2.4775376987488701E-3</v>
      </c>
      <c r="H10">
        <f>SUMPRODUCT((AtractivoAlternativas!$A$2:$A$931=$A10)*AtractivoAlternativas!$C$2:$C$931*COUNTIFS(Alternativas!$A$2:$A$51,AtractivoAlternativas!$B$2:$B$931,Alternativas!$B$2:$B$51,H$2))</f>
        <v>0</v>
      </c>
      <c r="I10">
        <f>SUMPRODUCT((AtractivoAlternativas!$A$2:$A$931=$A10)*AtractivoAlternativas!$C$2:$C$931*COUNTIFS(Alternativas!$A$2:$A$51,AtractivoAlternativas!$B$2:$B$931,Alternativas!$B$2:$B$51,I$2))</f>
        <v>0</v>
      </c>
      <c r="J10">
        <f>SUMPRODUCT((AtractivoAlternativas!$A$2:$A$931=$A10)*AtractivoAlternativas!$C$2:$C$931*COUNTIFS(Alternativas!$A$2:$A$51,AtractivoAlternativas!$B$2:$B$931,Alternativas!$B$2:$B$51,J$2))</f>
        <v>0</v>
      </c>
      <c r="K10">
        <f>SUMPRODUCT((AtractivoAlternativas!$A$2:$A$931=$A10)*AtractivoAlternativas!$C$2:$C$931*COUNTIFS(Alternativas!$A$2:$A$51,AtractivoAlternativas!$B$2:$B$931,Alternativas!$B$2:$B$51,K$2))</f>
        <v>0</v>
      </c>
      <c r="L10">
        <f>SUMPRODUCT((AtractivoAlternativas!$A$2:$A$931=$A10)*AtractivoAlternativas!$C$2:$C$931*COUNTIFS(Alternativas!$A$2:$A$51,AtractivoAlternativas!$B$2:$B$931,Alternativas!$B$2:$B$51,L$2))</f>
        <v>0</v>
      </c>
      <c r="M10">
        <f>SUMIFS(AtractivoSitios!$C:$C,AtractivoSitios!$A:$A,$A10,AtractivoSitios!$B:$B,M$2)</f>
        <v>0</v>
      </c>
      <c r="N10">
        <f>SUMIFS(AtractivoSitios!$C:$C,AtractivoSitios!$A:$A,$A10,AtractivoSitios!$B:$B,N$2)</f>
        <v>0.42147183914683795</v>
      </c>
      <c r="O10">
        <f>SUMIFS(AtractivoSitios!$C:$C,AtractivoSitios!$A:$A,$A10,AtractivoSitios!$B:$B,O$2)</f>
        <v>0</v>
      </c>
      <c r="P10">
        <f>SUMIFS(AtractivoSitios!$C:$C,AtractivoSitios!$A:$A,$A10,AtractivoSitios!$B:$B,P$2)</f>
        <v>0</v>
      </c>
      <c r="Q10">
        <f>SUMIFS(AtractivoSitios!$C:$C,AtractivoSitios!$A:$A,$A10,AtractivoSitios!$B:$B,Q$2)</f>
        <v>0</v>
      </c>
      <c r="R10">
        <f>SUMIFS(AtractivoSitios!$C:$C,AtractivoSitios!$A:$A,$A10,AtractivoSitios!$B:$B,R$2)</f>
        <v>0</v>
      </c>
      <c r="S10">
        <f>SUMIFS(AtractivoSitios!$C:$C,AtractivoSitios!$A:$A,$A10,AtractivoSitios!$B:$B,S$2)</f>
        <v>0</v>
      </c>
      <c r="T10">
        <f>SUM(M10:S10)</f>
        <v>0.42147183914683795</v>
      </c>
      <c r="U10">
        <f>C10/(AD$4+H10+$T10)</f>
        <v>1.9280343153786514E-4</v>
      </c>
      <c r="V10">
        <f>D10/(AE$4+I10+$T10)</f>
        <v>5.5675088553278044E-5</v>
      </c>
      <c r="W10">
        <f>E10/(AF$4+J10+$T10)</f>
        <v>3.2522420570729662E-4</v>
      </c>
      <c r="X10">
        <f>F10/(AG$4+K10+$T10)</f>
        <v>1.7433007858624972E-5</v>
      </c>
      <c r="Y10">
        <f>G10/(AH$4+L10+$T10)</f>
        <v>1.081369094897243E-5</v>
      </c>
      <c r="AA10" t="s">
        <v>222</v>
      </c>
      <c r="AB10" t="s">
        <v>196</v>
      </c>
      <c r="AC10" t="s">
        <v>223</v>
      </c>
      <c r="AD10">
        <f>SUMPRODUCT($B$3:$B$144,U$3:U$144,P$3:P$144)</f>
        <v>8.475101535977533</v>
      </c>
      <c r="AE10">
        <f>SUMPRODUCT($B$3:$B$144,V$3:V$144,P$3:P$144)</f>
        <v>2.4490002761950453</v>
      </c>
      <c r="AF10">
        <f>SUMPRODUCT($B$3:$B$144,W$3:W$144,P$3:P$144)</f>
        <v>14.084407093154676</v>
      </c>
      <c r="AG10">
        <f>SUMPRODUCT($B$3:$B$144,X$3:X$144,P$3:P$144)</f>
        <v>0.77038172624690215</v>
      </c>
      <c r="AH10">
        <f>SUMPRODUCT($B$3:$B$144,Y$3:Y$144,P$3:P$144)</f>
        <v>0.47797026780298446</v>
      </c>
      <c r="AI10">
        <f>SUM(AD10:AH10)</f>
        <v>26.256860899377141</v>
      </c>
      <c r="AJ10">
        <v>13.357100000000001</v>
      </c>
      <c r="AK10">
        <v>1</v>
      </c>
      <c r="AL10" s="4">
        <f>AI10-AJ10</f>
        <v>12.89976089937714</v>
      </c>
    </row>
    <row r="11" spans="1:39">
      <c r="A11" t="s">
        <v>55</v>
      </c>
      <c r="B11">
        <f>SUMIFS(Sectores!$C:$C,Sectores!$A:$A,$A11)</f>
        <v>1825</v>
      </c>
      <c r="C11">
        <f>SUMIFS(Generacion!$C:$C,Generacion!$A:$A,$A11,Generacion!$B:$B,C$2)</f>
        <v>4.3533876706587399E-2</v>
      </c>
      <c r="D11">
        <f>SUMIFS(Generacion!$C:$C,Generacion!$A:$A,$A11,Generacion!$B:$B,D$2)</f>
        <v>3.7870933395161399E-2</v>
      </c>
      <c r="E11">
        <f>SUMIFS(Generacion!$C:$C,Generacion!$A:$A,$A11,Generacion!$B:$B,E$2)</f>
        <v>1.34494903646368E-2</v>
      </c>
      <c r="F11">
        <f>SUMIFS(Generacion!$C:$C,Generacion!$A:$A,$A11,Generacion!$B:$B,F$2)</f>
        <v>3.5393395696412498E-3</v>
      </c>
      <c r="G11">
        <f>SUMIFS(Generacion!$C:$C,Generacion!$A:$A,$A11,Generacion!$B:$B,G$2)</f>
        <v>2.4775376987488701E-3</v>
      </c>
      <c r="H11">
        <f>SUMPRODUCT((AtractivoAlternativas!$A$2:$A$931=$A11)*AtractivoAlternativas!$C$2:$C$931*COUNTIFS(Alternativas!$A$2:$A$51,AtractivoAlternativas!$B$2:$B$931,Alternativas!$B$2:$B$51,H$2))</f>
        <v>0</v>
      </c>
      <c r="I11">
        <f>SUMPRODUCT((AtractivoAlternativas!$A$2:$A$931=$A11)*AtractivoAlternativas!$C$2:$C$931*COUNTIFS(Alternativas!$A$2:$A$51,AtractivoAlternativas!$B$2:$B$931,Alternativas!$B$2:$B$51,I$2))</f>
        <v>0.79590699568975398</v>
      </c>
      <c r="J11">
        <f>SUMPRODUCT((AtractivoAlternativas!$A$2:$A$931=$A11)*AtractivoAlternativas!$C$2:$C$931*COUNTIFS(Alternativas!$A$2:$A$51,AtractivoAlternativas!$B$2:$B$931,Alternativas!$B$2:$B$51,J$2))</f>
        <v>0</v>
      </c>
      <c r="K11">
        <f>SUMPRODUCT((AtractivoAlternativas!$A$2:$A$931=$A11)*AtractivoAlternativas!$C$2:$C$931*COUNTIFS(Alternativas!$A$2:$A$51,AtractivoAlternativas!$B$2:$B$931,Alternativas!$B$2:$B$51,K$2))</f>
        <v>0</v>
      </c>
      <c r="L11">
        <f>SUMPRODUCT((AtractivoAlternativas!$A$2:$A$931=$A11)*AtractivoAlternativas!$C$2:$C$931*COUNTIFS(Alternativas!$A$2:$A$51,AtractivoAlternativas!$B$2:$B$931,Alternativas!$B$2:$B$51,L$2))</f>
        <v>0</v>
      </c>
      <c r="M11">
        <f>SUMIFS(AtractivoSitios!$C:$C,AtractivoSitios!$A:$A,$A11,AtractivoSitios!$B:$B,M$2)</f>
        <v>0</v>
      </c>
      <c r="N11">
        <f>SUMIFS(AtractivoSitios!$C:$C,AtractivoSitios!$A:$A,$A11,AtractivoSitios!$B:$B,N$2)</f>
        <v>0.51012989481119508</v>
      </c>
      <c r="O11">
        <f>SUMIFS(AtractivoSitios!$C:$C,AtractivoSitios!$A:$A,$A11,AtractivoSitios!$B:$B,O$2)</f>
        <v>0</v>
      </c>
      <c r="P11">
        <f>SUMIFS(AtractivoSitios!$C:$C,AtractivoSitios!$A:$A,$A11,AtractivoSitios!$B:$B,P$2)</f>
        <v>0</v>
      </c>
      <c r="Q11">
        <f>SUMIFS(AtractivoSitios!$C:$C,AtractivoSitios!$A:$A,$A11,AtractivoSitios!$B:$B,Q$2)</f>
        <v>0.55203820060745379</v>
      </c>
      <c r="R11">
        <f>SUMIFS(AtractivoSitios!$C:$C,AtractivoSitios!$A:$A,$A11,AtractivoSitios!$B:$B,R$2)</f>
        <v>0</v>
      </c>
      <c r="S11">
        <f>SUMIFS(AtractivoSitios!$C:$C,AtractivoSitios!$A:$A,$A11,AtractivoSitios!$B:$B,S$2)</f>
        <v>0</v>
      </c>
      <c r="T11">
        <f>SUM(M11:S11)</f>
        <v>1.0621680954186488</v>
      </c>
      <c r="U11">
        <f>C11/(AD$4+H11+$T11)</f>
        <v>1.9225789507215004E-4</v>
      </c>
      <c r="V11">
        <f>D11/(AE$4+I11+$T11)</f>
        <v>5.5557751166781788E-5</v>
      </c>
      <c r="W11">
        <f>E11/(AF$4+J11+$T11)</f>
        <v>3.2026245153420524E-4</v>
      </c>
      <c r="X11">
        <f>F11/(AG$4+K11+$T11)</f>
        <v>1.7378166748073478E-5</v>
      </c>
      <c r="Y11">
        <f>G11/(AH$4+L11+$T11)</f>
        <v>1.0783535414019056E-5</v>
      </c>
      <c r="AA11" t="s">
        <v>224</v>
      </c>
      <c r="AB11" t="s">
        <v>197</v>
      </c>
      <c r="AC11" t="s">
        <v>225</v>
      </c>
      <c r="AD11">
        <f>SUMPRODUCT($B$3:$B$144,U$3:U$144,Q$3:Q$144)</f>
        <v>13.712147838083984</v>
      </c>
      <c r="AE11">
        <f>SUMPRODUCT($B$3:$B$144,V$3:V$144,Q$3:Q$144)</f>
        <v>3.961987203328722</v>
      </c>
      <c r="AF11">
        <f>SUMPRODUCT($B$3:$B$144,W$3:W$144,Q$3:Q$144)</f>
        <v>22.699641791048304</v>
      </c>
      <c r="AG11">
        <f>SUMPRODUCT($B$3:$B$144,X$3:X$144,Q$3:Q$144)</f>
        <v>1.242653300885783</v>
      </c>
      <c r="AH11">
        <f>SUMPRODUCT($B$3:$B$144,Y$3:Y$144,Q$3:Q$144)</f>
        <v>0.77098108066563431</v>
      </c>
      <c r="AI11">
        <f>SUM(AD11:AH11)</f>
        <v>42.387411214012431</v>
      </c>
      <c r="AJ11">
        <v>29.040099999999999</v>
      </c>
      <c r="AK11">
        <v>1</v>
      </c>
      <c r="AL11" s="4">
        <f>AI11-AJ11</f>
        <v>13.347311214012432</v>
      </c>
    </row>
    <row r="12" spans="1:39">
      <c r="A12" t="s">
        <v>56</v>
      </c>
      <c r="B12">
        <f>SUMIFS(Sectores!$C:$C,Sectores!$A:$A,$A12)</f>
        <v>4171</v>
      </c>
      <c r="C12">
        <f>SUMIFS(Generacion!$C:$C,Generacion!$A:$A,$A12,Generacion!$B:$B,C$2)</f>
        <v>4.3533876706587399E-2</v>
      </c>
      <c r="D12">
        <f>SUMIFS(Generacion!$C:$C,Generacion!$A:$A,$A12,Generacion!$B:$B,D$2)</f>
        <v>3.7870933395161399E-2</v>
      </c>
      <c r="E12">
        <f>SUMIFS(Generacion!$C:$C,Generacion!$A:$A,$A12,Generacion!$B:$B,E$2)</f>
        <v>1.34494903646368E-2</v>
      </c>
      <c r="F12">
        <f>SUMIFS(Generacion!$C:$C,Generacion!$A:$A,$A12,Generacion!$B:$B,F$2)</f>
        <v>3.5393395696412498E-3</v>
      </c>
      <c r="G12">
        <f>SUMIFS(Generacion!$C:$C,Generacion!$A:$A,$A12,Generacion!$B:$B,G$2)</f>
        <v>2.4775376987488701E-3</v>
      </c>
      <c r="H12">
        <f>SUMPRODUCT((AtractivoAlternativas!$A$2:$A$931=$A12)*AtractivoAlternativas!$C$2:$C$931*COUNTIFS(Alternativas!$A$2:$A$51,AtractivoAlternativas!$B$2:$B$931,Alternativas!$B$2:$B$51,H$2))</f>
        <v>0</v>
      </c>
      <c r="I12">
        <f>SUMPRODUCT((AtractivoAlternativas!$A$2:$A$931=$A12)*AtractivoAlternativas!$C$2:$C$931*COUNTIFS(Alternativas!$A$2:$A$51,AtractivoAlternativas!$B$2:$B$931,Alternativas!$B$2:$B$51,I$2))</f>
        <v>0.61812379659759886</v>
      </c>
      <c r="J12">
        <f>SUMPRODUCT((AtractivoAlternativas!$A$2:$A$931=$A12)*AtractivoAlternativas!$C$2:$C$931*COUNTIFS(Alternativas!$A$2:$A$51,AtractivoAlternativas!$B$2:$B$931,Alternativas!$B$2:$B$51,J$2))</f>
        <v>0</v>
      </c>
      <c r="K12">
        <f>SUMPRODUCT((AtractivoAlternativas!$A$2:$A$931=$A12)*AtractivoAlternativas!$C$2:$C$931*COUNTIFS(Alternativas!$A$2:$A$51,AtractivoAlternativas!$B$2:$B$931,Alternativas!$B$2:$B$51,K$2))</f>
        <v>0</v>
      </c>
      <c r="L12">
        <f>SUMPRODUCT((AtractivoAlternativas!$A$2:$A$931=$A12)*AtractivoAlternativas!$C$2:$C$931*COUNTIFS(Alternativas!$A$2:$A$51,AtractivoAlternativas!$B$2:$B$931,Alternativas!$B$2:$B$51,L$2))</f>
        <v>0</v>
      </c>
      <c r="M12">
        <f>SUMIFS(AtractivoSitios!$C:$C,AtractivoSitios!$A:$A,$A12,AtractivoSitios!$B:$B,M$2)</f>
        <v>0</v>
      </c>
      <c r="N12">
        <f>SUMIFS(AtractivoSitios!$C:$C,AtractivoSitios!$A:$A,$A12,AtractivoSitios!$B:$B,N$2)</f>
        <v>0.53102326504357256</v>
      </c>
      <c r="O12">
        <f>SUMIFS(AtractivoSitios!$C:$C,AtractivoSitios!$A:$A,$A12,AtractivoSitios!$B:$B,O$2)</f>
        <v>0</v>
      </c>
      <c r="P12">
        <f>SUMIFS(AtractivoSitios!$C:$C,AtractivoSitios!$A:$A,$A12,AtractivoSitios!$B:$B,P$2)</f>
        <v>0</v>
      </c>
      <c r="Q12">
        <f>SUMIFS(AtractivoSitios!$C:$C,AtractivoSitios!$A:$A,$A12,AtractivoSitios!$B:$B,Q$2)</f>
        <v>0</v>
      </c>
      <c r="R12">
        <f>SUMIFS(AtractivoSitios!$C:$C,AtractivoSitios!$A:$A,$A12,AtractivoSitios!$B:$B,R$2)</f>
        <v>0</v>
      </c>
      <c r="S12">
        <f>SUMIFS(AtractivoSitios!$C:$C,AtractivoSitios!$A:$A,$A12,AtractivoSitios!$B:$B,S$2)</f>
        <v>0</v>
      </c>
      <c r="T12">
        <f>SUM(M12:S12)</f>
        <v>0.53102326504357256</v>
      </c>
      <c r="U12">
        <f>C12/(AD$4+H12+$T12)</f>
        <v>1.9270993198175926E-4</v>
      </c>
      <c r="V12">
        <f>D12/(AE$4+I12+$T12)</f>
        <v>5.5615592376074627E-5</v>
      </c>
      <c r="W12">
        <f>E12/(AF$4+J12+$T12)</f>
        <v>3.2436493705103871E-4</v>
      </c>
      <c r="X12">
        <f>F12/(AG$4+K12+$T12)</f>
        <v>1.742360616326183E-5</v>
      </c>
      <c r="Y12">
        <f>G12/(AH$4+L12+$T12)</f>
        <v>1.0808522763890782E-5</v>
      </c>
      <c r="AA12" t="s">
        <v>226</v>
      </c>
      <c r="AB12" t="s">
        <v>198</v>
      </c>
      <c r="AC12" t="s">
        <v>227</v>
      </c>
      <c r="AD12">
        <f>SUMPRODUCT($B$3:$B$144,U$3:U$144,R$3:R$144)</f>
        <v>11.244909037888631</v>
      </c>
      <c r="AE12">
        <f>SUMPRODUCT($B$3:$B$144,V$3:V$144,R$3:R$144)</f>
        <v>3.263902340521895</v>
      </c>
      <c r="AF12">
        <f>SUMPRODUCT($B$3:$B$144,W$3:W$144,R$3:R$144)</f>
        <v>18.383666372921169</v>
      </c>
      <c r="AG12">
        <f>SUMPRODUCT($B$3:$B$144,X$3:X$144,R$3:R$144)</f>
        <v>1.0236733963267788</v>
      </c>
      <c r="AH12">
        <f>SUMPRODUCT($B$3:$B$144,Y$3:Y$144,R$3:R$144)</f>
        <v>0.6353154177260153</v>
      </c>
      <c r="AI12">
        <f>SUM(AD12:AH12)</f>
        <v>34.551466565384487</v>
      </c>
      <c r="AJ12">
        <v>30.7364</v>
      </c>
      <c r="AK12">
        <v>1</v>
      </c>
      <c r="AL12" s="4">
        <f>AI12-AJ12</f>
        <v>3.8150665653844875</v>
      </c>
    </row>
    <row r="13" spans="1:39">
      <c r="A13" t="s">
        <v>57</v>
      </c>
      <c r="B13">
        <f>SUMIFS(Sectores!$C:$C,Sectores!$A:$A,$A13)</f>
        <v>2572</v>
      </c>
      <c r="C13">
        <f>SUMIFS(Generacion!$C:$C,Generacion!$A:$A,$A13,Generacion!$B:$B,C$2)</f>
        <v>4.3533876706587399E-2</v>
      </c>
      <c r="D13">
        <f>SUMIFS(Generacion!$C:$C,Generacion!$A:$A,$A13,Generacion!$B:$B,D$2)</f>
        <v>3.7870933395161399E-2</v>
      </c>
      <c r="E13">
        <f>SUMIFS(Generacion!$C:$C,Generacion!$A:$A,$A13,Generacion!$B:$B,E$2)</f>
        <v>1.34494903646368E-2</v>
      </c>
      <c r="F13">
        <f>SUMIFS(Generacion!$C:$C,Generacion!$A:$A,$A13,Generacion!$B:$B,F$2)</f>
        <v>3.5393395696412498E-3</v>
      </c>
      <c r="G13">
        <f>SUMIFS(Generacion!$C:$C,Generacion!$A:$A,$A13,Generacion!$B:$B,G$2)</f>
        <v>2.4775376987488701E-3</v>
      </c>
      <c r="H13">
        <f>SUMPRODUCT((AtractivoAlternativas!$A$2:$A$931=$A13)*AtractivoAlternativas!$C$2:$C$931*COUNTIFS(Alternativas!$A$2:$A$51,AtractivoAlternativas!$B$2:$B$931,Alternativas!$B$2:$B$51,H$2))</f>
        <v>0</v>
      </c>
      <c r="I13">
        <f>SUMPRODUCT((AtractivoAlternativas!$A$2:$A$931=$A13)*AtractivoAlternativas!$C$2:$C$931*COUNTIFS(Alternativas!$A$2:$A$51,AtractivoAlternativas!$B$2:$B$931,Alternativas!$B$2:$B$51,I$2))</f>
        <v>0.88566905943207219</v>
      </c>
      <c r="J13">
        <f>SUMPRODUCT((AtractivoAlternativas!$A$2:$A$931=$A13)*AtractivoAlternativas!$C$2:$C$931*COUNTIFS(Alternativas!$A$2:$A$51,AtractivoAlternativas!$B$2:$B$931,Alternativas!$B$2:$B$51,J$2))</f>
        <v>0</v>
      </c>
      <c r="K13">
        <f>SUMPRODUCT((AtractivoAlternativas!$A$2:$A$931=$A13)*AtractivoAlternativas!$C$2:$C$931*COUNTIFS(Alternativas!$A$2:$A$51,AtractivoAlternativas!$B$2:$B$931,Alternativas!$B$2:$B$51,K$2))</f>
        <v>0</v>
      </c>
      <c r="L13">
        <f>SUMPRODUCT((AtractivoAlternativas!$A$2:$A$931=$A13)*AtractivoAlternativas!$C$2:$C$931*COUNTIFS(Alternativas!$A$2:$A$51,AtractivoAlternativas!$B$2:$B$931,Alternativas!$B$2:$B$51,L$2))</f>
        <v>0</v>
      </c>
      <c r="M13">
        <f>SUMIFS(AtractivoSitios!$C:$C,AtractivoSitios!$A:$A,$A13,AtractivoSitios!$B:$B,M$2)</f>
        <v>0</v>
      </c>
      <c r="N13">
        <f>SUMIFS(AtractivoSitios!$C:$C,AtractivoSitios!$A:$A,$A13,AtractivoSitios!$B:$B,N$2)</f>
        <v>0.76924544015574259</v>
      </c>
      <c r="O13">
        <f>SUMIFS(AtractivoSitios!$C:$C,AtractivoSitios!$A:$A,$A13,AtractivoSitios!$B:$B,O$2)</f>
        <v>0</v>
      </c>
      <c r="P13">
        <f>SUMIFS(AtractivoSitios!$C:$C,AtractivoSitios!$A:$A,$A13,AtractivoSitios!$B:$B,P$2)</f>
        <v>0</v>
      </c>
      <c r="Q13">
        <f>SUMIFS(AtractivoSitios!$C:$C,AtractivoSitios!$A:$A,$A13,AtractivoSitios!$B:$B,Q$2)</f>
        <v>0</v>
      </c>
      <c r="R13">
        <f>SUMIFS(AtractivoSitios!$C:$C,AtractivoSitios!$A:$A,$A13,AtractivoSitios!$B:$B,R$2)</f>
        <v>0</v>
      </c>
      <c r="S13">
        <f>SUMIFS(AtractivoSitios!$C:$C,AtractivoSitios!$A:$A,$A13,AtractivoSitios!$B:$B,S$2)</f>
        <v>0</v>
      </c>
      <c r="T13">
        <f>SUM(M13:S13)</f>
        <v>0.76924544015574259</v>
      </c>
      <c r="U13">
        <f>C13/(AD$4+H13+$T13)</f>
        <v>1.9250692765064069E-4</v>
      </c>
      <c r="V13">
        <f>D13/(AE$4+I13+$T13)</f>
        <v>5.5574314671416033E-5</v>
      </c>
      <c r="W13">
        <f>E13/(AF$4+J13+$T13)</f>
        <v>3.2251201920593313E-4</v>
      </c>
      <c r="X13">
        <f>F13/(AG$4+K13+$T13)</f>
        <v>1.7403196913792319E-5</v>
      </c>
      <c r="Y13">
        <f>G13/(AH$4+L13+$T13)</f>
        <v>1.079730145590021E-5</v>
      </c>
      <c r="AA13" t="s">
        <v>228</v>
      </c>
      <c r="AB13" t="s">
        <v>199</v>
      </c>
      <c r="AC13" t="s">
        <v>229</v>
      </c>
      <c r="AD13">
        <f>SUMPRODUCT($B$3:$B$144,U$3:U$144,S$3:S$144)</f>
        <v>10.652320392578831</v>
      </c>
      <c r="AE13">
        <f>SUMPRODUCT($B$3:$B$144,V$3:V$144,S$3:S$144)</f>
        <v>3.0887283668023513</v>
      </c>
      <c r="AF13">
        <f>SUMPRODUCT($B$3:$B$144,W$3:W$144,S$3:S$144)</f>
        <v>17.36604751609763</v>
      </c>
      <c r="AG13">
        <f>SUMPRODUCT($B$3:$B$144,X$3:X$144,S$3:S$144)</f>
        <v>0.96977328579932109</v>
      </c>
      <c r="AH13">
        <f>SUMPRODUCT($B$3:$B$144,Y$3:Y$144,S$3:S$144)</f>
        <v>0.60180742034419987</v>
      </c>
      <c r="AI13">
        <f>SUM(AD13:AH13)</f>
        <v>32.678676981622338</v>
      </c>
      <c r="AJ13">
        <v>5.1816000000000004</v>
      </c>
      <c r="AK13">
        <v>0</v>
      </c>
      <c r="AL13" s="4">
        <f>AI13-AJ13</f>
        <v>27.497076981622339</v>
      </c>
    </row>
    <row r="14" spans="1:39">
      <c r="A14" t="s">
        <v>58</v>
      </c>
      <c r="B14">
        <f>SUMIFS(Sectores!$C:$C,Sectores!$A:$A,$A14)</f>
        <v>5622</v>
      </c>
      <c r="C14">
        <f>SUMIFS(Generacion!$C:$C,Generacion!$A:$A,$A14,Generacion!$B:$B,C$2)</f>
        <v>4.3533876706587399E-2</v>
      </c>
      <c r="D14">
        <f>SUMIFS(Generacion!$C:$C,Generacion!$A:$A,$A14,Generacion!$B:$B,D$2)</f>
        <v>3.7870933395161399E-2</v>
      </c>
      <c r="E14">
        <f>SUMIFS(Generacion!$C:$C,Generacion!$A:$A,$A14,Generacion!$B:$B,E$2)</f>
        <v>1.34494903646368E-2</v>
      </c>
      <c r="F14">
        <f>SUMIFS(Generacion!$C:$C,Generacion!$A:$A,$A14,Generacion!$B:$B,F$2)</f>
        <v>3.5393395696412498E-3</v>
      </c>
      <c r="G14">
        <f>SUMIFS(Generacion!$C:$C,Generacion!$A:$A,$A14,Generacion!$B:$B,G$2)</f>
        <v>2.4775376987488701E-3</v>
      </c>
      <c r="H14">
        <f>SUMPRODUCT((AtractivoAlternativas!$A$2:$A$931=$A14)*AtractivoAlternativas!$C$2:$C$931*COUNTIFS(Alternativas!$A$2:$A$51,AtractivoAlternativas!$B$2:$B$931,Alternativas!$B$2:$B$51,H$2))</f>
        <v>0</v>
      </c>
      <c r="I14">
        <f>SUMPRODUCT((AtractivoAlternativas!$A$2:$A$931=$A14)*AtractivoAlternativas!$C$2:$C$931*COUNTIFS(Alternativas!$A$2:$A$51,AtractivoAlternativas!$B$2:$B$931,Alternativas!$B$2:$B$51,I$2))</f>
        <v>0</v>
      </c>
      <c r="J14">
        <f>SUMPRODUCT((AtractivoAlternativas!$A$2:$A$931=$A14)*AtractivoAlternativas!$C$2:$C$931*COUNTIFS(Alternativas!$A$2:$A$51,AtractivoAlternativas!$B$2:$B$931,Alternativas!$B$2:$B$51,J$2))</f>
        <v>0</v>
      </c>
      <c r="K14">
        <f>SUMPRODUCT((AtractivoAlternativas!$A$2:$A$931=$A14)*AtractivoAlternativas!$C$2:$C$931*COUNTIFS(Alternativas!$A$2:$A$51,AtractivoAlternativas!$B$2:$B$931,Alternativas!$B$2:$B$51,K$2))</f>
        <v>0</v>
      </c>
      <c r="L14">
        <f>SUMPRODUCT((AtractivoAlternativas!$A$2:$A$931=$A14)*AtractivoAlternativas!$C$2:$C$931*COUNTIFS(Alternativas!$A$2:$A$51,AtractivoAlternativas!$B$2:$B$931,Alternativas!$B$2:$B$51,L$2))</f>
        <v>0</v>
      </c>
      <c r="M14">
        <f>SUMIFS(AtractivoSitios!$C:$C,AtractivoSitios!$A:$A,$A14,AtractivoSitios!$B:$B,M$2)</f>
        <v>0</v>
      </c>
      <c r="N14">
        <f>SUMIFS(AtractivoSitios!$C:$C,AtractivoSitios!$A:$A,$A14,AtractivoSitios!$B:$B,N$2)</f>
        <v>0.48081444339355039</v>
      </c>
      <c r="O14">
        <f>SUMIFS(AtractivoSitios!$C:$C,AtractivoSitios!$A:$A,$A14,AtractivoSitios!$B:$B,O$2)</f>
        <v>0</v>
      </c>
      <c r="P14">
        <f>SUMIFS(AtractivoSitios!$C:$C,AtractivoSitios!$A:$A,$A14,AtractivoSitios!$B:$B,P$2)</f>
        <v>0</v>
      </c>
      <c r="Q14">
        <f>SUMIFS(AtractivoSitios!$C:$C,AtractivoSitios!$A:$A,$A14,AtractivoSitios!$B:$B,Q$2)</f>
        <v>0.37526801966481033</v>
      </c>
      <c r="R14">
        <f>SUMIFS(AtractivoSitios!$C:$C,AtractivoSitios!$A:$A,$A14,AtractivoSitios!$B:$B,R$2)</f>
        <v>0</v>
      </c>
      <c r="S14">
        <f>SUMIFS(AtractivoSitios!$C:$C,AtractivoSitios!$A:$A,$A14,AtractivoSitios!$B:$B,S$2)</f>
        <v>0</v>
      </c>
      <c r="T14">
        <f>SUM(M14:S14)</f>
        <v>0.85608246305836078</v>
      </c>
      <c r="U14">
        <f>C14/(AD$4+H14+$T14)</f>
        <v>1.924330346037899E-4</v>
      </c>
      <c r="V14">
        <f>D14/(AE$4+I14+$T14)</f>
        <v>5.5639538621992663E-5</v>
      </c>
      <c r="W14">
        <f>E14/(AF$4+J14+$T14)</f>
        <v>3.2184184530369554E-4</v>
      </c>
      <c r="X14">
        <f>F14/(AG$4+K14+$T14)</f>
        <v>1.7395769196504423E-5</v>
      </c>
      <c r="Y14">
        <f>G14/(AH$4+L14+$T14)</f>
        <v>1.079321684413832E-5</v>
      </c>
      <c r="AC14" s="10" t="s">
        <v>345</v>
      </c>
      <c r="AD14">
        <f>SUMPRODUCT(AD7:AD13,$AK$7:$AK$13)</f>
        <v>62.619043444008071</v>
      </c>
      <c r="AE14">
        <f>SUMPRODUCT(AE7:AE13,$AK$7:$AK$13)</f>
        <v>18.110695121431114</v>
      </c>
      <c r="AF14">
        <f>SUMPRODUCT(AF7:AF13,$AK$7:$AK$13)</f>
        <v>103.70604008674887</v>
      </c>
      <c r="AG14">
        <f>SUMPRODUCT(AG7:AG13,$AK$7:$AK$13)</f>
        <v>5.6843972442624136</v>
      </c>
      <c r="AH14">
        <f>SUMPRODUCT(AH7:AH13,$AK$7:$AK$13)</f>
        <v>3.5270241035503793</v>
      </c>
      <c r="AI14">
        <f>SUMPRODUCT(AI7:AI13,$AK$7:$AK$13)</f>
        <v>193.64720000000085</v>
      </c>
      <c r="AJ14">
        <f>SUMPRODUCT(AJ7:AJ13,$AK$7:$AK$13)</f>
        <v>193.6472</v>
      </c>
      <c r="AL14" s="10">
        <f>SUMPRODUCT(ABS(AL7:AL13),AK7:AK13)</f>
        <v>64.156804719083993</v>
      </c>
      <c r="AM14" s="4" t="s">
        <v>346</v>
      </c>
    </row>
    <row r="15" spans="1:39">
      <c r="A15" t="s">
        <v>59</v>
      </c>
      <c r="B15">
        <f>SUMIFS(Sectores!$C:$C,Sectores!$A:$A,$A15)</f>
        <v>2139</v>
      </c>
      <c r="C15">
        <f>SUMIFS(Generacion!$C:$C,Generacion!$A:$A,$A15,Generacion!$B:$B,C$2)</f>
        <v>4.3533876706587399E-2</v>
      </c>
      <c r="D15">
        <f>SUMIFS(Generacion!$C:$C,Generacion!$A:$A,$A15,Generacion!$B:$B,D$2)</f>
        <v>3.7870933395161399E-2</v>
      </c>
      <c r="E15">
        <f>SUMIFS(Generacion!$C:$C,Generacion!$A:$A,$A15,Generacion!$B:$B,E$2)</f>
        <v>1.34494903646368E-2</v>
      </c>
      <c r="F15">
        <f>SUMIFS(Generacion!$C:$C,Generacion!$A:$A,$A15,Generacion!$B:$B,F$2)</f>
        <v>3.5393395696412498E-3</v>
      </c>
      <c r="G15">
        <f>SUMIFS(Generacion!$C:$C,Generacion!$A:$A,$A15,Generacion!$B:$B,G$2)</f>
        <v>2.4775376987488701E-3</v>
      </c>
      <c r="H15">
        <f>SUMPRODUCT((AtractivoAlternativas!$A$2:$A$931=$A15)*AtractivoAlternativas!$C$2:$C$931*COUNTIFS(Alternativas!$A$2:$A$51,AtractivoAlternativas!$B$2:$B$931,Alternativas!$B$2:$B$51,H$2))</f>
        <v>0</v>
      </c>
      <c r="I15">
        <f>SUMPRODUCT((AtractivoAlternativas!$A$2:$A$931=$A15)*AtractivoAlternativas!$C$2:$C$931*COUNTIFS(Alternativas!$A$2:$A$51,AtractivoAlternativas!$B$2:$B$931,Alternativas!$B$2:$B$51,I$2))</f>
        <v>0.42491669610650801</v>
      </c>
      <c r="J15">
        <f>SUMPRODUCT((AtractivoAlternativas!$A$2:$A$931=$A15)*AtractivoAlternativas!$C$2:$C$931*COUNTIFS(Alternativas!$A$2:$A$51,AtractivoAlternativas!$B$2:$B$931,Alternativas!$B$2:$B$51,J$2))</f>
        <v>0</v>
      </c>
      <c r="K15">
        <f>SUMPRODUCT((AtractivoAlternativas!$A$2:$A$931=$A15)*AtractivoAlternativas!$C$2:$C$931*COUNTIFS(Alternativas!$A$2:$A$51,AtractivoAlternativas!$B$2:$B$931,Alternativas!$B$2:$B$51,K$2))</f>
        <v>0</v>
      </c>
      <c r="L15">
        <f>SUMPRODUCT((AtractivoAlternativas!$A$2:$A$931=$A15)*AtractivoAlternativas!$C$2:$C$931*COUNTIFS(Alternativas!$A$2:$A$51,AtractivoAlternativas!$B$2:$B$931,Alternativas!$B$2:$B$51,L$2))</f>
        <v>0</v>
      </c>
      <c r="M15">
        <f>SUMIFS(AtractivoSitios!$C:$C,AtractivoSitios!$A:$A,$A15,AtractivoSitios!$B:$B,M$2)</f>
        <v>0</v>
      </c>
      <c r="N15">
        <f>SUMIFS(AtractivoSitios!$C:$C,AtractivoSitios!$A:$A,$A15,AtractivoSitios!$B:$B,N$2)</f>
        <v>0.66419732247451657</v>
      </c>
      <c r="O15">
        <f>SUMIFS(AtractivoSitios!$C:$C,AtractivoSitios!$A:$A,$A15,AtractivoSitios!$B:$B,O$2)</f>
        <v>0</v>
      </c>
      <c r="P15">
        <f>SUMIFS(AtractivoSitios!$C:$C,AtractivoSitios!$A:$A,$A15,AtractivoSitios!$B:$B,P$2)</f>
        <v>0</v>
      </c>
      <c r="Q15">
        <f>SUMIFS(AtractivoSitios!$C:$C,AtractivoSitios!$A:$A,$A15,AtractivoSitios!$B:$B,Q$2)</f>
        <v>0.45872214868590788</v>
      </c>
      <c r="R15">
        <f>SUMIFS(AtractivoSitios!$C:$C,AtractivoSitios!$A:$A,$A15,AtractivoSitios!$B:$B,R$2)</f>
        <v>0</v>
      </c>
      <c r="S15">
        <f>SUMIFS(AtractivoSitios!$C:$C,AtractivoSitios!$A:$A,$A15,AtractivoSitios!$B:$B,S$2)</f>
        <v>0</v>
      </c>
      <c r="T15">
        <f>SUM(M15:S15)</f>
        <v>1.1229194711604245</v>
      </c>
      <c r="U15">
        <f>C15/(AD$4+H15+$T15)</f>
        <v>1.9220632703072959E-4</v>
      </c>
      <c r="V15">
        <f>D15/(AE$4+I15+$T15)</f>
        <v>5.5583048648916526E-5</v>
      </c>
      <c r="W15">
        <f>E15/(AF$4+J15+$T15)</f>
        <v>3.1979982074923469E-4</v>
      </c>
      <c r="X15">
        <f>F15/(AG$4+K15+$T15)</f>
        <v>1.737298457062934E-5</v>
      </c>
      <c r="Y15">
        <f>G15/(AH$4+L15+$T15)</f>
        <v>1.0780684767540667E-5</v>
      </c>
      <c r="AC15" s="10" t="s">
        <v>347</v>
      </c>
      <c r="AD15">
        <v>64.294600000000003</v>
      </c>
      <c r="AE15">
        <v>18.595300000000002</v>
      </c>
      <c r="AF15">
        <v>106.48099999999999</v>
      </c>
      <c r="AG15">
        <v>5.8365</v>
      </c>
      <c r="AH15">
        <v>3.6214</v>
      </c>
      <c r="AI15">
        <f>SUM(AD15:AH15)</f>
        <v>198.8288</v>
      </c>
    </row>
    <row r="16" spans="1:39">
      <c r="A16" t="s">
        <v>60</v>
      </c>
      <c r="B16">
        <f>SUMIFS(Sectores!$C:$C,Sectores!$A:$A,$A16)</f>
        <v>5940</v>
      </c>
      <c r="C16">
        <f>SUMIFS(Generacion!$C:$C,Generacion!$A:$A,$A16,Generacion!$B:$B,C$2)</f>
        <v>4.3533876706587399E-2</v>
      </c>
      <c r="D16">
        <f>SUMIFS(Generacion!$C:$C,Generacion!$A:$A,$A16,Generacion!$B:$B,D$2)</f>
        <v>3.7870933395161399E-2</v>
      </c>
      <c r="E16">
        <f>SUMIFS(Generacion!$C:$C,Generacion!$A:$A,$A16,Generacion!$B:$B,E$2)</f>
        <v>1.34494903646368E-2</v>
      </c>
      <c r="F16">
        <f>SUMIFS(Generacion!$C:$C,Generacion!$A:$A,$A16,Generacion!$B:$B,F$2)</f>
        <v>3.5393395696412498E-3</v>
      </c>
      <c r="G16">
        <f>SUMIFS(Generacion!$C:$C,Generacion!$A:$A,$A16,Generacion!$B:$B,G$2)</f>
        <v>2.4775376987488701E-3</v>
      </c>
      <c r="H16">
        <f>SUMPRODUCT((AtractivoAlternativas!$A$2:$A$931=$A16)*AtractivoAlternativas!$C$2:$C$931*COUNTIFS(Alternativas!$A$2:$A$51,AtractivoAlternativas!$B$2:$B$931,Alternativas!$B$2:$B$51,H$2))</f>
        <v>0</v>
      </c>
      <c r="I16">
        <f>SUMPRODUCT((AtractivoAlternativas!$A$2:$A$931=$A16)*AtractivoAlternativas!$C$2:$C$931*COUNTIFS(Alternativas!$A$2:$A$51,AtractivoAlternativas!$B$2:$B$931,Alternativas!$B$2:$B$51,I$2))</f>
        <v>0.38501372491650776</v>
      </c>
      <c r="J16">
        <f>SUMPRODUCT((AtractivoAlternativas!$A$2:$A$931=$A16)*AtractivoAlternativas!$C$2:$C$931*COUNTIFS(Alternativas!$A$2:$A$51,AtractivoAlternativas!$B$2:$B$931,Alternativas!$B$2:$B$51,J$2))</f>
        <v>0</v>
      </c>
      <c r="K16">
        <f>SUMPRODUCT((AtractivoAlternativas!$A$2:$A$931=$A16)*AtractivoAlternativas!$C$2:$C$931*COUNTIFS(Alternativas!$A$2:$A$51,AtractivoAlternativas!$B$2:$B$931,Alternativas!$B$2:$B$51,K$2))</f>
        <v>0</v>
      </c>
      <c r="L16">
        <f>SUMPRODUCT((AtractivoAlternativas!$A$2:$A$931=$A16)*AtractivoAlternativas!$C$2:$C$931*COUNTIFS(Alternativas!$A$2:$A$51,AtractivoAlternativas!$B$2:$B$931,Alternativas!$B$2:$B$51,L$2))</f>
        <v>0</v>
      </c>
      <c r="M16">
        <f>SUMIFS(AtractivoSitios!$C:$C,AtractivoSitios!$A:$A,$A16,AtractivoSitios!$B:$B,M$2)</f>
        <v>0</v>
      </c>
      <c r="N16">
        <f>SUMIFS(AtractivoSitios!$C:$C,AtractivoSitios!$A:$A,$A16,AtractivoSitios!$B:$B,N$2)</f>
        <v>0.69923326749739712</v>
      </c>
      <c r="O16">
        <f>SUMIFS(AtractivoSitios!$C:$C,AtractivoSitios!$A:$A,$A16,AtractivoSitios!$B:$B,O$2)</f>
        <v>0</v>
      </c>
      <c r="P16">
        <f>SUMIFS(AtractivoSitios!$C:$C,AtractivoSitios!$A:$A,$A16,AtractivoSitios!$B:$B,P$2)</f>
        <v>0</v>
      </c>
      <c r="Q16">
        <f>SUMIFS(AtractivoSitios!$C:$C,AtractivoSitios!$A:$A,$A16,AtractivoSitios!$B:$B,Q$2)</f>
        <v>0</v>
      </c>
      <c r="R16">
        <f>SUMIFS(AtractivoSitios!$C:$C,AtractivoSitios!$A:$A,$A16,AtractivoSitios!$B:$B,R$2)</f>
        <v>0</v>
      </c>
      <c r="S16">
        <f>SUMIFS(AtractivoSitios!$C:$C,AtractivoSitios!$A:$A,$A16,AtractivoSitios!$B:$B,S$2)</f>
        <v>0</v>
      </c>
      <c r="T16">
        <f>SUM(M16:S16)</f>
        <v>0.69923326749739712</v>
      </c>
      <c r="U16">
        <f>C16/(AD$4+H16+$T16)</f>
        <v>1.9256654510305273E-4</v>
      </c>
      <c r="V16">
        <f>D16/(AE$4+I16+$T16)</f>
        <v>5.5620893569856725E-5</v>
      </c>
      <c r="W16">
        <f>E16/(AF$4+J16+$T16)</f>
        <v>3.2305438122222238E-4</v>
      </c>
      <c r="X16">
        <f>F16/(AG$4+K16+$T16)</f>
        <v>1.7409190115930586E-5</v>
      </c>
      <c r="Y16">
        <f>G16/(AH$4+L16+$T16)</f>
        <v>1.080059691760168E-5</v>
      </c>
      <c r="AC16" s="10" t="s">
        <v>348</v>
      </c>
      <c r="AD16">
        <f>SUMPRODUCT(1-$AK$7:$AK$13,$AJ$7:$AJ$13)*AD15/$AI$15</f>
        <v>1.6755565559918886</v>
      </c>
      <c r="AE16">
        <f>SUMPRODUCT(1-$AK$7:$AK$13,$AJ$7:$AJ$13)*AE15/$AI$15</f>
        <v>0.48460487856889956</v>
      </c>
      <c r="AF16">
        <f>SUMPRODUCT(1-$AK$7:$AK$13,$AJ$7:$AJ$13)*AF15/$AI$15</f>
        <v>2.7749599132520038</v>
      </c>
      <c r="AG16">
        <f>SUMPRODUCT(1-$AK$7:$AK$13,$AJ$7:$AJ$13)*AG15/$AI$15</f>
        <v>0.1521027557375994</v>
      </c>
      <c r="AH16">
        <f>SUMPRODUCT(1-$AK$7:$AK$13,$AJ$7:$AJ$13)*AH15/$AI$15</f>
        <v>9.437589644960892E-2</v>
      </c>
    </row>
    <row r="17" spans="1:34">
      <c r="A17" t="s">
        <v>61</v>
      </c>
      <c r="B17">
        <f>SUMIFS(Sectores!$C:$C,Sectores!$A:$A,$A17)</f>
        <v>3093</v>
      </c>
      <c r="C17">
        <f>SUMIFS(Generacion!$C:$C,Generacion!$A:$A,$A17,Generacion!$B:$B,C$2)</f>
        <v>4.3533876706587399E-2</v>
      </c>
      <c r="D17">
        <f>SUMIFS(Generacion!$C:$C,Generacion!$A:$A,$A17,Generacion!$B:$B,D$2)</f>
        <v>3.7870933395161399E-2</v>
      </c>
      <c r="E17">
        <f>SUMIFS(Generacion!$C:$C,Generacion!$A:$A,$A17,Generacion!$B:$B,E$2)</f>
        <v>1.34494903646368E-2</v>
      </c>
      <c r="F17">
        <f>SUMIFS(Generacion!$C:$C,Generacion!$A:$A,$A17,Generacion!$B:$B,F$2)</f>
        <v>3.5393395696412498E-3</v>
      </c>
      <c r="G17">
        <f>SUMIFS(Generacion!$C:$C,Generacion!$A:$A,$A17,Generacion!$B:$B,G$2)</f>
        <v>2.4775376987488701E-3</v>
      </c>
      <c r="H17">
        <f>SUMPRODUCT((AtractivoAlternativas!$A$2:$A$931=$A17)*AtractivoAlternativas!$C$2:$C$931*COUNTIFS(Alternativas!$A$2:$A$51,AtractivoAlternativas!$B$2:$B$931,Alternativas!$B$2:$B$51,H$2))</f>
        <v>0</v>
      </c>
      <c r="I17">
        <f>SUMPRODUCT((AtractivoAlternativas!$A$2:$A$931=$A17)*AtractivoAlternativas!$C$2:$C$931*COUNTIFS(Alternativas!$A$2:$A$51,AtractivoAlternativas!$B$2:$B$931,Alternativas!$B$2:$B$51,I$2))</f>
        <v>0.45815639396507424</v>
      </c>
      <c r="J17">
        <f>SUMPRODUCT((AtractivoAlternativas!$A$2:$A$931=$A17)*AtractivoAlternativas!$C$2:$C$931*COUNTIFS(Alternativas!$A$2:$A$51,AtractivoAlternativas!$B$2:$B$931,Alternativas!$B$2:$B$51,J$2))</f>
        <v>0</v>
      </c>
      <c r="K17">
        <f>SUMPRODUCT((AtractivoAlternativas!$A$2:$A$931=$A17)*AtractivoAlternativas!$C$2:$C$931*COUNTIFS(Alternativas!$A$2:$A$51,AtractivoAlternativas!$B$2:$B$931,Alternativas!$B$2:$B$51,K$2))</f>
        <v>0</v>
      </c>
      <c r="L17">
        <f>SUMPRODUCT((AtractivoAlternativas!$A$2:$A$931=$A17)*AtractivoAlternativas!$C$2:$C$931*COUNTIFS(Alternativas!$A$2:$A$51,AtractivoAlternativas!$B$2:$B$931,Alternativas!$B$2:$B$51,L$2))</f>
        <v>0</v>
      </c>
      <c r="M17">
        <f>SUMIFS(AtractivoSitios!$C:$C,AtractivoSitios!$A:$A,$A17,AtractivoSitios!$B:$B,M$2)</f>
        <v>0</v>
      </c>
      <c r="N17">
        <f>SUMIFS(AtractivoSitios!$C:$C,AtractivoSitios!$A:$A,$A17,AtractivoSitios!$B:$B,N$2)</f>
        <v>0.53431086111775039</v>
      </c>
      <c r="O17">
        <f>SUMIFS(AtractivoSitios!$C:$C,AtractivoSitios!$A:$A,$A17,AtractivoSitios!$B:$B,O$2)</f>
        <v>0</v>
      </c>
      <c r="P17">
        <f>SUMIFS(AtractivoSitios!$C:$C,AtractivoSitios!$A:$A,$A17,AtractivoSitios!$B:$B,P$2)</f>
        <v>0</v>
      </c>
      <c r="Q17">
        <f>SUMIFS(AtractivoSitios!$C:$C,AtractivoSitios!$A:$A,$A17,AtractivoSitios!$B:$B,Q$2)</f>
        <v>0</v>
      </c>
      <c r="R17">
        <f>SUMIFS(AtractivoSitios!$C:$C,AtractivoSitios!$A:$A,$A17,AtractivoSitios!$B:$B,R$2)</f>
        <v>0</v>
      </c>
      <c r="S17">
        <f>SUMIFS(AtractivoSitios!$C:$C,AtractivoSitios!$A:$A,$A17,AtractivoSitios!$B:$B,S$2)</f>
        <v>0</v>
      </c>
      <c r="T17">
        <f>SUM(M17:S17)</f>
        <v>0.53431086111775039</v>
      </c>
      <c r="U17">
        <f>C17/(AD$4+H17+$T17)</f>
        <v>1.9270712749763308E-4</v>
      </c>
      <c r="V17">
        <f>D17/(AE$4+I17+$T17)</f>
        <v>5.5628392084949479E-5</v>
      </c>
      <c r="W17">
        <f>E17/(AF$4+J17+$T17)</f>
        <v>3.2433922089831839E-4</v>
      </c>
      <c r="X17">
        <f>F17/(AG$4+K17+$T17)</f>
        <v>1.7423324178730747E-5</v>
      </c>
      <c r="Y17">
        <f>G17/(AH$4+L17+$T17)</f>
        <v>1.08083677449961E-5</v>
      </c>
      <c r="AC17" s="10" t="s">
        <v>349</v>
      </c>
      <c r="AD17">
        <f>AD15-AD16</f>
        <v>62.619043444008113</v>
      </c>
      <c r="AE17">
        <f>AE15-AE16</f>
        <v>18.110695121431103</v>
      </c>
      <c r="AF17">
        <f>AF15-AF16</f>
        <v>103.70604008674799</v>
      </c>
      <c r="AG17">
        <f>AG15-AG16</f>
        <v>5.6843972442624002</v>
      </c>
      <c r="AH17">
        <f>AH15-AH16</f>
        <v>3.5270241035503909</v>
      </c>
    </row>
    <row r="18" spans="1:34">
      <c r="A18" t="s">
        <v>62</v>
      </c>
      <c r="B18">
        <f>SUMIFS(Sectores!$C:$C,Sectores!$A:$A,$A18)</f>
        <v>4980</v>
      </c>
      <c r="C18">
        <f>SUMIFS(Generacion!$C:$C,Generacion!$A:$A,$A18,Generacion!$B:$B,C$2)</f>
        <v>4.3533876706587399E-2</v>
      </c>
      <c r="D18">
        <f>SUMIFS(Generacion!$C:$C,Generacion!$A:$A,$A18,Generacion!$B:$B,D$2)</f>
        <v>3.7870933395161399E-2</v>
      </c>
      <c r="E18">
        <f>SUMIFS(Generacion!$C:$C,Generacion!$A:$A,$A18,Generacion!$B:$B,E$2)</f>
        <v>1.34494903646368E-2</v>
      </c>
      <c r="F18">
        <f>SUMIFS(Generacion!$C:$C,Generacion!$A:$A,$A18,Generacion!$B:$B,F$2)</f>
        <v>3.5393395696412498E-3</v>
      </c>
      <c r="G18">
        <f>SUMIFS(Generacion!$C:$C,Generacion!$A:$A,$A18,Generacion!$B:$B,G$2)</f>
        <v>2.4775376987488701E-3</v>
      </c>
      <c r="H18">
        <f>SUMPRODUCT((AtractivoAlternativas!$A$2:$A$931=$A18)*AtractivoAlternativas!$C$2:$C$931*COUNTIFS(Alternativas!$A$2:$A$51,AtractivoAlternativas!$B$2:$B$931,Alternativas!$B$2:$B$51,H$2))</f>
        <v>0.51928351547716489</v>
      </c>
      <c r="I18">
        <f>SUMPRODUCT((AtractivoAlternativas!$A$2:$A$931=$A18)*AtractivoAlternativas!$C$2:$C$931*COUNTIFS(Alternativas!$A$2:$A$51,AtractivoAlternativas!$B$2:$B$931,Alternativas!$B$2:$B$51,I$2))</f>
        <v>1.5331003654048476</v>
      </c>
      <c r="J18">
        <f>SUMPRODUCT((AtractivoAlternativas!$A$2:$A$931=$A18)*AtractivoAlternativas!$C$2:$C$931*COUNTIFS(Alternativas!$A$2:$A$51,AtractivoAlternativas!$B$2:$B$931,Alternativas!$B$2:$B$51,J$2))</f>
        <v>0.91897571813208789</v>
      </c>
      <c r="K18">
        <f>SUMPRODUCT((AtractivoAlternativas!$A$2:$A$931=$A18)*AtractivoAlternativas!$C$2:$C$931*COUNTIFS(Alternativas!$A$2:$A$51,AtractivoAlternativas!$B$2:$B$931,Alternativas!$B$2:$B$51,K$2))</f>
        <v>0</v>
      </c>
      <c r="L18">
        <f>SUMPRODUCT((AtractivoAlternativas!$A$2:$A$931=$A18)*AtractivoAlternativas!$C$2:$C$931*COUNTIFS(Alternativas!$A$2:$A$51,AtractivoAlternativas!$B$2:$B$931,Alternativas!$B$2:$B$51,L$2))</f>
        <v>0</v>
      </c>
      <c r="M18">
        <f>SUMIFS(AtractivoSitios!$C:$C,AtractivoSitios!$A:$A,$A18,AtractivoSitios!$B:$B,M$2)</f>
        <v>0</v>
      </c>
      <c r="N18">
        <f>SUMIFS(AtractivoSitios!$C:$C,AtractivoSitios!$A:$A,$A18,AtractivoSitios!$B:$B,N$2)</f>
        <v>0</v>
      </c>
      <c r="O18">
        <f>SUMIFS(AtractivoSitios!$C:$C,AtractivoSitios!$A:$A,$A18,AtractivoSitios!$B:$B,O$2)</f>
        <v>0</v>
      </c>
      <c r="P18">
        <f>SUMIFS(AtractivoSitios!$C:$C,AtractivoSitios!$A:$A,$A18,AtractivoSitios!$B:$B,P$2)</f>
        <v>0</v>
      </c>
      <c r="Q18">
        <f>SUMIFS(AtractivoSitios!$C:$C,AtractivoSitios!$A:$A,$A18,AtractivoSitios!$B:$B,Q$2)</f>
        <v>0.75254282060728894</v>
      </c>
      <c r="R18">
        <f>SUMIFS(AtractivoSitios!$C:$C,AtractivoSitios!$A:$A,$A18,AtractivoSitios!$B:$B,R$2)</f>
        <v>0</v>
      </c>
      <c r="S18">
        <f>SUMIFS(AtractivoSitios!$C:$C,AtractivoSitios!$A:$A,$A18,AtractivoSitios!$B:$B,S$2)</f>
        <v>0</v>
      </c>
      <c r="T18">
        <f>SUM(M18:S18)</f>
        <v>0.75254282060728894</v>
      </c>
      <c r="U18">
        <f>C18/(AD$4+H18+$T18)</f>
        <v>1.9208004623542154E-4</v>
      </c>
      <c r="V18">
        <f>D18/(AE$4+I18+$T18)</f>
        <v>5.5522924150392762E-5</v>
      </c>
      <c r="W18">
        <f>E18/(AF$4+J18+$T18)</f>
        <v>3.1568190795044096E-4</v>
      </c>
      <c r="X18">
        <f>F18/(AG$4+K18+$T18)</f>
        <v>1.7404626321418867E-5</v>
      </c>
      <c r="Y18">
        <f>G18/(AH$4+L18+$T18)</f>
        <v>1.0798087462848259E-5</v>
      </c>
      <c r="AC18" s="10" t="s">
        <v>350</v>
      </c>
      <c r="AD18" s="30">
        <f>AD14-AD17</f>
        <v>0</v>
      </c>
      <c r="AE18" s="30">
        <f>AE14-AE17</f>
        <v>0</v>
      </c>
      <c r="AF18" s="30">
        <f>AF14-AF17</f>
        <v>8.8107299234252423E-13</v>
      </c>
      <c r="AG18" s="30">
        <f>AG14-AG17</f>
        <v>1.3322676295501878E-14</v>
      </c>
      <c r="AH18" s="30">
        <f>AH14-AH17</f>
        <v>-1.1546319456101628E-14</v>
      </c>
    </row>
    <row r="19" spans="1:34">
      <c r="A19" t="s">
        <v>63</v>
      </c>
      <c r="B19">
        <f>SUMIFS(Sectores!$C:$C,Sectores!$A:$A,$A19)</f>
        <v>4837</v>
      </c>
      <c r="C19">
        <f>SUMIFS(Generacion!$C:$C,Generacion!$A:$A,$A19,Generacion!$B:$B,C$2)</f>
        <v>4.3533876706587399E-2</v>
      </c>
      <c r="D19">
        <f>SUMIFS(Generacion!$C:$C,Generacion!$A:$A,$A19,Generacion!$B:$B,D$2)</f>
        <v>3.7870933395161399E-2</v>
      </c>
      <c r="E19">
        <f>SUMIFS(Generacion!$C:$C,Generacion!$A:$A,$A19,Generacion!$B:$B,E$2)</f>
        <v>1.34494903646368E-2</v>
      </c>
      <c r="F19">
        <f>SUMIFS(Generacion!$C:$C,Generacion!$A:$A,$A19,Generacion!$B:$B,F$2)</f>
        <v>3.5393395696412498E-3</v>
      </c>
      <c r="G19">
        <f>SUMIFS(Generacion!$C:$C,Generacion!$A:$A,$A19,Generacion!$B:$B,G$2)</f>
        <v>2.4775376987488701E-3</v>
      </c>
      <c r="H19">
        <f>SUMPRODUCT((AtractivoAlternativas!$A$2:$A$931=$A19)*AtractivoAlternativas!$C$2:$C$931*COUNTIFS(Alternativas!$A$2:$A$51,AtractivoAlternativas!$B$2:$B$931,Alternativas!$B$2:$B$51,H$2))</f>
        <v>0.90799196771257973</v>
      </c>
      <c r="I19">
        <f>SUMPRODUCT((AtractivoAlternativas!$A$2:$A$931=$A19)*AtractivoAlternativas!$C$2:$C$931*COUNTIFS(Alternativas!$A$2:$A$51,AtractivoAlternativas!$B$2:$B$931,Alternativas!$B$2:$B$51,I$2))</f>
        <v>3.1924859720552798</v>
      </c>
      <c r="J19">
        <f>SUMPRODUCT((AtractivoAlternativas!$A$2:$A$931=$A19)*AtractivoAlternativas!$C$2:$C$931*COUNTIFS(Alternativas!$A$2:$A$51,AtractivoAlternativas!$B$2:$B$931,Alternativas!$B$2:$B$51,J$2))</f>
        <v>1.0034252324575499</v>
      </c>
      <c r="K19">
        <f>SUMPRODUCT((AtractivoAlternativas!$A$2:$A$931=$A19)*AtractivoAlternativas!$C$2:$C$931*COUNTIFS(Alternativas!$A$2:$A$51,AtractivoAlternativas!$B$2:$B$931,Alternativas!$B$2:$B$51,K$2))</f>
        <v>0</v>
      </c>
      <c r="L19">
        <f>SUMPRODUCT((AtractivoAlternativas!$A$2:$A$931=$A19)*AtractivoAlternativas!$C$2:$C$931*COUNTIFS(Alternativas!$A$2:$A$51,AtractivoAlternativas!$B$2:$B$931,Alternativas!$B$2:$B$51,L$2))</f>
        <v>0</v>
      </c>
      <c r="M19">
        <f>SUMIFS(AtractivoSitios!$C:$C,AtractivoSitios!$A:$A,$A19,AtractivoSitios!$B:$B,M$2)</f>
        <v>0</v>
      </c>
      <c r="N19">
        <f>SUMIFS(AtractivoSitios!$C:$C,AtractivoSitios!$A:$A,$A19,AtractivoSitios!$B:$B,N$2)</f>
        <v>0</v>
      </c>
      <c r="O19">
        <f>SUMIFS(AtractivoSitios!$C:$C,AtractivoSitios!$A:$A,$A19,AtractivoSitios!$B:$B,O$2)</f>
        <v>0</v>
      </c>
      <c r="P19">
        <f>SUMIFS(AtractivoSitios!$C:$C,AtractivoSitios!$A:$A,$A19,AtractivoSitios!$B:$B,P$2)</f>
        <v>0</v>
      </c>
      <c r="Q19">
        <f>SUMIFS(AtractivoSitios!$C:$C,AtractivoSitios!$A:$A,$A19,AtractivoSitios!$B:$B,Q$2)</f>
        <v>0.52544696235221411</v>
      </c>
      <c r="R19">
        <f>SUMIFS(AtractivoSitios!$C:$C,AtractivoSitios!$A:$A,$A19,AtractivoSitios!$B:$B,R$2)</f>
        <v>0</v>
      </c>
      <c r="S19">
        <f>SUMIFS(AtractivoSitios!$C:$C,AtractivoSitios!$A:$A,$A19,AtractivoSitios!$B:$B,S$2)</f>
        <v>0</v>
      </c>
      <c r="T19">
        <f>SUM(M19:S19)</f>
        <v>0.52544696235221411</v>
      </c>
      <c r="U19">
        <f>C19/(AD$4+H19+$T19)</f>
        <v>1.9194317796137535E-4</v>
      </c>
      <c r="V19">
        <f>D19/(AE$4+I19+$T19)</f>
        <v>5.5406576258334797E-5</v>
      </c>
      <c r="W19">
        <f>E19/(AF$4+J19+$T19)</f>
        <v>3.1674240807492152E-4</v>
      </c>
      <c r="X19">
        <f>F19/(AG$4+K19+$T19)</f>
        <v>1.7424084476193203E-5</v>
      </c>
      <c r="Y19">
        <f>G19/(AH$4+L19+$T19)</f>
        <v>1.0808785711554753E-5</v>
      </c>
    </row>
    <row r="20" spans="1:34">
      <c r="A20" t="s">
        <v>64</v>
      </c>
      <c r="B20">
        <f>SUMIFS(Sectores!$C:$C,Sectores!$A:$A,$A20)</f>
        <v>9872</v>
      </c>
      <c r="C20">
        <f>SUMIFS(Generacion!$C:$C,Generacion!$A:$A,$A20,Generacion!$B:$B,C$2)</f>
        <v>4.3533876706587399E-2</v>
      </c>
      <c r="D20">
        <f>SUMIFS(Generacion!$C:$C,Generacion!$A:$A,$A20,Generacion!$B:$B,D$2)</f>
        <v>3.7870933395161399E-2</v>
      </c>
      <c r="E20">
        <f>SUMIFS(Generacion!$C:$C,Generacion!$A:$A,$A20,Generacion!$B:$B,E$2)</f>
        <v>1.34494903646368E-2</v>
      </c>
      <c r="F20">
        <f>SUMIFS(Generacion!$C:$C,Generacion!$A:$A,$A20,Generacion!$B:$B,F$2)</f>
        <v>3.5393395696412498E-3</v>
      </c>
      <c r="G20">
        <f>SUMIFS(Generacion!$C:$C,Generacion!$A:$A,$A20,Generacion!$B:$B,G$2)</f>
        <v>2.4775376987488701E-3</v>
      </c>
      <c r="H20">
        <f>SUMPRODUCT((AtractivoAlternativas!$A$2:$A$931=$A20)*AtractivoAlternativas!$C$2:$C$931*COUNTIFS(Alternativas!$A$2:$A$51,AtractivoAlternativas!$B$2:$B$931,Alternativas!$B$2:$B$51,H$2))</f>
        <v>1.4436184897829603</v>
      </c>
      <c r="I20">
        <f>SUMPRODUCT((AtractivoAlternativas!$A$2:$A$931=$A20)*AtractivoAlternativas!$C$2:$C$931*COUNTIFS(Alternativas!$A$2:$A$51,AtractivoAlternativas!$B$2:$B$931,Alternativas!$B$2:$B$51,I$2))</f>
        <v>3.2601337823205556</v>
      </c>
      <c r="J20">
        <f>SUMPRODUCT((AtractivoAlternativas!$A$2:$A$931=$A20)*AtractivoAlternativas!$C$2:$C$931*COUNTIFS(Alternativas!$A$2:$A$51,AtractivoAlternativas!$B$2:$B$931,Alternativas!$B$2:$B$51,J$2))</f>
        <v>1.6543395682466457</v>
      </c>
      <c r="K20">
        <f>SUMPRODUCT((AtractivoAlternativas!$A$2:$A$931=$A20)*AtractivoAlternativas!$C$2:$C$931*COUNTIFS(Alternativas!$A$2:$A$51,AtractivoAlternativas!$B$2:$B$931,Alternativas!$B$2:$B$51,K$2))</f>
        <v>0</v>
      </c>
      <c r="L20">
        <f>SUMPRODUCT((AtractivoAlternativas!$A$2:$A$931=$A20)*AtractivoAlternativas!$C$2:$C$931*COUNTIFS(Alternativas!$A$2:$A$51,AtractivoAlternativas!$B$2:$B$931,Alternativas!$B$2:$B$51,L$2))</f>
        <v>0</v>
      </c>
      <c r="M20">
        <f>SUMIFS(AtractivoSitios!$C:$C,AtractivoSitios!$A:$A,$A20,AtractivoSitios!$B:$B,M$2)</f>
        <v>0</v>
      </c>
      <c r="N20">
        <f>SUMIFS(AtractivoSitios!$C:$C,AtractivoSitios!$A:$A,$A20,AtractivoSitios!$B:$B,N$2)</f>
        <v>0</v>
      </c>
      <c r="O20">
        <f>SUMIFS(AtractivoSitios!$C:$C,AtractivoSitios!$A:$A,$A20,AtractivoSitios!$B:$B,O$2)</f>
        <v>0</v>
      </c>
      <c r="P20">
        <f>SUMIFS(AtractivoSitios!$C:$C,AtractivoSitios!$A:$A,$A20,AtractivoSitios!$B:$B,P$2)</f>
        <v>0</v>
      </c>
      <c r="Q20">
        <f>SUMIFS(AtractivoSitios!$C:$C,AtractivoSitios!$A:$A,$A20,AtractivoSitios!$B:$B,Q$2)</f>
        <v>0.46858384131488406</v>
      </c>
      <c r="R20">
        <f>SUMIFS(AtractivoSitios!$C:$C,AtractivoSitios!$A:$A,$A20,AtractivoSitios!$B:$B,R$2)</f>
        <v>0</v>
      </c>
      <c r="S20">
        <f>SUMIFS(AtractivoSitios!$C:$C,AtractivoSitios!$A:$A,$A20,AtractivoSitios!$B:$B,S$2)</f>
        <v>0</v>
      </c>
      <c r="T20">
        <f>SUM(M20:S20)</f>
        <v>0.46858384131488406</v>
      </c>
      <c r="U20">
        <f>C20/(AD$4+H20+$T20)</f>
        <v>1.9153885986529523E-4</v>
      </c>
      <c r="V20">
        <f>D20/(AE$4+I20+$T20)</f>
        <v>5.5405702045048596E-5</v>
      </c>
      <c r="W20">
        <f>E20/(AF$4+J20+$T20)</f>
        <v>3.1237225422931099E-4</v>
      </c>
      <c r="X20">
        <f>F20/(AG$4+K20+$T20)</f>
        <v>1.7428963466879872E-5</v>
      </c>
      <c r="Y20">
        <f>G20/(AH$4+L20+$T20)</f>
        <v>1.0811467793158256E-5</v>
      </c>
      <c r="AA20" s="10" t="s">
        <v>351</v>
      </c>
    </row>
    <row r="21" spans="1:34">
      <c r="A21" t="s">
        <v>65</v>
      </c>
      <c r="B21">
        <f>SUMIFS(Sectores!$C:$C,Sectores!$A:$A,$A21)</f>
        <v>8592</v>
      </c>
      <c r="C21">
        <f>SUMIFS(Generacion!$C:$C,Generacion!$A:$A,$A21,Generacion!$B:$B,C$2)</f>
        <v>4.3533876706587399E-2</v>
      </c>
      <c r="D21">
        <f>SUMIFS(Generacion!$C:$C,Generacion!$A:$A,$A21,Generacion!$B:$B,D$2)</f>
        <v>3.7870933395161399E-2</v>
      </c>
      <c r="E21">
        <f>SUMIFS(Generacion!$C:$C,Generacion!$A:$A,$A21,Generacion!$B:$B,E$2)</f>
        <v>1.34494903646368E-2</v>
      </c>
      <c r="F21">
        <f>SUMIFS(Generacion!$C:$C,Generacion!$A:$A,$A21,Generacion!$B:$B,F$2)</f>
        <v>3.5393395696412498E-3</v>
      </c>
      <c r="G21">
        <f>SUMIFS(Generacion!$C:$C,Generacion!$A:$A,$A21,Generacion!$B:$B,G$2)</f>
        <v>2.4775376987488701E-3</v>
      </c>
      <c r="H21">
        <f>SUMPRODUCT((AtractivoAlternativas!$A$2:$A$931=$A21)*AtractivoAlternativas!$C$2:$C$931*COUNTIFS(Alternativas!$A$2:$A$51,AtractivoAlternativas!$B$2:$B$931,Alternativas!$B$2:$B$51,H$2))</f>
        <v>1.6160049815912434</v>
      </c>
      <c r="I21">
        <f>SUMPRODUCT((AtractivoAlternativas!$A$2:$A$931=$A21)*AtractivoAlternativas!$C$2:$C$931*COUNTIFS(Alternativas!$A$2:$A$51,AtractivoAlternativas!$B$2:$B$931,Alternativas!$B$2:$B$51,I$2))</f>
        <v>3.5979264420688031</v>
      </c>
      <c r="J21">
        <f>SUMPRODUCT((AtractivoAlternativas!$A$2:$A$931=$A21)*AtractivoAlternativas!$C$2:$C$931*COUNTIFS(Alternativas!$A$2:$A$51,AtractivoAlternativas!$B$2:$B$931,Alternativas!$B$2:$B$51,J$2))</f>
        <v>2.0164708582181183</v>
      </c>
      <c r="K21">
        <f>SUMPRODUCT((AtractivoAlternativas!$A$2:$A$931=$A21)*AtractivoAlternativas!$C$2:$C$931*COUNTIFS(Alternativas!$A$2:$A$51,AtractivoAlternativas!$B$2:$B$931,Alternativas!$B$2:$B$51,K$2))</f>
        <v>0</v>
      </c>
      <c r="L21">
        <f>SUMPRODUCT((AtractivoAlternativas!$A$2:$A$931=$A21)*AtractivoAlternativas!$C$2:$C$931*COUNTIFS(Alternativas!$A$2:$A$51,AtractivoAlternativas!$B$2:$B$931,Alternativas!$B$2:$B$51,L$2))</f>
        <v>0</v>
      </c>
      <c r="M21">
        <f>SUMIFS(AtractivoSitios!$C:$C,AtractivoSitios!$A:$A,$A21,AtractivoSitios!$B:$B,M$2)</f>
        <v>0</v>
      </c>
      <c r="N21">
        <f>SUMIFS(AtractivoSitios!$C:$C,AtractivoSitios!$A:$A,$A21,AtractivoSitios!$B:$B,N$2)</f>
        <v>0</v>
      </c>
      <c r="O21">
        <f>SUMIFS(AtractivoSitios!$C:$C,AtractivoSitios!$A:$A,$A21,AtractivoSitios!$B:$B,O$2)</f>
        <v>0</v>
      </c>
      <c r="P21">
        <f>SUMIFS(AtractivoSitios!$C:$C,AtractivoSitios!$A:$A,$A21,AtractivoSitios!$B:$B,P$2)</f>
        <v>0</v>
      </c>
      <c r="Q21">
        <f>SUMIFS(AtractivoSitios!$C:$C,AtractivoSitios!$A:$A,$A21,AtractivoSitios!$B:$B,Q$2)</f>
        <v>0</v>
      </c>
      <c r="R21">
        <f>SUMIFS(AtractivoSitios!$C:$C,AtractivoSitios!$A:$A,$A21,AtractivoSitios!$B:$B,R$2)</f>
        <v>0</v>
      </c>
      <c r="S21">
        <f>SUMIFS(AtractivoSitios!$C:$C,AtractivoSitios!$A:$A,$A21,AtractivoSitios!$B:$B,S$2)</f>
        <v>0</v>
      </c>
      <c r="T21">
        <f>SUM(M21:S21)</f>
        <v>0</v>
      </c>
      <c r="U21">
        <f>C21/(AD$4+H21+$T21)</f>
        <v>1.9178879882745717E-4</v>
      </c>
      <c r="V21">
        <f>D21/(AE$4+I21+$T21)</f>
        <v>5.5416305917331681E-5</v>
      </c>
      <c r="W21">
        <f>E21/(AF$4+J21+$T21)</f>
        <v>3.1314648466335902E-4</v>
      </c>
      <c r="X21">
        <f>F21/(AG$4+K21+$T21)</f>
        <v>1.7469273344224566E-5</v>
      </c>
      <c r="Y21">
        <f>G21/(AH$4+L21+$T21)</f>
        <v>1.0833620424026486E-5</v>
      </c>
      <c r="AA21" s="31" t="s">
        <v>352</v>
      </c>
    </row>
    <row r="22" spans="1:34">
      <c r="A22" t="s">
        <v>66</v>
      </c>
      <c r="B22">
        <f>SUMIFS(Sectores!$C:$C,Sectores!$A:$A,$A22)</f>
        <v>5694</v>
      </c>
      <c r="C22">
        <f>SUMIFS(Generacion!$C:$C,Generacion!$A:$A,$A22,Generacion!$B:$B,C$2)</f>
        <v>4.3533876706587399E-2</v>
      </c>
      <c r="D22">
        <f>SUMIFS(Generacion!$C:$C,Generacion!$A:$A,$A22,Generacion!$B:$B,D$2)</f>
        <v>3.7870933395161399E-2</v>
      </c>
      <c r="E22">
        <f>SUMIFS(Generacion!$C:$C,Generacion!$A:$A,$A22,Generacion!$B:$B,E$2)</f>
        <v>1.34494903646368E-2</v>
      </c>
      <c r="F22">
        <f>SUMIFS(Generacion!$C:$C,Generacion!$A:$A,$A22,Generacion!$B:$B,F$2)</f>
        <v>3.5393395696412498E-3</v>
      </c>
      <c r="G22">
        <f>SUMIFS(Generacion!$C:$C,Generacion!$A:$A,$A22,Generacion!$B:$B,G$2)</f>
        <v>2.4775376987488701E-3</v>
      </c>
      <c r="H22">
        <f>SUMPRODUCT((AtractivoAlternativas!$A$2:$A$931=$A22)*AtractivoAlternativas!$C$2:$C$931*COUNTIFS(Alternativas!$A$2:$A$51,AtractivoAlternativas!$B$2:$B$931,Alternativas!$B$2:$B$51,H$2))</f>
        <v>0.95117798898288508</v>
      </c>
      <c r="I22">
        <f>SUMPRODUCT((AtractivoAlternativas!$A$2:$A$931=$A22)*AtractivoAlternativas!$C$2:$C$931*COUNTIFS(Alternativas!$A$2:$A$51,AtractivoAlternativas!$B$2:$B$931,Alternativas!$B$2:$B$51,I$2))</f>
        <v>3.1138555442715843</v>
      </c>
      <c r="J22">
        <f>SUMPRODUCT((AtractivoAlternativas!$A$2:$A$931=$A22)*AtractivoAlternativas!$C$2:$C$931*COUNTIFS(Alternativas!$A$2:$A$51,AtractivoAlternativas!$B$2:$B$931,Alternativas!$B$2:$B$51,J$2))</f>
        <v>0.90347522617639986</v>
      </c>
      <c r="K22">
        <f>SUMPRODUCT((AtractivoAlternativas!$A$2:$A$931=$A22)*AtractivoAlternativas!$C$2:$C$931*COUNTIFS(Alternativas!$A$2:$A$51,AtractivoAlternativas!$B$2:$B$931,Alternativas!$B$2:$B$51,K$2))</f>
        <v>0</v>
      </c>
      <c r="L22">
        <f>SUMPRODUCT((AtractivoAlternativas!$A$2:$A$931=$A22)*AtractivoAlternativas!$C$2:$C$931*COUNTIFS(Alternativas!$A$2:$A$51,AtractivoAlternativas!$B$2:$B$931,Alternativas!$B$2:$B$51,L$2))</f>
        <v>0</v>
      </c>
      <c r="M22">
        <f>SUMIFS(AtractivoSitios!$C:$C,AtractivoSitios!$A:$A,$A22,AtractivoSitios!$B:$B,M$2)</f>
        <v>0</v>
      </c>
      <c r="N22">
        <f>SUMIFS(AtractivoSitios!$C:$C,AtractivoSitios!$A:$A,$A22,AtractivoSitios!$B:$B,N$2)</f>
        <v>0</v>
      </c>
      <c r="O22">
        <f>SUMIFS(AtractivoSitios!$C:$C,AtractivoSitios!$A:$A,$A22,AtractivoSitios!$B:$B,O$2)</f>
        <v>0</v>
      </c>
      <c r="P22">
        <f>SUMIFS(AtractivoSitios!$C:$C,AtractivoSitios!$A:$A,$A22,AtractivoSitios!$B:$B,P$2)</f>
        <v>0</v>
      </c>
      <c r="Q22">
        <f>SUMIFS(AtractivoSitios!$C:$C,AtractivoSitios!$A:$A,$A22,AtractivoSitios!$B:$B,Q$2)</f>
        <v>0</v>
      </c>
      <c r="R22">
        <f>SUMIFS(AtractivoSitios!$C:$C,AtractivoSitios!$A:$A,$A22,AtractivoSitios!$B:$B,R$2)</f>
        <v>0</v>
      </c>
      <c r="S22">
        <f>SUMIFS(AtractivoSitios!$C:$C,AtractivoSitios!$A:$A,$A22,AtractivoSitios!$B:$B,S$2)</f>
        <v>0</v>
      </c>
      <c r="T22">
        <f>SUM(M22:S22)</f>
        <v>0</v>
      </c>
      <c r="U22">
        <f>C22/(AD$4+H22+$T22)</f>
        <v>1.9235217911981988E-4</v>
      </c>
      <c r="V22">
        <f>D22/(AE$4+I22+$T22)</f>
        <v>5.5455587216687009E-5</v>
      </c>
      <c r="W22">
        <f>E22/(AF$4+J22+$T22)</f>
        <v>3.2147726015839664E-4</v>
      </c>
      <c r="X22">
        <f>F22/(AG$4+K22+$T22)</f>
        <v>1.7469273344224566E-5</v>
      </c>
      <c r="Y22">
        <f>G22/(AH$4+L22+$T22)</f>
        <v>1.0833620424026486E-5</v>
      </c>
      <c r="AA22" s="31" t="s">
        <v>353</v>
      </c>
    </row>
    <row r="23" spans="1:34">
      <c r="A23" t="s">
        <v>67</v>
      </c>
      <c r="B23">
        <f>SUMIFS(Sectores!$C:$C,Sectores!$A:$A,$A23)</f>
        <v>4952</v>
      </c>
      <c r="C23">
        <f>SUMIFS(Generacion!$C:$C,Generacion!$A:$A,$A23,Generacion!$B:$B,C$2)</f>
        <v>4.3533876706587399E-2</v>
      </c>
      <c r="D23">
        <f>SUMIFS(Generacion!$C:$C,Generacion!$A:$A,$A23,Generacion!$B:$B,D$2)</f>
        <v>3.7870933395161399E-2</v>
      </c>
      <c r="E23">
        <f>SUMIFS(Generacion!$C:$C,Generacion!$A:$A,$A23,Generacion!$B:$B,E$2)</f>
        <v>1.34494903646368E-2</v>
      </c>
      <c r="F23">
        <f>SUMIFS(Generacion!$C:$C,Generacion!$A:$A,$A23,Generacion!$B:$B,F$2)</f>
        <v>3.5393395696412498E-3</v>
      </c>
      <c r="G23">
        <f>SUMIFS(Generacion!$C:$C,Generacion!$A:$A,$A23,Generacion!$B:$B,G$2)</f>
        <v>2.4775376987488701E-3</v>
      </c>
      <c r="H23">
        <f>SUMPRODUCT((AtractivoAlternativas!$A$2:$A$931=$A23)*AtractivoAlternativas!$C$2:$C$931*COUNTIFS(Alternativas!$A$2:$A$51,AtractivoAlternativas!$B$2:$B$931,Alternativas!$B$2:$B$51,H$2))</f>
        <v>0.51104138703384283</v>
      </c>
      <c r="I23">
        <f>SUMPRODUCT((AtractivoAlternativas!$A$2:$A$931=$A23)*AtractivoAlternativas!$C$2:$C$931*COUNTIFS(Alternativas!$A$2:$A$51,AtractivoAlternativas!$B$2:$B$931,Alternativas!$B$2:$B$51,I$2))</f>
        <v>2.3573158565835488</v>
      </c>
      <c r="J23">
        <f>SUMPRODUCT((AtractivoAlternativas!$A$2:$A$931=$A23)*AtractivoAlternativas!$C$2:$C$931*COUNTIFS(Alternativas!$A$2:$A$51,AtractivoAlternativas!$B$2:$B$931,Alternativas!$B$2:$B$51,J$2))</f>
        <v>0.38209192030756745</v>
      </c>
      <c r="K23">
        <f>SUMPRODUCT((AtractivoAlternativas!$A$2:$A$931=$A23)*AtractivoAlternativas!$C$2:$C$931*COUNTIFS(Alternativas!$A$2:$A$51,AtractivoAlternativas!$B$2:$B$931,Alternativas!$B$2:$B$51,K$2))</f>
        <v>0</v>
      </c>
      <c r="L23">
        <f>SUMPRODUCT((AtractivoAlternativas!$A$2:$A$931=$A23)*AtractivoAlternativas!$C$2:$C$931*COUNTIFS(Alternativas!$A$2:$A$51,AtractivoAlternativas!$B$2:$B$931,Alternativas!$B$2:$B$51,L$2))</f>
        <v>0</v>
      </c>
      <c r="M23">
        <f>SUMIFS(AtractivoSitios!$C:$C,AtractivoSitios!$A:$A,$A23,AtractivoSitios!$B:$B,M$2)</f>
        <v>0</v>
      </c>
      <c r="N23">
        <f>SUMIFS(AtractivoSitios!$C:$C,AtractivoSitios!$A:$A,$A23,AtractivoSitios!$B:$B,N$2)</f>
        <v>0</v>
      </c>
      <c r="O23">
        <f>SUMIFS(AtractivoSitios!$C:$C,AtractivoSitios!$A:$A,$A23,AtractivoSitios!$B:$B,O$2)</f>
        <v>0</v>
      </c>
      <c r="P23">
        <f>SUMIFS(AtractivoSitios!$C:$C,AtractivoSitios!$A:$A,$A23,AtractivoSitios!$B:$B,P$2)</f>
        <v>0</v>
      </c>
      <c r="Q23">
        <f>SUMIFS(AtractivoSitios!$C:$C,AtractivoSitios!$A:$A,$A23,AtractivoSitios!$B:$B,Q$2)</f>
        <v>0</v>
      </c>
      <c r="R23">
        <f>SUMIFS(AtractivoSitios!$C:$C,AtractivoSitios!$A:$A,$A23,AtractivoSitios!$B:$B,R$2)</f>
        <v>0</v>
      </c>
      <c r="S23">
        <f>SUMIFS(AtractivoSitios!$C:$C,AtractivoSitios!$A:$A,$A23,AtractivoSitios!$B:$B,S$2)</f>
        <v>0</v>
      </c>
      <c r="T23">
        <f>SUM(M23:S23)</f>
        <v>0</v>
      </c>
      <c r="U23">
        <f>C23/(AD$4+H23+$T23)</f>
        <v>1.9272697928054093E-4</v>
      </c>
      <c r="V23">
        <f>D23/(AE$4+I23+$T23)</f>
        <v>5.5517090416627179E-5</v>
      </c>
      <c r="W23">
        <f>E23/(AF$4+J23+$T23)</f>
        <v>3.2553419626593795E-4</v>
      </c>
      <c r="X23">
        <f>F23/(AG$4+K23+$T23)</f>
        <v>1.7469273344224566E-5</v>
      </c>
      <c r="Y23">
        <f>G23/(AH$4+L23+$T23)</f>
        <v>1.0833620424026486E-5</v>
      </c>
      <c r="AA23" s="31" t="s">
        <v>354</v>
      </c>
    </row>
    <row r="24" spans="1:34">
      <c r="A24" t="s">
        <v>68</v>
      </c>
      <c r="B24">
        <f>SUMIFS(Sectores!$C:$C,Sectores!$A:$A,$A24)</f>
        <v>9683</v>
      </c>
      <c r="C24">
        <f>SUMIFS(Generacion!$C:$C,Generacion!$A:$A,$A24,Generacion!$B:$B,C$2)</f>
        <v>4.3533876706587399E-2</v>
      </c>
      <c r="D24">
        <f>SUMIFS(Generacion!$C:$C,Generacion!$A:$A,$A24,Generacion!$B:$B,D$2)</f>
        <v>3.7870933395161399E-2</v>
      </c>
      <c r="E24">
        <f>SUMIFS(Generacion!$C:$C,Generacion!$A:$A,$A24,Generacion!$B:$B,E$2)</f>
        <v>1.34494903646368E-2</v>
      </c>
      <c r="F24">
        <f>SUMIFS(Generacion!$C:$C,Generacion!$A:$A,$A24,Generacion!$B:$B,F$2)</f>
        <v>3.5393395696412498E-3</v>
      </c>
      <c r="G24">
        <f>SUMIFS(Generacion!$C:$C,Generacion!$A:$A,$A24,Generacion!$B:$B,G$2)</f>
        <v>2.4775376987488701E-3</v>
      </c>
      <c r="H24">
        <f>SUMPRODUCT((AtractivoAlternativas!$A$2:$A$931=$A24)*AtractivoAlternativas!$C$2:$C$931*COUNTIFS(Alternativas!$A$2:$A$51,AtractivoAlternativas!$B$2:$B$931,Alternativas!$B$2:$B$51,H$2))</f>
        <v>0.41463567246072219</v>
      </c>
      <c r="I24">
        <f>SUMPRODUCT((AtractivoAlternativas!$A$2:$A$931=$A24)*AtractivoAlternativas!$C$2:$C$931*COUNTIFS(Alternativas!$A$2:$A$51,AtractivoAlternativas!$B$2:$B$931,Alternativas!$B$2:$B$51,I$2))</f>
        <v>1.9558672276053759</v>
      </c>
      <c r="J24">
        <f>SUMPRODUCT((AtractivoAlternativas!$A$2:$A$931=$A24)*AtractivoAlternativas!$C$2:$C$931*COUNTIFS(Alternativas!$A$2:$A$51,AtractivoAlternativas!$B$2:$B$931,Alternativas!$B$2:$B$51,J$2))</f>
        <v>0</v>
      </c>
      <c r="K24">
        <f>SUMPRODUCT((AtractivoAlternativas!$A$2:$A$931=$A24)*AtractivoAlternativas!$C$2:$C$931*COUNTIFS(Alternativas!$A$2:$A$51,AtractivoAlternativas!$B$2:$B$931,Alternativas!$B$2:$B$51,K$2))</f>
        <v>0</v>
      </c>
      <c r="L24">
        <f>SUMPRODUCT((AtractivoAlternativas!$A$2:$A$931=$A24)*AtractivoAlternativas!$C$2:$C$931*COUNTIFS(Alternativas!$A$2:$A$51,AtractivoAlternativas!$B$2:$B$931,Alternativas!$B$2:$B$51,L$2))</f>
        <v>0</v>
      </c>
      <c r="M24">
        <f>SUMIFS(AtractivoSitios!$C:$C,AtractivoSitios!$A:$A,$A24,AtractivoSitios!$B:$B,M$2)</f>
        <v>0</v>
      </c>
      <c r="N24">
        <f>SUMIFS(AtractivoSitios!$C:$C,AtractivoSitios!$A:$A,$A24,AtractivoSitios!$B:$B,N$2)</f>
        <v>0</v>
      </c>
      <c r="O24">
        <f>SUMIFS(AtractivoSitios!$C:$C,AtractivoSitios!$A:$A,$A24,AtractivoSitios!$B:$B,O$2)</f>
        <v>0</v>
      </c>
      <c r="P24">
        <f>SUMIFS(AtractivoSitios!$C:$C,AtractivoSitios!$A:$A,$A24,AtractivoSitios!$B:$B,P$2)</f>
        <v>0</v>
      </c>
      <c r="Q24">
        <f>SUMIFS(AtractivoSitios!$C:$C,AtractivoSitios!$A:$A,$A24,AtractivoSitios!$B:$B,Q$2)</f>
        <v>0</v>
      </c>
      <c r="R24">
        <f>SUMIFS(AtractivoSitios!$C:$C,AtractivoSitios!$A:$A,$A24,AtractivoSitios!$B:$B,R$2)</f>
        <v>0</v>
      </c>
      <c r="S24">
        <f>SUMIFS(AtractivoSitios!$C:$C,AtractivoSitios!$A:$A,$A24,AtractivoSitios!$B:$B,S$2)</f>
        <v>0</v>
      </c>
      <c r="T24">
        <f>SUM(M24:S24)</f>
        <v>0</v>
      </c>
      <c r="U24">
        <f>C24/(AD$4+H24+$T24)</f>
        <v>1.9280926905230802E-4</v>
      </c>
      <c r="V24">
        <f>D24/(AE$4+I24+$T24)</f>
        <v>5.5549781779347049E-5</v>
      </c>
      <c r="W24">
        <f>E24/(AF$4+J24+$T24)</f>
        <v>3.2857291429328134E-4</v>
      </c>
      <c r="X24">
        <f>F24/(AG$4+K24+$T24)</f>
        <v>1.7469273344224566E-5</v>
      </c>
      <c r="Y24">
        <f>G24/(AH$4+L24+$T24)</f>
        <v>1.0833620424026486E-5</v>
      </c>
      <c r="AA24" s="31" t="s">
        <v>355</v>
      </c>
    </row>
    <row r="25" spans="1:34">
      <c r="A25" t="s">
        <v>69</v>
      </c>
      <c r="B25">
        <f>SUMIFS(Sectores!$C:$C,Sectores!$A:$A,$A25)</f>
        <v>3406</v>
      </c>
      <c r="C25">
        <f>SUMIFS(Generacion!$C:$C,Generacion!$A:$A,$A25,Generacion!$B:$B,C$2)</f>
        <v>4.3533876706587399E-2</v>
      </c>
      <c r="D25">
        <f>SUMIFS(Generacion!$C:$C,Generacion!$A:$A,$A25,Generacion!$B:$B,D$2)</f>
        <v>3.7870933395161399E-2</v>
      </c>
      <c r="E25">
        <f>SUMIFS(Generacion!$C:$C,Generacion!$A:$A,$A25,Generacion!$B:$B,E$2)</f>
        <v>1.34494903646368E-2</v>
      </c>
      <c r="F25">
        <f>SUMIFS(Generacion!$C:$C,Generacion!$A:$A,$A25,Generacion!$B:$B,F$2)</f>
        <v>3.5393395696412498E-3</v>
      </c>
      <c r="G25">
        <f>SUMIFS(Generacion!$C:$C,Generacion!$A:$A,$A25,Generacion!$B:$B,G$2)</f>
        <v>2.4775376987488701E-3</v>
      </c>
      <c r="H25">
        <f>SUMPRODUCT((AtractivoAlternativas!$A$2:$A$931=$A25)*AtractivoAlternativas!$C$2:$C$931*COUNTIFS(Alternativas!$A$2:$A$51,AtractivoAlternativas!$B$2:$B$931,Alternativas!$B$2:$B$51,H$2))</f>
        <v>0.49233783111260027</v>
      </c>
      <c r="I25">
        <f>SUMPRODUCT((AtractivoAlternativas!$A$2:$A$931=$A25)*AtractivoAlternativas!$C$2:$C$931*COUNTIFS(Alternativas!$A$2:$A$51,AtractivoAlternativas!$B$2:$B$931,Alternativas!$B$2:$B$51,I$2))</f>
        <v>2.1166790972879497</v>
      </c>
      <c r="J25">
        <f>SUMPRODUCT((AtractivoAlternativas!$A$2:$A$931=$A25)*AtractivoAlternativas!$C$2:$C$931*COUNTIFS(Alternativas!$A$2:$A$51,AtractivoAlternativas!$B$2:$B$931,Alternativas!$B$2:$B$51,J$2))</f>
        <v>0</v>
      </c>
      <c r="K25">
        <f>SUMPRODUCT((AtractivoAlternativas!$A$2:$A$931=$A25)*AtractivoAlternativas!$C$2:$C$931*COUNTIFS(Alternativas!$A$2:$A$51,AtractivoAlternativas!$B$2:$B$931,Alternativas!$B$2:$B$51,K$2))</f>
        <v>0</v>
      </c>
      <c r="L25">
        <f>SUMPRODUCT((AtractivoAlternativas!$A$2:$A$931=$A25)*AtractivoAlternativas!$C$2:$C$931*COUNTIFS(Alternativas!$A$2:$A$51,AtractivoAlternativas!$B$2:$B$931,Alternativas!$B$2:$B$51,L$2))</f>
        <v>0</v>
      </c>
      <c r="M25">
        <f>SUMIFS(AtractivoSitios!$C:$C,AtractivoSitios!$A:$A,$A25,AtractivoSitios!$B:$B,M$2)</f>
        <v>0</v>
      </c>
      <c r="N25">
        <f>SUMIFS(AtractivoSitios!$C:$C,AtractivoSitios!$A:$A,$A25,AtractivoSitios!$B:$B,N$2)</f>
        <v>0</v>
      </c>
      <c r="O25">
        <f>SUMIFS(AtractivoSitios!$C:$C,AtractivoSitios!$A:$A,$A25,AtractivoSitios!$B:$B,O$2)</f>
        <v>0</v>
      </c>
      <c r="P25">
        <f>SUMIFS(AtractivoSitios!$C:$C,AtractivoSitios!$A:$A,$A25,AtractivoSitios!$B:$B,P$2)</f>
        <v>0</v>
      </c>
      <c r="Q25">
        <f>SUMIFS(AtractivoSitios!$C:$C,AtractivoSitios!$A:$A,$A25,AtractivoSitios!$B:$B,Q$2)</f>
        <v>0</v>
      </c>
      <c r="R25">
        <f>SUMIFS(AtractivoSitios!$C:$C,AtractivoSitios!$A:$A,$A25,AtractivoSitios!$B:$B,R$2)</f>
        <v>0</v>
      </c>
      <c r="S25">
        <f>SUMIFS(AtractivoSitios!$C:$C,AtractivoSitios!$A:$A,$A25,AtractivoSitios!$B:$B,S$2)</f>
        <v>0</v>
      </c>
      <c r="T25">
        <f>SUM(M25:S25)</f>
        <v>0</v>
      </c>
      <c r="U25">
        <f>C25/(AD$4+H25+$T25)</f>
        <v>1.9274293872723015E-4</v>
      </c>
      <c r="V25">
        <f>D25/(AE$4+I25+$T25)</f>
        <v>5.5536681686418744E-5</v>
      </c>
      <c r="W25">
        <f>E25/(AF$4+J25+$T25)</f>
        <v>3.2857291429328134E-4</v>
      </c>
      <c r="X25">
        <f>F25/(AG$4+K25+$T25)</f>
        <v>1.7469273344224566E-5</v>
      </c>
      <c r="Y25">
        <f>G25/(AH$4+L25+$T25)</f>
        <v>1.0833620424026486E-5</v>
      </c>
      <c r="AA25" s="31" t="s">
        <v>356</v>
      </c>
    </row>
    <row r="26" spans="1:34">
      <c r="A26" t="s">
        <v>70</v>
      </c>
      <c r="B26">
        <f>SUMIFS(Sectores!$C:$C,Sectores!$A:$A,$A26)</f>
        <v>9275</v>
      </c>
      <c r="C26">
        <f>SUMIFS(Generacion!$C:$C,Generacion!$A:$A,$A26,Generacion!$B:$B,C$2)</f>
        <v>4.3533876706587399E-2</v>
      </c>
      <c r="D26">
        <f>SUMIFS(Generacion!$C:$C,Generacion!$A:$A,$A26,Generacion!$B:$B,D$2)</f>
        <v>3.7870933395161399E-2</v>
      </c>
      <c r="E26">
        <f>SUMIFS(Generacion!$C:$C,Generacion!$A:$A,$A26,Generacion!$B:$B,E$2)</f>
        <v>1.34494903646368E-2</v>
      </c>
      <c r="F26">
        <f>SUMIFS(Generacion!$C:$C,Generacion!$A:$A,$A26,Generacion!$B:$B,F$2)</f>
        <v>3.5393395696412498E-3</v>
      </c>
      <c r="G26">
        <f>SUMIFS(Generacion!$C:$C,Generacion!$A:$A,$A26,Generacion!$B:$B,G$2)</f>
        <v>2.4775376987488701E-3</v>
      </c>
      <c r="H26">
        <f>SUMPRODUCT((AtractivoAlternativas!$A$2:$A$931=$A26)*AtractivoAlternativas!$C$2:$C$931*COUNTIFS(Alternativas!$A$2:$A$51,AtractivoAlternativas!$B$2:$B$931,Alternativas!$B$2:$B$51,H$2))</f>
        <v>0.42029852124094419</v>
      </c>
      <c r="I26">
        <f>SUMPRODUCT((AtractivoAlternativas!$A$2:$A$931=$A26)*AtractivoAlternativas!$C$2:$C$931*COUNTIFS(Alternativas!$A$2:$A$51,AtractivoAlternativas!$B$2:$B$931,Alternativas!$B$2:$B$51,I$2))</f>
        <v>0.9857908458168736</v>
      </c>
      <c r="J26">
        <f>SUMPRODUCT((AtractivoAlternativas!$A$2:$A$931=$A26)*AtractivoAlternativas!$C$2:$C$931*COUNTIFS(Alternativas!$A$2:$A$51,AtractivoAlternativas!$B$2:$B$931,Alternativas!$B$2:$B$51,J$2))</f>
        <v>0</v>
      </c>
      <c r="K26">
        <f>SUMPRODUCT((AtractivoAlternativas!$A$2:$A$931=$A26)*AtractivoAlternativas!$C$2:$C$931*COUNTIFS(Alternativas!$A$2:$A$51,AtractivoAlternativas!$B$2:$B$931,Alternativas!$B$2:$B$51,K$2))</f>
        <v>0</v>
      </c>
      <c r="L26">
        <f>SUMPRODUCT((AtractivoAlternativas!$A$2:$A$931=$A26)*AtractivoAlternativas!$C$2:$C$931*COUNTIFS(Alternativas!$A$2:$A$51,AtractivoAlternativas!$B$2:$B$931,Alternativas!$B$2:$B$51,L$2))</f>
        <v>0</v>
      </c>
      <c r="M26">
        <f>SUMIFS(AtractivoSitios!$C:$C,AtractivoSitios!$A:$A,$A26,AtractivoSitios!$B:$B,M$2)</f>
        <v>0</v>
      </c>
      <c r="N26">
        <f>SUMIFS(AtractivoSitios!$C:$C,AtractivoSitios!$A:$A,$A26,AtractivoSitios!$B:$B,N$2)</f>
        <v>0</v>
      </c>
      <c r="O26">
        <f>SUMIFS(AtractivoSitios!$C:$C,AtractivoSitios!$A:$A,$A26,AtractivoSitios!$B:$B,O$2)</f>
        <v>0</v>
      </c>
      <c r="P26">
        <f>SUMIFS(AtractivoSitios!$C:$C,AtractivoSitios!$A:$A,$A26,AtractivoSitios!$B:$B,P$2)</f>
        <v>0</v>
      </c>
      <c r="Q26">
        <f>SUMIFS(AtractivoSitios!$C:$C,AtractivoSitios!$A:$A,$A26,AtractivoSitios!$B:$B,Q$2)</f>
        <v>0</v>
      </c>
      <c r="R26">
        <f>SUMIFS(AtractivoSitios!$C:$C,AtractivoSitios!$A:$A,$A26,AtractivoSitios!$B:$B,R$2)</f>
        <v>0</v>
      </c>
      <c r="S26">
        <f>SUMIFS(AtractivoSitios!$C:$C,AtractivoSitios!$A:$A,$A26,AtractivoSitios!$B:$B,S$2)</f>
        <v>0</v>
      </c>
      <c r="T26">
        <f>SUM(M26:S26)</f>
        <v>0</v>
      </c>
      <c r="U26">
        <f>C26/(AD$4+H26+$T26)</f>
        <v>1.928044334280703E-4</v>
      </c>
      <c r="V26">
        <f>D26/(AE$4+I26+$T26)</f>
        <v>5.5628937634516189E-5</v>
      </c>
      <c r="W26">
        <f>E26/(AF$4+J26+$T26)</f>
        <v>3.2857291429328134E-4</v>
      </c>
      <c r="X26">
        <f>F26/(AG$4+K26+$T26)</f>
        <v>1.7469273344224566E-5</v>
      </c>
      <c r="Y26">
        <f>G26/(AH$4+L26+$T26)</f>
        <v>1.0833620424026486E-5</v>
      </c>
      <c r="AA26" s="31" t="s">
        <v>357</v>
      </c>
    </row>
    <row r="27" spans="1:34">
      <c r="A27" t="s">
        <v>71</v>
      </c>
      <c r="B27">
        <f>SUMIFS(Sectores!$C:$C,Sectores!$A:$A,$A27)</f>
        <v>1341</v>
      </c>
      <c r="C27">
        <f>SUMIFS(Generacion!$C:$C,Generacion!$A:$A,$A27,Generacion!$B:$B,C$2)</f>
        <v>4.3533876706587399E-2</v>
      </c>
      <c r="D27">
        <f>SUMIFS(Generacion!$C:$C,Generacion!$A:$A,$A27,Generacion!$B:$B,D$2)</f>
        <v>3.7870933395161399E-2</v>
      </c>
      <c r="E27">
        <f>SUMIFS(Generacion!$C:$C,Generacion!$A:$A,$A27,Generacion!$B:$B,E$2)</f>
        <v>1.34494903646368E-2</v>
      </c>
      <c r="F27">
        <f>SUMIFS(Generacion!$C:$C,Generacion!$A:$A,$A27,Generacion!$B:$B,F$2)</f>
        <v>3.5393395696412498E-3</v>
      </c>
      <c r="G27">
        <f>SUMIFS(Generacion!$C:$C,Generacion!$A:$A,$A27,Generacion!$B:$B,G$2)</f>
        <v>2.4775376987488701E-3</v>
      </c>
      <c r="H27">
        <f>SUMPRODUCT((AtractivoAlternativas!$A$2:$A$931=$A27)*AtractivoAlternativas!$C$2:$C$931*COUNTIFS(Alternativas!$A$2:$A$51,AtractivoAlternativas!$B$2:$B$931,Alternativas!$B$2:$B$51,H$2))</f>
        <v>0.54498292029257678</v>
      </c>
      <c r="I27">
        <f>SUMPRODUCT((AtractivoAlternativas!$A$2:$A$931=$A27)*AtractivoAlternativas!$C$2:$C$931*COUNTIFS(Alternativas!$A$2:$A$51,AtractivoAlternativas!$B$2:$B$931,Alternativas!$B$2:$B$51,I$2))</f>
        <v>2.7757498844375892</v>
      </c>
      <c r="J27">
        <f>SUMPRODUCT((AtractivoAlternativas!$A$2:$A$931=$A27)*AtractivoAlternativas!$C$2:$C$931*COUNTIFS(Alternativas!$A$2:$A$51,AtractivoAlternativas!$B$2:$B$931,Alternativas!$B$2:$B$51,J$2))</f>
        <v>0.50098629519758953</v>
      </c>
      <c r="K27">
        <f>SUMPRODUCT((AtractivoAlternativas!$A$2:$A$931=$A27)*AtractivoAlternativas!$C$2:$C$931*COUNTIFS(Alternativas!$A$2:$A$51,AtractivoAlternativas!$B$2:$B$931,Alternativas!$B$2:$B$51,K$2))</f>
        <v>0</v>
      </c>
      <c r="L27">
        <f>SUMPRODUCT((AtractivoAlternativas!$A$2:$A$931=$A27)*AtractivoAlternativas!$C$2:$C$931*COUNTIFS(Alternativas!$A$2:$A$51,AtractivoAlternativas!$B$2:$B$931,Alternativas!$B$2:$B$51,L$2))</f>
        <v>0</v>
      </c>
      <c r="M27">
        <f>SUMIFS(AtractivoSitios!$C:$C,AtractivoSitios!$A:$A,$A27,AtractivoSitios!$B:$B,M$2)</f>
        <v>0</v>
      </c>
      <c r="N27">
        <f>SUMIFS(AtractivoSitios!$C:$C,AtractivoSitios!$A:$A,$A27,AtractivoSitios!$B:$B,N$2)</f>
        <v>0</v>
      </c>
      <c r="O27">
        <f>SUMIFS(AtractivoSitios!$C:$C,AtractivoSitios!$A:$A,$A27,AtractivoSitios!$B:$B,O$2)</f>
        <v>0</v>
      </c>
      <c r="P27">
        <f>SUMIFS(AtractivoSitios!$C:$C,AtractivoSitios!$A:$A,$A27,AtractivoSitios!$B:$B,P$2)</f>
        <v>0</v>
      </c>
      <c r="Q27">
        <f>SUMIFS(AtractivoSitios!$C:$C,AtractivoSitios!$A:$A,$A27,AtractivoSitios!$B:$B,Q$2)</f>
        <v>0.41234727523680625</v>
      </c>
      <c r="R27">
        <f>SUMIFS(AtractivoSitios!$C:$C,AtractivoSitios!$A:$A,$A27,AtractivoSitios!$B:$B,R$2)</f>
        <v>0</v>
      </c>
      <c r="S27">
        <f>SUMIFS(AtractivoSitios!$C:$C,AtractivoSitios!$A:$A,$A27,AtractivoSitios!$B:$B,S$2)</f>
        <v>0</v>
      </c>
      <c r="T27">
        <f>SUM(M27:S27)</f>
        <v>0.41234727523680625</v>
      </c>
      <c r="U27">
        <f>C27/(AD$4+H27+$T27)</f>
        <v>1.9234695051305336E-4</v>
      </c>
      <c r="V27">
        <f>D27/(AE$4+I27+$T27)</f>
        <v>5.5449559056156427E-5</v>
      </c>
      <c r="W27">
        <f>E27/(AF$4+J27+$T27)</f>
        <v>3.2140152520832856E-4</v>
      </c>
      <c r="X27">
        <f>F27/(AG$4+K27+$T27)</f>
        <v>1.7433791385787418E-5</v>
      </c>
      <c r="Y27">
        <f>G27/(AH$4+L27+$T27)</f>
        <v>1.0814121631297841E-5</v>
      </c>
      <c r="AA27" s="10" t="s">
        <v>358</v>
      </c>
    </row>
    <row r="28" spans="1:34">
      <c r="A28" t="s">
        <v>72</v>
      </c>
      <c r="B28">
        <f>SUMIFS(Sectores!$C:$C,Sectores!$A:$A,$A28)</f>
        <v>2373</v>
      </c>
      <c r="C28">
        <f>SUMIFS(Generacion!$C:$C,Generacion!$A:$A,$A28,Generacion!$B:$B,C$2)</f>
        <v>4.3533876706587399E-2</v>
      </c>
      <c r="D28">
        <f>SUMIFS(Generacion!$C:$C,Generacion!$A:$A,$A28,Generacion!$B:$B,D$2)</f>
        <v>3.7870933395161399E-2</v>
      </c>
      <c r="E28">
        <f>SUMIFS(Generacion!$C:$C,Generacion!$A:$A,$A28,Generacion!$B:$B,E$2)</f>
        <v>1.34494903646368E-2</v>
      </c>
      <c r="F28">
        <f>SUMIFS(Generacion!$C:$C,Generacion!$A:$A,$A28,Generacion!$B:$B,F$2)</f>
        <v>3.5393395696412498E-3</v>
      </c>
      <c r="G28">
        <f>SUMIFS(Generacion!$C:$C,Generacion!$A:$A,$A28,Generacion!$B:$B,G$2)</f>
        <v>2.4775376987488701E-3</v>
      </c>
      <c r="H28">
        <f>SUMPRODUCT((AtractivoAlternativas!$A$2:$A$931=$A28)*AtractivoAlternativas!$C$2:$C$931*COUNTIFS(Alternativas!$A$2:$A$51,AtractivoAlternativas!$B$2:$B$931,Alternativas!$B$2:$B$51,H$2))</f>
        <v>1.2321176494918191</v>
      </c>
      <c r="I28">
        <f>SUMPRODUCT((AtractivoAlternativas!$A$2:$A$931=$A28)*AtractivoAlternativas!$C$2:$C$931*COUNTIFS(Alternativas!$A$2:$A$51,AtractivoAlternativas!$B$2:$B$931,Alternativas!$B$2:$B$51,I$2))</f>
        <v>3.1732632415506488</v>
      </c>
      <c r="J28">
        <f>SUMPRODUCT((AtractivoAlternativas!$A$2:$A$931=$A28)*AtractivoAlternativas!$C$2:$C$931*COUNTIFS(Alternativas!$A$2:$A$51,AtractivoAlternativas!$B$2:$B$931,Alternativas!$B$2:$B$51,J$2))</f>
        <v>1.7006331694813737</v>
      </c>
      <c r="K28">
        <f>SUMPRODUCT((AtractivoAlternativas!$A$2:$A$931=$A28)*AtractivoAlternativas!$C$2:$C$931*COUNTIFS(Alternativas!$A$2:$A$51,AtractivoAlternativas!$B$2:$B$931,Alternativas!$B$2:$B$51,K$2))</f>
        <v>0</v>
      </c>
      <c r="L28">
        <f>SUMPRODUCT((AtractivoAlternativas!$A$2:$A$931=$A28)*AtractivoAlternativas!$C$2:$C$931*COUNTIFS(Alternativas!$A$2:$A$51,AtractivoAlternativas!$B$2:$B$931,Alternativas!$B$2:$B$51,L$2))</f>
        <v>0</v>
      </c>
      <c r="M28">
        <f>SUMIFS(AtractivoSitios!$C:$C,AtractivoSitios!$A:$A,$A28,AtractivoSitios!$B:$B,M$2)</f>
        <v>0</v>
      </c>
      <c r="N28">
        <f>SUMIFS(AtractivoSitios!$C:$C,AtractivoSitios!$A:$A,$A28,AtractivoSitios!$B:$B,N$2)</f>
        <v>0</v>
      </c>
      <c r="O28">
        <f>SUMIFS(AtractivoSitios!$C:$C,AtractivoSitios!$A:$A,$A28,AtractivoSitios!$B:$B,O$2)</f>
        <v>0</v>
      </c>
      <c r="P28">
        <f>SUMIFS(AtractivoSitios!$C:$C,AtractivoSitios!$A:$A,$A28,AtractivoSitios!$B:$B,P$2)</f>
        <v>0</v>
      </c>
      <c r="Q28">
        <f>SUMIFS(AtractivoSitios!$C:$C,AtractivoSitios!$A:$A,$A28,AtractivoSitios!$B:$B,Q$2)</f>
        <v>0</v>
      </c>
      <c r="R28">
        <f>SUMIFS(AtractivoSitios!$C:$C,AtractivoSitios!$A:$A,$A28,AtractivoSitios!$B:$B,R$2)</f>
        <v>0</v>
      </c>
      <c r="S28">
        <f>SUMIFS(AtractivoSitios!$C:$C,AtractivoSitios!$A:$A,$A28,AtractivoSitios!$B:$B,S$2)</f>
        <v>0</v>
      </c>
      <c r="T28">
        <f>SUM(M28:S28)</f>
        <v>0</v>
      </c>
      <c r="U28">
        <f>C28/(AD$4+H28+$T28)</f>
        <v>1.9211370504708126E-4</v>
      </c>
      <c r="V28">
        <f>D28/(AE$4+I28+$T28)</f>
        <v>5.5450763413860095E-5</v>
      </c>
      <c r="W28">
        <f>E28/(AF$4+J28+$T28)</f>
        <v>3.154663281022353E-4</v>
      </c>
      <c r="X28">
        <f>F28/(AG$4+K28+$T28)</f>
        <v>1.7469273344224566E-5</v>
      </c>
      <c r="Y28">
        <f>G28/(AH$4+L28+$T28)</f>
        <v>1.0833620424026486E-5</v>
      </c>
      <c r="AC28" s="28" t="s">
        <v>34</v>
      </c>
      <c r="AD28" s="28" t="s">
        <v>359</v>
      </c>
      <c r="AE28" s="28" t="s">
        <v>360</v>
      </c>
    </row>
    <row r="29" spans="1:34">
      <c r="A29" t="s">
        <v>73</v>
      </c>
      <c r="B29">
        <f>SUMIFS(Sectores!$C:$C,Sectores!$A:$A,$A29)</f>
        <v>2279</v>
      </c>
      <c r="C29">
        <f>SUMIFS(Generacion!$C:$C,Generacion!$A:$A,$A29,Generacion!$B:$B,C$2)</f>
        <v>4.3533876706587399E-2</v>
      </c>
      <c r="D29">
        <f>SUMIFS(Generacion!$C:$C,Generacion!$A:$A,$A29,Generacion!$B:$B,D$2)</f>
        <v>3.7870933395161399E-2</v>
      </c>
      <c r="E29">
        <f>SUMIFS(Generacion!$C:$C,Generacion!$A:$A,$A29,Generacion!$B:$B,E$2)</f>
        <v>1.34494903646368E-2</v>
      </c>
      <c r="F29">
        <f>SUMIFS(Generacion!$C:$C,Generacion!$A:$A,$A29,Generacion!$B:$B,F$2)</f>
        <v>3.5393395696412498E-3</v>
      </c>
      <c r="G29">
        <f>SUMIFS(Generacion!$C:$C,Generacion!$A:$A,$A29,Generacion!$B:$B,G$2)</f>
        <v>2.4775376987488701E-3</v>
      </c>
      <c r="H29">
        <f>SUMPRODUCT((AtractivoAlternativas!$A$2:$A$931=$A29)*AtractivoAlternativas!$C$2:$C$931*COUNTIFS(Alternativas!$A$2:$A$51,AtractivoAlternativas!$B$2:$B$931,Alternativas!$B$2:$B$51,H$2))</f>
        <v>1.4538679074195753</v>
      </c>
      <c r="I29">
        <f>SUMPRODUCT((AtractivoAlternativas!$A$2:$A$931=$A29)*AtractivoAlternativas!$C$2:$C$931*COUNTIFS(Alternativas!$A$2:$A$51,AtractivoAlternativas!$B$2:$B$931,Alternativas!$B$2:$B$51,I$2))</f>
        <v>3.2325895897498724</v>
      </c>
      <c r="J29">
        <f>SUMPRODUCT((AtractivoAlternativas!$A$2:$A$931=$A29)*AtractivoAlternativas!$C$2:$C$931*COUNTIFS(Alternativas!$A$2:$A$51,AtractivoAlternativas!$B$2:$B$931,Alternativas!$B$2:$B$51,J$2))</f>
        <v>1.8181464713002162</v>
      </c>
      <c r="K29">
        <f>SUMPRODUCT((AtractivoAlternativas!$A$2:$A$931=$A29)*AtractivoAlternativas!$C$2:$C$931*COUNTIFS(Alternativas!$A$2:$A$51,AtractivoAlternativas!$B$2:$B$931,Alternativas!$B$2:$B$51,K$2))</f>
        <v>0</v>
      </c>
      <c r="L29">
        <f>SUMPRODUCT((AtractivoAlternativas!$A$2:$A$931=$A29)*AtractivoAlternativas!$C$2:$C$931*COUNTIFS(Alternativas!$A$2:$A$51,AtractivoAlternativas!$B$2:$B$931,Alternativas!$B$2:$B$51,L$2))</f>
        <v>0</v>
      </c>
      <c r="M29">
        <f>SUMIFS(AtractivoSitios!$C:$C,AtractivoSitios!$A:$A,$A29,AtractivoSitios!$B:$B,M$2)</f>
        <v>0</v>
      </c>
      <c r="N29">
        <f>SUMIFS(AtractivoSitios!$C:$C,AtractivoSitios!$A:$A,$A29,AtractivoSitios!$B:$B,N$2)</f>
        <v>0</v>
      </c>
      <c r="O29">
        <f>SUMIFS(AtractivoSitios!$C:$C,AtractivoSitios!$A:$A,$A29,AtractivoSitios!$B:$B,O$2)</f>
        <v>0</v>
      </c>
      <c r="P29">
        <f>SUMIFS(AtractivoSitios!$C:$C,AtractivoSitios!$A:$A,$A29,AtractivoSitios!$B:$B,P$2)</f>
        <v>0</v>
      </c>
      <c r="Q29">
        <f>SUMIFS(AtractivoSitios!$C:$C,AtractivoSitios!$A:$A,$A29,AtractivoSitios!$B:$B,Q$2)</f>
        <v>0</v>
      </c>
      <c r="R29">
        <f>SUMIFS(AtractivoSitios!$C:$C,AtractivoSitios!$A:$A,$A29,AtractivoSitios!$B:$B,R$2)</f>
        <v>0</v>
      </c>
      <c r="S29">
        <f>SUMIFS(AtractivoSitios!$C:$C,AtractivoSitios!$A:$A,$A29,AtractivoSitios!$B:$B,S$2)</f>
        <v>0</v>
      </c>
      <c r="T29">
        <f>SUM(M29:S29)</f>
        <v>0</v>
      </c>
      <c r="U29">
        <f>C29/(AD$4+H29+$T29)</f>
        <v>1.9192589072660672E-4</v>
      </c>
      <c r="V29">
        <f>D29/(AE$4+I29+$T29)</f>
        <v>5.5445947053839595E-5</v>
      </c>
      <c r="W29">
        <f>E29/(AF$4+J29+$T29)</f>
        <v>3.1459918294696843E-4</v>
      </c>
      <c r="X29">
        <f>F29/(AG$4+K29+$T29)</f>
        <v>1.7469273344224566E-5</v>
      </c>
      <c r="Y29">
        <f>G29/(AH$4+L29+$T29)</f>
        <v>1.0833620424026486E-5</v>
      </c>
      <c r="AC29">
        <v>2.1</v>
      </c>
      <c r="AD29">
        <v>90.5</v>
      </c>
      <c r="AE29">
        <v>-0.25</v>
      </c>
    </row>
    <row r="30" spans="1:34">
      <c r="A30" t="s">
        <v>74</v>
      </c>
      <c r="B30">
        <f>SUMIFS(Sectores!$C:$C,Sectores!$A:$A,$A30)</f>
        <v>4252</v>
      </c>
      <c r="C30">
        <f>SUMIFS(Generacion!$C:$C,Generacion!$A:$A,$A30,Generacion!$B:$B,C$2)</f>
        <v>4.3533876706587399E-2</v>
      </c>
      <c r="D30">
        <f>SUMIFS(Generacion!$C:$C,Generacion!$A:$A,$A30,Generacion!$B:$B,D$2)</f>
        <v>3.7870933395161399E-2</v>
      </c>
      <c r="E30">
        <f>SUMIFS(Generacion!$C:$C,Generacion!$A:$A,$A30,Generacion!$B:$B,E$2)</f>
        <v>1.34494903646368E-2</v>
      </c>
      <c r="F30">
        <f>SUMIFS(Generacion!$C:$C,Generacion!$A:$A,$A30,Generacion!$B:$B,F$2)</f>
        <v>3.5393395696412498E-3</v>
      </c>
      <c r="G30">
        <f>SUMIFS(Generacion!$C:$C,Generacion!$A:$A,$A30,Generacion!$B:$B,G$2)</f>
        <v>2.4775376987488701E-3</v>
      </c>
      <c r="H30">
        <f>SUMPRODUCT((AtractivoAlternativas!$A$2:$A$931=$A30)*AtractivoAlternativas!$C$2:$C$931*COUNTIFS(Alternativas!$A$2:$A$51,AtractivoAlternativas!$B$2:$B$931,Alternativas!$B$2:$B$51,H$2))</f>
        <v>1.5168459695388068</v>
      </c>
      <c r="I30">
        <f>SUMPRODUCT((AtractivoAlternativas!$A$2:$A$931=$A30)*AtractivoAlternativas!$C$2:$C$931*COUNTIFS(Alternativas!$A$2:$A$51,AtractivoAlternativas!$B$2:$B$931,Alternativas!$B$2:$B$51,I$2))</f>
        <v>3.237559805645553</v>
      </c>
      <c r="J30">
        <f>SUMPRODUCT((AtractivoAlternativas!$A$2:$A$931=$A30)*AtractivoAlternativas!$C$2:$C$931*COUNTIFS(Alternativas!$A$2:$A$51,AtractivoAlternativas!$B$2:$B$931,Alternativas!$B$2:$B$51,J$2))</f>
        <v>2.66649235943559</v>
      </c>
      <c r="K30">
        <f>SUMPRODUCT((AtractivoAlternativas!$A$2:$A$931=$A30)*AtractivoAlternativas!$C$2:$C$931*COUNTIFS(Alternativas!$A$2:$A$51,AtractivoAlternativas!$B$2:$B$931,Alternativas!$B$2:$B$51,K$2))</f>
        <v>0</v>
      </c>
      <c r="L30">
        <f>SUMPRODUCT((AtractivoAlternativas!$A$2:$A$931=$A30)*AtractivoAlternativas!$C$2:$C$931*COUNTIFS(Alternativas!$A$2:$A$51,AtractivoAlternativas!$B$2:$B$931,Alternativas!$B$2:$B$51,L$2))</f>
        <v>0</v>
      </c>
      <c r="M30">
        <f>SUMIFS(AtractivoSitios!$C:$C,AtractivoSitios!$A:$A,$A30,AtractivoSitios!$B:$B,M$2)</f>
        <v>0</v>
      </c>
      <c r="N30">
        <f>SUMIFS(AtractivoSitios!$C:$C,AtractivoSitios!$A:$A,$A30,AtractivoSitios!$B:$B,N$2)</f>
        <v>0</v>
      </c>
      <c r="O30">
        <f>SUMIFS(AtractivoSitios!$C:$C,AtractivoSitios!$A:$A,$A30,AtractivoSitios!$B:$B,O$2)</f>
        <v>0</v>
      </c>
      <c r="P30">
        <f>SUMIFS(AtractivoSitios!$C:$C,AtractivoSitios!$A:$A,$A30,AtractivoSitios!$B:$B,P$2)</f>
        <v>0</v>
      </c>
      <c r="Q30">
        <f>SUMIFS(AtractivoSitios!$C:$C,AtractivoSitios!$A:$A,$A30,AtractivoSitios!$B:$B,Q$2)</f>
        <v>0</v>
      </c>
      <c r="R30">
        <f>SUMIFS(AtractivoSitios!$C:$C,AtractivoSitios!$A:$A,$A30,AtractivoSitios!$B:$B,R$2)</f>
        <v>0</v>
      </c>
      <c r="S30">
        <f>SUMIFS(AtractivoSitios!$C:$C,AtractivoSitios!$A:$A,$A30,AtractivoSitios!$B:$B,S$2)</f>
        <v>0</v>
      </c>
      <c r="T30">
        <f>SUM(M30:S30)</f>
        <v>0</v>
      </c>
      <c r="U30">
        <f>C30/(AD$4+H30+$T30)</f>
        <v>1.9187261755966481E-4</v>
      </c>
      <c r="V30">
        <f>D30/(AE$4+I30+$T30)</f>
        <v>5.5445543588997452E-5</v>
      </c>
      <c r="W30">
        <f>E30/(AF$4+J30+$T30)</f>
        <v>3.0847781261781351E-4</v>
      </c>
      <c r="X30">
        <f>F30/(AG$4+K30+$T30)</f>
        <v>1.7469273344224566E-5</v>
      </c>
      <c r="Y30">
        <f>G30/(AH$4+L30+$T30)</f>
        <v>1.0833620424026486E-5</v>
      </c>
      <c r="AC30">
        <v>1</v>
      </c>
      <c r="AD30">
        <v>72.5</v>
      </c>
      <c r="AE30">
        <v>0.28999999999999998</v>
      </c>
    </row>
    <row r="31" spans="1:34">
      <c r="A31" t="s">
        <v>75</v>
      </c>
      <c r="B31">
        <f>SUMIFS(Sectores!$C:$C,Sectores!$A:$A,$A31)</f>
        <v>2790</v>
      </c>
      <c r="C31">
        <f>SUMIFS(Generacion!$C:$C,Generacion!$A:$A,$A31,Generacion!$B:$B,C$2)</f>
        <v>4.3533876706587399E-2</v>
      </c>
      <c r="D31">
        <f>SUMIFS(Generacion!$C:$C,Generacion!$A:$A,$A31,Generacion!$B:$B,D$2)</f>
        <v>3.7870933395161399E-2</v>
      </c>
      <c r="E31">
        <f>SUMIFS(Generacion!$C:$C,Generacion!$A:$A,$A31,Generacion!$B:$B,E$2)</f>
        <v>1.34494903646368E-2</v>
      </c>
      <c r="F31">
        <f>SUMIFS(Generacion!$C:$C,Generacion!$A:$A,$A31,Generacion!$B:$B,F$2)</f>
        <v>3.5393395696412498E-3</v>
      </c>
      <c r="G31">
        <f>SUMIFS(Generacion!$C:$C,Generacion!$A:$A,$A31,Generacion!$B:$B,G$2)</f>
        <v>2.4775376987488701E-3</v>
      </c>
      <c r="H31">
        <f>SUMPRODUCT((AtractivoAlternativas!$A$2:$A$931=$A31)*AtractivoAlternativas!$C$2:$C$931*COUNTIFS(Alternativas!$A$2:$A$51,AtractivoAlternativas!$B$2:$B$931,Alternativas!$B$2:$B$51,H$2))</f>
        <v>1.4543907337686948</v>
      </c>
      <c r="I31">
        <f>SUMPRODUCT((AtractivoAlternativas!$A$2:$A$931=$A31)*AtractivoAlternativas!$C$2:$C$931*COUNTIFS(Alternativas!$A$2:$A$51,AtractivoAlternativas!$B$2:$B$931,Alternativas!$B$2:$B$51,I$2))</f>
        <v>2.9825076467884131</v>
      </c>
      <c r="J31">
        <f>SUMPRODUCT((AtractivoAlternativas!$A$2:$A$931=$A31)*AtractivoAlternativas!$C$2:$C$931*COUNTIFS(Alternativas!$A$2:$A$51,AtractivoAlternativas!$B$2:$B$931,Alternativas!$B$2:$B$51,J$2))</f>
        <v>2.327970971792193</v>
      </c>
      <c r="K31">
        <f>SUMPRODUCT((AtractivoAlternativas!$A$2:$A$931=$A31)*AtractivoAlternativas!$C$2:$C$931*COUNTIFS(Alternativas!$A$2:$A$51,AtractivoAlternativas!$B$2:$B$931,Alternativas!$B$2:$B$51,K$2))</f>
        <v>0</v>
      </c>
      <c r="L31">
        <f>SUMPRODUCT((AtractivoAlternativas!$A$2:$A$931=$A31)*AtractivoAlternativas!$C$2:$C$931*COUNTIFS(Alternativas!$A$2:$A$51,AtractivoAlternativas!$B$2:$B$931,Alternativas!$B$2:$B$51,L$2))</f>
        <v>0</v>
      </c>
      <c r="M31">
        <f>SUMIFS(AtractivoSitios!$C:$C,AtractivoSitios!$A:$A,$A31,AtractivoSitios!$B:$B,M$2)</f>
        <v>0</v>
      </c>
      <c r="N31">
        <f>SUMIFS(AtractivoSitios!$C:$C,AtractivoSitios!$A:$A,$A31,AtractivoSitios!$B:$B,N$2)</f>
        <v>0</v>
      </c>
      <c r="O31">
        <f>SUMIFS(AtractivoSitios!$C:$C,AtractivoSitios!$A:$A,$A31,AtractivoSitios!$B:$B,O$2)</f>
        <v>0</v>
      </c>
      <c r="P31">
        <f>SUMIFS(AtractivoSitios!$C:$C,AtractivoSitios!$A:$A,$A31,AtractivoSitios!$B:$B,P$2)</f>
        <v>0</v>
      </c>
      <c r="Q31">
        <f>SUMIFS(AtractivoSitios!$C:$C,AtractivoSitios!$A:$A,$A31,AtractivoSitios!$B:$B,Q$2)</f>
        <v>0</v>
      </c>
      <c r="R31">
        <f>SUMIFS(AtractivoSitios!$C:$C,AtractivoSitios!$A:$A,$A31,AtractivoSitios!$B:$B,R$2)</f>
        <v>0</v>
      </c>
      <c r="S31">
        <f>SUMIFS(AtractivoSitios!$C:$C,AtractivoSitios!$A:$A,$A31,AtractivoSitios!$B:$B,S$2)</f>
        <v>0</v>
      </c>
      <c r="T31">
        <f>SUM(M31:S31)</f>
        <v>0</v>
      </c>
      <c r="U31">
        <f>C31/(AD$4+H31+$T31)</f>
        <v>1.9192544834582421E-4</v>
      </c>
      <c r="V31">
        <f>D31/(AE$4+I31+$T31)</f>
        <v>5.5466255419703238E-5</v>
      </c>
      <c r="W31">
        <f>E31/(AF$4+J31+$T31)</f>
        <v>3.1089167949834132E-4</v>
      </c>
      <c r="X31">
        <f>F31/(AG$4+K31+$T31)</f>
        <v>1.7469273344224566E-5</v>
      </c>
      <c r="Y31">
        <f>G31/(AH$4+L31+$T31)</f>
        <v>1.0833620424026486E-5</v>
      </c>
      <c r="AC31" s="30">
        <v>0.5</v>
      </c>
      <c r="AD31" s="30">
        <v>64.2</v>
      </c>
      <c r="AE31" s="30">
        <v>0.5</v>
      </c>
    </row>
    <row r="32" spans="1:34">
      <c r="A32" t="s">
        <v>76</v>
      </c>
      <c r="B32">
        <f>SUMIFS(Sectores!$C:$C,Sectores!$A:$A,$A32)</f>
        <v>4569</v>
      </c>
      <c r="C32">
        <f>SUMIFS(Generacion!$C:$C,Generacion!$A:$A,$A32,Generacion!$B:$B,C$2)</f>
        <v>4.3533876706587399E-2</v>
      </c>
      <c r="D32">
        <f>SUMIFS(Generacion!$C:$C,Generacion!$A:$A,$A32,Generacion!$B:$B,D$2)</f>
        <v>3.7870933395161399E-2</v>
      </c>
      <c r="E32">
        <f>SUMIFS(Generacion!$C:$C,Generacion!$A:$A,$A32,Generacion!$B:$B,E$2)</f>
        <v>1.34494903646368E-2</v>
      </c>
      <c r="F32">
        <f>SUMIFS(Generacion!$C:$C,Generacion!$A:$A,$A32,Generacion!$B:$B,F$2)</f>
        <v>3.5393395696412498E-3</v>
      </c>
      <c r="G32">
        <f>SUMIFS(Generacion!$C:$C,Generacion!$A:$A,$A32,Generacion!$B:$B,G$2)</f>
        <v>2.4775376987488701E-3</v>
      </c>
      <c r="H32">
        <f>SUMPRODUCT((AtractivoAlternativas!$A$2:$A$931=$A32)*AtractivoAlternativas!$C$2:$C$931*COUNTIFS(Alternativas!$A$2:$A$51,AtractivoAlternativas!$B$2:$B$931,Alternativas!$B$2:$B$51,H$2))</f>
        <v>1.2682829513163263</v>
      </c>
      <c r="I32">
        <f>SUMPRODUCT((AtractivoAlternativas!$A$2:$A$931=$A32)*AtractivoAlternativas!$C$2:$C$931*COUNTIFS(Alternativas!$A$2:$A$51,AtractivoAlternativas!$B$2:$B$931,Alternativas!$B$2:$B$51,I$2))</f>
        <v>2.8287651919449281</v>
      </c>
      <c r="J32">
        <f>SUMPRODUCT((AtractivoAlternativas!$A$2:$A$931=$A32)*AtractivoAlternativas!$C$2:$C$931*COUNTIFS(Alternativas!$A$2:$A$51,AtractivoAlternativas!$B$2:$B$931,Alternativas!$B$2:$B$51,J$2))</f>
        <v>2.3773654085294105</v>
      </c>
      <c r="K32">
        <f>SUMPRODUCT((AtractivoAlternativas!$A$2:$A$931=$A32)*AtractivoAlternativas!$C$2:$C$931*COUNTIFS(Alternativas!$A$2:$A$51,AtractivoAlternativas!$B$2:$B$931,Alternativas!$B$2:$B$51,K$2))</f>
        <v>0</v>
      </c>
      <c r="L32">
        <f>SUMPRODUCT((AtractivoAlternativas!$A$2:$A$931=$A32)*AtractivoAlternativas!$C$2:$C$931*COUNTIFS(Alternativas!$A$2:$A$51,AtractivoAlternativas!$B$2:$B$931,Alternativas!$B$2:$B$51,L$2))</f>
        <v>0</v>
      </c>
      <c r="M32">
        <f>SUMIFS(AtractivoSitios!$C:$C,AtractivoSitios!$A:$A,$A32,AtractivoSitios!$B:$B,M$2)</f>
        <v>0</v>
      </c>
      <c r="N32">
        <f>SUMIFS(AtractivoSitios!$C:$C,AtractivoSitios!$A:$A,$A32,AtractivoSitios!$B:$B,N$2)</f>
        <v>0</v>
      </c>
      <c r="O32">
        <f>SUMIFS(AtractivoSitios!$C:$C,AtractivoSitios!$A:$A,$A32,AtractivoSitios!$B:$B,O$2)</f>
        <v>0</v>
      </c>
      <c r="P32">
        <f>SUMIFS(AtractivoSitios!$C:$C,AtractivoSitios!$A:$A,$A32,AtractivoSitios!$B:$B,P$2)</f>
        <v>0</v>
      </c>
      <c r="Q32">
        <f>SUMIFS(AtractivoSitios!$C:$C,AtractivoSitios!$A:$A,$A32,AtractivoSitios!$B:$B,Q$2)</f>
        <v>0</v>
      </c>
      <c r="R32">
        <f>SUMIFS(AtractivoSitios!$C:$C,AtractivoSitios!$A:$A,$A32,AtractivoSitios!$B:$B,R$2)</f>
        <v>0</v>
      </c>
      <c r="S32">
        <f>SUMIFS(AtractivoSitios!$C:$C,AtractivoSitios!$A:$A,$A32,AtractivoSitios!$B:$B,S$2)</f>
        <v>0</v>
      </c>
      <c r="T32">
        <f>SUM(M32:S32)</f>
        <v>0</v>
      </c>
      <c r="U32">
        <f>C32/(AD$4+H32+$T32)</f>
        <v>1.9208304928335321E-4</v>
      </c>
      <c r="V32">
        <f>D32/(AE$4+I32+$T32)</f>
        <v>5.5478747745414225E-5</v>
      </c>
      <c r="W32">
        <f>E32/(AF$4+J32+$T32)</f>
        <v>3.1053711534772833E-4</v>
      </c>
      <c r="X32">
        <f>F32/(AG$4+K32+$T32)</f>
        <v>1.7469273344224566E-5</v>
      </c>
      <c r="Y32">
        <f>G32/(AH$4+L32+$T32)</f>
        <v>1.0833620424026486E-5</v>
      </c>
    </row>
    <row r="33" spans="1:25">
      <c r="A33" t="s">
        <v>77</v>
      </c>
      <c r="B33">
        <f>SUMIFS(Sectores!$C:$C,Sectores!$A:$A,$A33)</f>
        <v>4583</v>
      </c>
      <c r="C33">
        <f>SUMIFS(Generacion!$C:$C,Generacion!$A:$A,$A33,Generacion!$B:$B,C$2)</f>
        <v>4.3533876706587399E-2</v>
      </c>
      <c r="D33">
        <f>SUMIFS(Generacion!$C:$C,Generacion!$A:$A,$A33,Generacion!$B:$B,D$2)</f>
        <v>3.7870933395161399E-2</v>
      </c>
      <c r="E33">
        <f>SUMIFS(Generacion!$C:$C,Generacion!$A:$A,$A33,Generacion!$B:$B,E$2)</f>
        <v>1.34494903646368E-2</v>
      </c>
      <c r="F33">
        <f>SUMIFS(Generacion!$C:$C,Generacion!$A:$A,$A33,Generacion!$B:$B,F$2)</f>
        <v>3.5393395696412498E-3</v>
      </c>
      <c r="G33">
        <f>SUMIFS(Generacion!$C:$C,Generacion!$A:$A,$A33,Generacion!$B:$B,G$2)</f>
        <v>2.4775376987488701E-3</v>
      </c>
      <c r="H33">
        <f>SUMPRODUCT((AtractivoAlternativas!$A$2:$A$931=$A33)*AtractivoAlternativas!$C$2:$C$931*COUNTIFS(Alternativas!$A$2:$A$51,AtractivoAlternativas!$B$2:$B$931,Alternativas!$B$2:$B$51,H$2))</f>
        <v>1.0183788098841258</v>
      </c>
      <c r="I33">
        <f>SUMPRODUCT((AtractivoAlternativas!$A$2:$A$931=$A33)*AtractivoAlternativas!$C$2:$C$931*COUNTIFS(Alternativas!$A$2:$A$51,AtractivoAlternativas!$B$2:$B$931,Alternativas!$B$2:$B$51,I$2))</f>
        <v>2.4140462524445967</v>
      </c>
      <c r="J33">
        <f>SUMPRODUCT((AtractivoAlternativas!$A$2:$A$931=$A33)*AtractivoAlternativas!$C$2:$C$931*COUNTIFS(Alternativas!$A$2:$A$51,AtractivoAlternativas!$B$2:$B$931,Alternativas!$B$2:$B$51,J$2))</f>
        <v>1.1434363655990536</v>
      </c>
      <c r="K33">
        <f>SUMPRODUCT((AtractivoAlternativas!$A$2:$A$931=$A33)*AtractivoAlternativas!$C$2:$C$931*COUNTIFS(Alternativas!$A$2:$A$51,AtractivoAlternativas!$B$2:$B$931,Alternativas!$B$2:$B$51,K$2))</f>
        <v>0</v>
      </c>
      <c r="L33">
        <f>SUMPRODUCT((AtractivoAlternativas!$A$2:$A$931=$A33)*AtractivoAlternativas!$C$2:$C$931*COUNTIFS(Alternativas!$A$2:$A$51,AtractivoAlternativas!$B$2:$B$931,Alternativas!$B$2:$B$51,L$2))</f>
        <v>0</v>
      </c>
      <c r="M33">
        <f>SUMIFS(AtractivoSitios!$C:$C,AtractivoSitios!$A:$A,$A33,AtractivoSitios!$B:$B,M$2)</f>
        <v>0</v>
      </c>
      <c r="N33">
        <f>SUMIFS(AtractivoSitios!$C:$C,AtractivoSitios!$A:$A,$A33,AtractivoSitios!$B:$B,N$2)</f>
        <v>0</v>
      </c>
      <c r="O33">
        <f>SUMIFS(AtractivoSitios!$C:$C,AtractivoSitios!$A:$A,$A33,AtractivoSitios!$B:$B,O$2)</f>
        <v>0</v>
      </c>
      <c r="P33">
        <f>SUMIFS(AtractivoSitios!$C:$C,AtractivoSitios!$A:$A,$A33,AtractivoSitios!$B:$B,P$2)</f>
        <v>0</v>
      </c>
      <c r="Q33">
        <f>SUMIFS(AtractivoSitios!$C:$C,AtractivoSitios!$A:$A,$A33,AtractivoSitios!$B:$B,Q$2)</f>
        <v>0</v>
      </c>
      <c r="R33">
        <f>SUMIFS(AtractivoSitios!$C:$C,AtractivoSitios!$A:$A,$A33,AtractivoSitios!$B:$B,R$2)</f>
        <v>0</v>
      </c>
      <c r="S33">
        <f>SUMIFS(AtractivoSitios!$C:$C,AtractivoSitios!$A:$A,$A33,AtractivoSitios!$B:$B,S$2)</f>
        <v>0</v>
      </c>
      <c r="T33">
        <f>SUM(M33:S33)</f>
        <v>0</v>
      </c>
      <c r="U33">
        <f>C33/(AD$4+H33+$T33)</f>
        <v>1.9229508222057471E-4</v>
      </c>
      <c r="V33">
        <f>D33/(AE$4+I33+$T33)</f>
        <v>5.5512473765222264E-5</v>
      </c>
      <c r="W33">
        <f>E33/(AF$4+J33+$T33)</f>
        <v>3.1964388330570423E-4</v>
      </c>
      <c r="X33">
        <f>F33/(AG$4+K33+$T33)</f>
        <v>1.7469273344224566E-5</v>
      </c>
      <c r="Y33">
        <f>G33/(AH$4+L33+$T33)</f>
        <v>1.0833620424026486E-5</v>
      </c>
    </row>
    <row r="34" spans="1:25">
      <c r="A34" t="s">
        <v>78</v>
      </c>
      <c r="B34">
        <f>SUMIFS(Sectores!$C:$C,Sectores!$A:$A,$A34)</f>
        <v>3445</v>
      </c>
      <c r="C34">
        <f>SUMIFS(Generacion!$C:$C,Generacion!$A:$A,$A34,Generacion!$B:$B,C$2)</f>
        <v>4.3533876706587399E-2</v>
      </c>
      <c r="D34">
        <f>SUMIFS(Generacion!$C:$C,Generacion!$A:$A,$A34,Generacion!$B:$B,D$2)</f>
        <v>3.7870933395161399E-2</v>
      </c>
      <c r="E34">
        <f>SUMIFS(Generacion!$C:$C,Generacion!$A:$A,$A34,Generacion!$B:$B,E$2)</f>
        <v>1.34494903646368E-2</v>
      </c>
      <c r="F34">
        <f>SUMIFS(Generacion!$C:$C,Generacion!$A:$A,$A34,Generacion!$B:$B,F$2)</f>
        <v>3.5393395696412498E-3</v>
      </c>
      <c r="G34">
        <f>SUMIFS(Generacion!$C:$C,Generacion!$A:$A,$A34,Generacion!$B:$B,G$2)</f>
        <v>2.4775376987488701E-3</v>
      </c>
      <c r="H34">
        <f>SUMPRODUCT((AtractivoAlternativas!$A$2:$A$931=$A34)*AtractivoAlternativas!$C$2:$C$931*COUNTIFS(Alternativas!$A$2:$A$51,AtractivoAlternativas!$B$2:$B$931,Alternativas!$B$2:$B$51,H$2))</f>
        <v>1.2089591822171735</v>
      </c>
      <c r="I34">
        <f>SUMPRODUCT((AtractivoAlternativas!$A$2:$A$931=$A34)*AtractivoAlternativas!$C$2:$C$931*COUNTIFS(Alternativas!$A$2:$A$51,AtractivoAlternativas!$B$2:$B$931,Alternativas!$B$2:$B$51,I$2))</f>
        <v>2.6619516610838794</v>
      </c>
      <c r="J34">
        <f>SUMPRODUCT((AtractivoAlternativas!$A$2:$A$931=$A34)*AtractivoAlternativas!$C$2:$C$931*COUNTIFS(Alternativas!$A$2:$A$51,AtractivoAlternativas!$B$2:$B$931,Alternativas!$B$2:$B$51,J$2))</f>
        <v>2.2559768179437789</v>
      </c>
      <c r="K34">
        <f>SUMPRODUCT((AtractivoAlternativas!$A$2:$A$931=$A34)*AtractivoAlternativas!$C$2:$C$931*COUNTIFS(Alternativas!$A$2:$A$51,AtractivoAlternativas!$B$2:$B$931,Alternativas!$B$2:$B$51,K$2))</f>
        <v>0</v>
      </c>
      <c r="L34">
        <f>SUMPRODUCT((AtractivoAlternativas!$A$2:$A$931=$A34)*AtractivoAlternativas!$C$2:$C$931*COUNTIFS(Alternativas!$A$2:$A$51,AtractivoAlternativas!$B$2:$B$931,Alternativas!$B$2:$B$51,L$2))</f>
        <v>0</v>
      </c>
      <c r="M34">
        <f>SUMIFS(AtractivoSitios!$C:$C,AtractivoSitios!$A:$A,$A34,AtractivoSitios!$B:$B,M$2)</f>
        <v>0</v>
      </c>
      <c r="N34">
        <f>SUMIFS(AtractivoSitios!$C:$C,AtractivoSitios!$A:$A,$A34,AtractivoSitios!$B:$B,N$2)</f>
        <v>0</v>
      </c>
      <c r="O34">
        <f>SUMIFS(AtractivoSitios!$C:$C,AtractivoSitios!$A:$A,$A34,AtractivoSitios!$B:$B,O$2)</f>
        <v>0</v>
      </c>
      <c r="P34">
        <f>SUMIFS(AtractivoSitios!$C:$C,AtractivoSitios!$A:$A,$A34,AtractivoSitios!$B:$B,P$2)</f>
        <v>0</v>
      </c>
      <c r="Q34">
        <f>SUMIFS(AtractivoSitios!$C:$C,AtractivoSitios!$A:$A,$A34,AtractivoSitios!$B:$B,Q$2)</f>
        <v>0</v>
      </c>
      <c r="R34">
        <f>SUMIFS(AtractivoSitios!$C:$C,AtractivoSitios!$A:$A,$A34,AtractivoSitios!$B:$B,R$2)</f>
        <v>0</v>
      </c>
      <c r="S34">
        <f>SUMIFS(AtractivoSitios!$C:$C,AtractivoSitios!$A:$A,$A34,AtractivoSitios!$B:$B,S$2)</f>
        <v>0</v>
      </c>
      <c r="T34">
        <f>SUM(M34:S34)</f>
        <v>0</v>
      </c>
      <c r="U34">
        <f>C34/(AD$4+H34+$T34)</f>
        <v>1.9213334061881528E-4</v>
      </c>
      <c r="V34">
        <f>D34/(AE$4+I34+$T34)</f>
        <v>5.5492308526579566E-5</v>
      </c>
      <c r="W34">
        <f>E34/(AF$4+J34+$T34)</f>
        <v>3.1140992190596694E-4</v>
      </c>
      <c r="X34">
        <f>F34/(AG$4+K34+$T34)</f>
        <v>1.7469273344224566E-5</v>
      </c>
      <c r="Y34">
        <f>G34/(AH$4+L34+$T34)</f>
        <v>1.0833620424026486E-5</v>
      </c>
    </row>
    <row r="35" spans="1:25">
      <c r="A35" t="s">
        <v>79</v>
      </c>
      <c r="B35">
        <f>SUMIFS(Sectores!$C:$C,Sectores!$A:$A,$A35)</f>
        <v>2671</v>
      </c>
      <c r="C35">
        <f>SUMIFS(Generacion!$C:$C,Generacion!$A:$A,$A35,Generacion!$B:$B,C$2)</f>
        <v>4.3533876706587399E-2</v>
      </c>
      <c r="D35">
        <f>SUMIFS(Generacion!$C:$C,Generacion!$A:$A,$A35,Generacion!$B:$B,D$2)</f>
        <v>3.7870933395161399E-2</v>
      </c>
      <c r="E35">
        <f>SUMIFS(Generacion!$C:$C,Generacion!$A:$A,$A35,Generacion!$B:$B,E$2)</f>
        <v>1.34494903646368E-2</v>
      </c>
      <c r="F35">
        <f>SUMIFS(Generacion!$C:$C,Generacion!$A:$A,$A35,Generacion!$B:$B,F$2)</f>
        <v>3.5393395696412498E-3</v>
      </c>
      <c r="G35">
        <f>SUMIFS(Generacion!$C:$C,Generacion!$A:$A,$A35,Generacion!$B:$B,G$2)</f>
        <v>2.4775376987488701E-3</v>
      </c>
      <c r="H35">
        <f>SUMPRODUCT((AtractivoAlternativas!$A$2:$A$931=$A35)*AtractivoAlternativas!$C$2:$C$931*COUNTIFS(Alternativas!$A$2:$A$51,AtractivoAlternativas!$B$2:$B$931,Alternativas!$B$2:$B$51,H$2))</f>
        <v>1.4342452933497847</v>
      </c>
      <c r="I35">
        <f>SUMPRODUCT((AtractivoAlternativas!$A$2:$A$931=$A35)*AtractivoAlternativas!$C$2:$C$931*COUNTIFS(Alternativas!$A$2:$A$51,AtractivoAlternativas!$B$2:$B$931,Alternativas!$B$2:$B$51,I$2))</f>
        <v>4.9072416359193465</v>
      </c>
      <c r="J35">
        <f>SUMPRODUCT((AtractivoAlternativas!$A$2:$A$931=$A35)*AtractivoAlternativas!$C$2:$C$931*COUNTIFS(Alternativas!$A$2:$A$51,AtractivoAlternativas!$B$2:$B$931,Alternativas!$B$2:$B$51,J$2))</f>
        <v>0.63621624715432568</v>
      </c>
      <c r="K35">
        <f>SUMPRODUCT((AtractivoAlternativas!$A$2:$A$931=$A35)*AtractivoAlternativas!$C$2:$C$931*COUNTIFS(Alternativas!$A$2:$A$51,AtractivoAlternativas!$B$2:$B$931,Alternativas!$B$2:$B$51,K$2))</f>
        <v>0</v>
      </c>
      <c r="L35">
        <f>SUMPRODUCT((AtractivoAlternativas!$A$2:$A$931=$A35)*AtractivoAlternativas!$C$2:$C$931*COUNTIFS(Alternativas!$A$2:$A$51,AtractivoAlternativas!$B$2:$B$931,Alternativas!$B$2:$B$51,L$2))</f>
        <v>0</v>
      </c>
      <c r="M35">
        <f>SUMIFS(AtractivoSitios!$C:$C,AtractivoSitios!$A:$A,$A35,AtractivoSitios!$B:$B,M$2)</f>
        <v>0</v>
      </c>
      <c r="N35">
        <f>SUMIFS(AtractivoSitios!$C:$C,AtractivoSitios!$A:$A,$A35,AtractivoSitios!$B:$B,N$2)</f>
        <v>0</v>
      </c>
      <c r="O35">
        <f>SUMIFS(AtractivoSitios!$C:$C,AtractivoSitios!$A:$A,$A35,AtractivoSitios!$B:$B,O$2)</f>
        <v>0</v>
      </c>
      <c r="P35">
        <f>SUMIFS(AtractivoSitios!$C:$C,AtractivoSitios!$A:$A,$A35,AtractivoSitios!$B:$B,P$2)</f>
        <v>0.64696729956050392</v>
      </c>
      <c r="Q35">
        <f>SUMIFS(AtractivoSitios!$C:$C,AtractivoSitios!$A:$A,$A35,AtractivoSitios!$B:$B,Q$2)</f>
        <v>0</v>
      </c>
      <c r="R35">
        <f>SUMIFS(AtractivoSitios!$C:$C,AtractivoSitios!$A:$A,$A35,AtractivoSitios!$B:$B,R$2)</f>
        <v>0</v>
      </c>
      <c r="S35">
        <f>SUMIFS(AtractivoSitios!$C:$C,AtractivoSitios!$A:$A,$A35,AtractivoSitios!$B:$B,S$2)</f>
        <v>0</v>
      </c>
      <c r="T35">
        <f>SUM(M35:S35)</f>
        <v>0.64696729956050392</v>
      </c>
      <c r="U35">
        <f>C35/(AD$4+H35+$T35)</f>
        <v>1.9139653633633391E-4</v>
      </c>
      <c r="V35">
        <f>D35/(AE$4+I35+$T35)</f>
        <v>5.5258123116480883E-5</v>
      </c>
      <c r="W35">
        <f>E35/(AF$4+J35+$T35)</f>
        <v>3.1858577528300752E-4</v>
      </c>
      <c r="X35">
        <f>F35/(AG$4+K35+$T35)</f>
        <v>1.741366689401493E-5</v>
      </c>
      <c r="Y35">
        <f>G35/(AH$4+L35+$T35)</f>
        <v>1.0803058380009887E-5</v>
      </c>
    </row>
    <row r="36" spans="1:25">
      <c r="A36" t="s">
        <v>81</v>
      </c>
      <c r="B36">
        <f>SUMIFS(Sectores!$C:$C,Sectores!$A:$A,$A36)</f>
        <v>3710</v>
      </c>
      <c r="C36">
        <f>SUMIFS(Generacion!$C:$C,Generacion!$A:$A,$A36,Generacion!$B:$B,C$2)</f>
        <v>4.3533876706587399E-2</v>
      </c>
      <c r="D36">
        <f>SUMIFS(Generacion!$C:$C,Generacion!$A:$A,$A36,Generacion!$B:$B,D$2)</f>
        <v>3.7870933395161399E-2</v>
      </c>
      <c r="E36">
        <f>SUMIFS(Generacion!$C:$C,Generacion!$A:$A,$A36,Generacion!$B:$B,E$2)</f>
        <v>1.34494903646368E-2</v>
      </c>
      <c r="F36">
        <f>SUMIFS(Generacion!$C:$C,Generacion!$A:$A,$A36,Generacion!$B:$B,F$2)</f>
        <v>3.5393395696412498E-3</v>
      </c>
      <c r="G36">
        <f>SUMIFS(Generacion!$C:$C,Generacion!$A:$A,$A36,Generacion!$B:$B,G$2)</f>
        <v>2.4775376987488701E-3</v>
      </c>
      <c r="H36">
        <f>SUMPRODUCT((AtractivoAlternativas!$A$2:$A$931=$A36)*AtractivoAlternativas!$C$2:$C$931*COUNTIFS(Alternativas!$A$2:$A$51,AtractivoAlternativas!$B$2:$B$931,Alternativas!$B$2:$B$51,H$2))</f>
        <v>1.5082698918367481</v>
      </c>
      <c r="I36">
        <f>SUMPRODUCT((AtractivoAlternativas!$A$2:$A$931=$A36)*AtractivoAlternativas!$C$2:$C$931*COUNTIFS(Alternativas!$A$2:$A$51,AtractivoAlternativas!$B$2:$B$931,Alternativas!$B$2:$B$51,I$2))</f>
        <v>5.0258242943362168</v>
      </c>
      <c r="J36">
        <f>SUMPRODUCT((AtractivoAlternativas!$A$2:$A$931=$A36)*AtractivoAlternativas!$C$2:$C$931*COUNTIFS(Alternativas!$A$2:$A$51,AtractivoAlternativas!$B$2:$B$931,Alternativas!$B$2:$B$51,J$2))</f>
        <v>0.72476459597707521</v>
      </c>
      <c r="K36">
        <f>SUMPRODUCT((AtractivoAlternativas!$A$2:$A$931=$A36)*AtractivoAlternativas!$C$2:$C$931*COUNTIFS(Alternativas!$A$2:$A$51,AtractivoAlternativas!$B$2:$B$931,Alternativas!$B$2:$B$51,K$2))</f>
        <v>0</v>
      </c>
      <c r="L36">
        <f>SUMPRODUCT((AtractivoAlternativas!$A$2:$A$931=$A36)*AtractivoAlternativas!$C$2:$C$931*COUNTIFS(Alternativas!$A$2:$A$51,AtractivoAlternativas!$B$2:$B$931,Alternativas!$B$2:$B$51,L$2))</f>
        <v>0</v>
      </c>
      <c r="M36">
        <f>SUMIFS(AtractivoSitios!$C:$C,AtractivoSitios!$A:$A,$A36,AtractivoSitios!$B:$B,M$2)</f>
        <v>0</v>
      </c>
      <c r="N36">
        <f>SUMIFS(AtractivoSitios!$C:$C,AtractivoSitios!$A:$A,$A36,AtractivoSitios!$B:$B,N$2)</f>
        <v>0</v>
      </c>
      <c r="O36">
        <f>SUMIFS(AtractivoSitios!$C:$C,AtractivoSitios!$A:$A,$A36,AtractivoSitios!$B:$B,O$2)</f>
        <v>0</v>
      </c>
      <c r="P36">
        <f>SUMIFS(AtractivoSitios!$C:$C,AtractivoSitios!$A:$A,$A36,AtractivoSitios!$B:$B,P$2)</f>
        <v>0.55099556282687723</v>
      </c>
      <c r="Q36">
        <f>SUMIFS(AtractivoSitios!$C:$C,AtractivoSitios!$A:$A,$A36,AtractivoSitios!$B:$B,Q$2)</f>
        <v>0</v>
      </c>
      <c r="R36">
        <f>SUMIFS(AtractivoSitios!$C:$C,AtractivoSitios!$A:$A,$A36,AtractivoSitios!$B:$B,R$2)</f>
        <v>0</v>
      </c>
      <c r="S36">
        <f>SUMIFS(AtractivoSitios!$C:$C,AtractivoSitios!$A:$A,$A36,AtractivoSitios!$B:$B,S$2)</f>
        <v>0.37065941307852163</v>
      </c>
      <c r="T36">
        <f>SUM(M36:S36)</f>
        <v>0.92165497590539891</v>
      </c>
      <c r="U36">
        <f>C36/(AD$4+H36+$T36)</f>
        <v>1.9110355312961948E-4</v>
      </c>
      <c r="V36">
        <f>D36/(AE$4+I36+$T36)</f>
        <v>5.5226432674267734E-5</v>
      </c>
      <c r="W36">
        <f>E36/(AF$4+J36+$T36)</f>
        <v>3.1586799036255862E-4</v>
      </c>
      <c r="X36">
        <f>F36/(AG$4+K36+$T36)</f>
        <v>1.739016456680157E-5</v>
      </c>
      <c r="Y36">
        <f>G36/(AH$4+L36+$T36)</f>
        <v>1.0790134512837319E-5</v>
      </c>
    </row>
    <row r="37" spans="1:25">
      <c r="A37" t="s">
        <v>82</v>
      </c>
      <c r="B37">
        <f>SUMIFS(Sectores!$C:$C,Sectores!$A:$A,$A37)</f>
        <v>4926</v>
      </c>
      <c r="C37">
        <f>SUMIFS(Generacion!$C:$C,Generacion!$A:$A,$A37,Generacion!$B:$B,C$2)</f>
        <v>4.3533876706587399E-2</v>
      </c>
      <c r="D37">
        <f>SUMIFS(Generacion!$C:$C,Generacion!$A:$A,$A37,Generacion!$B:$B,D$2)</f>
        <v>3.7870933395161399E-2</v>
      </c>
      <c r="E37">
        <f>SUMIFS(Generacion!$C:$C,Generacion!$A:$A,$A37,Generacion!$B:$B,E$2)</f>
        <v>1.34494903646368E-2</v>
      </c>
      <c r="F37">
        <f>SUMIFS(Generacion!$C:$C,Generacion!$A:$A,$A37,Generacion!$B:$B,F$2)</f>
        <v>3.5393395696412498E-3</v>
      </c>
      <c r="G37">
        <f>SUMIFS(Generacion!$C:$C,Generacion!$A:$A,$A37,Generacion!$B:$B,G$2)</f>
        <v>2.4775376987488701E-3</v>
      </c>
      <c r="H37">
        <f>SUMPRODUCT((AtractivoAlternativas!$A$2:$A$931=$A37)*AtractivoAlternativas!$C$2:$C$931*COUNTIFS(Alternativas!$A$2:$A$51,AtractivoAlternativas!$B$2:$B$931,Alternativas!$B$2:$B$51,H$2))</f>
        <v>1.4246204436330512</v>
      </c>
      <c r="I37">
        <f>SUMPRODUCT((AtractivoAlternativas!$A$2:$A$931=$A37)*AtractivoAlternativas!$C$2:$C$931*COUNTIFS(Alternativas!$A$2:$A$51,AtractivoAlternativas!$B$2:$B$931,Alternativas!$B$2:$B$51,I$2))</f>
        <v>4.8249074040743718</v>
      </c>
      <c r="J37">
        <f>SUMPRODUCT((AtractivoAlternativas!$A$2:$A$931=$A37)*AtractivoAlternativas!$C$2:$C$931*COUNTIFS(Alternativas!$A$2:$A$51,AtractivoAlternativas!$B$2:$B$931,Alternativas!$B$2:$B$51,J$2))</f>
        <v>0.72725877273944228</v>
      </c>
      <c r="K37">
        <f>SUMPRODUCT((AtractivoAlternativas!$A$2:$A$931=$A37)*AtractivoAlternativas!$C$2:$C$931*COUNTIFS(Alternativas!$A$2:$A$51,AtractivoAlternativas!$B$2:$B$931,Alternativas!$B$2:$B$51,K$2))</f>
        <v>0</v>
      </c>
      <c r="L37">
        <f>SUMPRODUCT((AtractivoAlternativas!$A$2:$A$931=$A37)*AtractivoAlternativas!$C$2:$C$931*COUNTIFS(Alternativas!$A$2:$A$51,AtractivoAlternativas!$B$2:$B$931,Alternativas!$B$2:$B$51,L$2))</f>
        <v>0</v>
      </c>
      <c r="M37">
        <f>SUMIFS(AtractivoSitios!$C:$C,AtractivoSitios!$A:$A,$A37,AtractivoSitios!$B:$B,M$2)</f>
        <v>0</v>
      </c>
      <c r="N37">
        <f>SUMIFS(AtractivoSitios!$C:$C,AtractivoSitios!$A:$A,$A37,AtractivoSitios!$B:$B,N$2)</f>
        <v>0</v>
      </c>
      <c r="O37">
        <f>SUMIFS(AtractivoSitios!$C:$C,AtractivoSitios!$A:$A,$A37,AtractivoSitios!$B:$B,O$2)</f>
        <v>0</v>
      </c>
      <c r="P37">
        <f>SUMIFS(AtractivoSitios!$C:$C,AtractivoSitios!$A:$A,$A37,AtractivoSitios!$B:$B,P$2)</f>
        <v>0.48553899523798316</v>
      </c>
      <c r="Q37">
        <f>SUMIFS(AtractivoSitios!$C:$C,AtractivoSitios!$A:$A,$A37,AtractivoSitios!$B:$B,Q$2)</f>
        <v>0</v>
      </c>
      <c r="R37">
        <f>SUMIFS(AtractivoSitios!$C:$C,AtractivoSitios!$A:$A,$A37,AtractivoSitios!$B:$B,R$2)</f>
        <v>0</v>
      </c>
      <c r="S37">
        <f>SUMIFS(AtractivoSitios!$C:$C,AtractivoSitios!$A:$A,$A37,AtractivoSitios!$B:$B,S$2)</f>
        <v>0.37124856870778677</v>
      </c>
      <c r="T37">
        <f>SUM(M37:S37)</f>
        <v>0.85678756394576994</v>
      </c>
      <c r="U37">
        <f>C37/(AD$4+H37+$T37)</f>
        <v>1.9122822520018288E-4</v>
      </c>
      <c r="V37">
        <f>D37/(AE$4+I37+$T37)</f>
        <v>5.5247846075761116E-5</v>
      </c>
      <c r="W37">
        <f>E37/(AF$4+J37+$T37)</f>
        <v>3.1633137360822594E-4</v>
      </c>
      <c r="X37">
        <f>F37/(AG$4+K37+$T37)</f>
        <v>1.7395708910736342E-5</v>
      </c>
      <c r="Y37">
        <f>G37/(AH$4+L37+$T37)</f>
        <v>1.0793183690479749E-5</v>
      </c>
    </row>
    <row r="38" spans="1:25">
      <c r="A38" t="s">
        <v>83</v>
      </c>
      <c r="B38">
        <f>SUMIFS(Sectores!$C:$C,Sectores!$A:$A,$A38)</f>
        <v>0</v>
      </c>
      <c r="C38">
        <f>SUMIFS(Generacion!$C:$C,Generacion!$A:$A,$A38,Generacion!$B:$B,C$2)</f>
        <v>4.3533876706587399E-2</v>
      </c>
      <c r="D38">
        <f>SUMIFS(Generacion!$C:$C,Generacion!$A:$A,$A38,Generacion!$B:$B,D$2)</f>
        <v>3.7870933395161399E-2</v>
      </c>
      <c r="E38">
        <f>SUMIFS(Generacion!$C:$C,Generacion!$A:$A,$A38,Generacion!$B:$B,E$2)</f>
        <v>1.34494903646368E-2</v>
      </c>
      <c r="F38">
        <f>SUMIFS(Generacion!$C:$C,Generacion!$A:$A,$A38,Generacion!$B:$B,F$2)</f>
        <v>3.5393395696412498E-3</v>
      </c>
      <c r="G38">
        <f>SUMIFS(Generacion!$C:$C,Generacion!$A:$A,$A38,Generacion!$B:$B,G$2)</f>
        <v>2.4775376987488701E-3</v>
      </c>
      <c r="H38">
        <f>SUMPRODUCT((AtractivoAlternativas!$A$2:$A$931=$A38)*AtractivoAlternativas!$C$2:$C$931*COUNTIFS(Alternativas!$A$2:$A$51,AtractivoAlternativas!$B$2:$B$931,Alternativas!$B$2:$B$51,H$2))</f>
        <v>1.2250712695582431</v>
      </c>
      <c r="I38">
        <f>SUMPRODUCT((AtractivoAlternativas!$A$2:$A$931=$A38)*AtractivoAlternativas!$C$2:$C$931*COUNTIFS(Alternativas!$A$2:$A$51,AtractivoAlternativas!$B$2:$B$931,Alternativas!$B$2:$B$51,I$2))</f>
        <v>3.9562505350355108</v>
      </c>
      <c r="J38">
        <f>SUMPRODUCT((AtractivoAlternativas!$A$2:$A$931=$A38)*AtractivoAlternativas!$C$2:$C$931*COUNTIFS(Alternativas!$A$2:$A$51,AtractivoAlternativas!$B$2:$B$931,Alternativas!$B$2:$B$51,J$2))</f>
        <v>0.6790419680898363</v>
      </c>
      <c r="K38">
        <f>SUMPRODUCT((AtractivoAlternativas!$A$2:$A$931=$A38)*AtractivoAlternativas!$C$2:$C$931*COUNTIFS(Alternativas!$A$2:$A$51,AtractivoAlternativas!$B$2:$B$931,Alternativas!$B$2:$B$51,K$2))</f>
        <v>0</v>
      </c>
      <c r="L38">
        <f>SUMPRODUCT((AtractivoAlternativas!$A$2:$A$931=$A38)*AtractivoAlternativas!$C$2:$C$931*COUNTIFS(Alternativas!$A$2:$A$51,AtractivoAlternativas!$B$2:$B$931,Alternativas!$B$2:$B$51,L$2))</f>
        <v>0</v>
      </c>
      <c r="M38">
        <f>SUMIFS(AtractivoSitios!$C:$C,AtractivoSitios!$A:$A,$A38,AtractivoSitios!$B:$B,M$2)</f>
        <v>0</v>
      </c>
      <c r="N38">
        <f>SUMIFS(AtractivoSitios!$C:$C,AtractivoSitios!$A:$A,$A38,AtractivoSitios!$B:$B,N$2)</f>
        <v>0</v>
      </c>
      <c r="O38">
        <f>SUMIFS(AtractivoSitios!$C:$C,AtractivoSitios!$A:$A,$A38,AtractivoSitios!$B:$B,O$2)</f>
        <v>0</v>
      </c>
      <c r="P38">
        <f>SUMIFS(AtractivoSitios!$C:$C,AtractivoSitios!$A:$A,$A38,AtractivoSitios!$B:$B,P$2)</f>
        <v>0</v>
      </c>
      <c r="Q38">
        <f>SUMIFS(AtractivoSitios!$C:$C,AtractivoSitios!$A:$A,$A38,AtractivoSitios!$B:$B,Q$2)</f>
        <v>0</v>
      </c>
      <c r="R38">
        <f>SUMIFS(AtractivoSitios!$C:$C,AtractivoSitios!$A:$A,$A38,AtractivoSitios!$B:$B,R$2)</f>
        <v>0</v>
      </c>
      <c r="S38">
        <f>SUMIFS(AtractivoSitios!$C:$C,AtractivoSitios!$A:$A,$A38,AtractivoSitios!$B:$B,S$2)</f>
        <v>0.42203363132123689</v>
      </c>
      <c r="T38">
        <f>SUM(M38:S38)</f>
        <v>0.42203363132123689</v>
      </c>
      <c r="U38">
        <f>C38/(AD$4+H38+$T38)</f>
        <v>1.9176252526892338E-4</v>
      </c>
      <c r="V38">
        <f>D38/(AE$4+I38+$T38)</f>
        <v>5.5353098618114851E-5</v>
      </c>
      <c r="W38">
        <f>E38/(AF$4+J38+$T38)</f>
        <v>3.1996601111859371E-4</v>
      </c>
      <c r="X38">
        <f>F38/(AG$4+K38+$T38)</f>
        <v>1.7432959619779623E-5</v>
      </c>
      <c r="Y38">
        <f>G38/(AH$4+L38+$T38)</f>
        <v>1.0813664433323776E-5</v>
      </c>
    </row>
    <row r="39" spans="1:25">
      <c r="A39" t="s">
        <v>84</v>
      </c>
      <c r="B39">
        <f>SUMIFS(Sectores!$C:$C,Sectores!$A:$A,$A39)</f>
        <v>7363</v>
      </c>
      <c r="C39">
        <f>SUMIFS(Generacion!$C:$C,Generacion!$A:$A,$A39,Generacion!$B:$B,C$2)</f>
        <v>4.3533876706587399E-2</v>
      </c>
      <c r="D39">
        <f>SUMIFS(Generacion!$C:$C,Generacion!$A:$A,$A39,Generacion!$B:$B,D$2)</f>
        <v>3.7870933395161399E-2</v>
      </c>
      <c r="E39">
        <f>SUMIFS(Generacion!$C:$C,Generacion!$A:$A,$A39,Generacion!$B:$B,E$2)</f>
        <v>1.34494903646368E-2</v>
      </c>
      <c r="F39">
        <f>SUMIFS(Generacion!$C:$C,Generacion!$A:$A,$A39,Generacion!$B:$B,F$2)</f>
        <v>3.5393395696412498E-3</v>
      </c>
      <c r="G39">
        <f>SUMIFS(Generacion!$C:$C,Generacion!$A:$A,$A39,Generacion!$B:$B,G$2)</f>
        <v>2.4775376987488701E-3</v>
      </c>
      <c r="H39">
        <f>SUMPRODUCT((AtractivoAlternativas!$A$2:$A$931=$A39)*AtractivoAlternativas!$C$2:$C$931*COUNTIFS(Alternativas!$A$2:$A$51,AtractivoAlternativas!$B$2:$B$931,Alternativas!$B$2:$B$51,H$2))</f>
        <v>1.9811775049753779</v>
      </c>
      <c r="I39">
        <f>SUMPRODUCT((AtractivoAlternativas!$A$2:$A$931=$A39)*AtractivoAlternativas!$C$2:$C$931*COUNTIFS(Alternativas!$A$2:$A$51,AtractivoAlternativas!$B$2:$B$931,Alternativas!$B$2:$B$51,I$2))</f>
        <v>5.16761126592891</v>
      </c>
      <c r="J39">
        <f>SUMPRODUCT((AtractivoAlternativas!$A$2:$A$931=$A39)*AtractivoAlternativas!$C$2:$C$931*COUNTIFS(Alternativas!$A$2:$A$51,AtractivoAlternativas!$B$2:$B$931,Alternativas!$B$2:$B$51,J$2))</f>
        <v>1.2788258615767476</v>
      </c>
      <c r="K39">
        <f>SUMPRODUCT((AtractivoAlternativas!$A$2:$A$931=$A39)*AtractivoAlternativas!$C$2:$C$931*COUNTIFS(Alternativas!$A$2:$A$51,AtractivoAlternativas!$B$2:$B$931,Alternativas!$B$2:$B$51,K$2))</f>
        <v>0</v>
      </c>
      <c r="L39">
        <f>SUMPRODUCT((AtractivoAlternativas!$A$2:$A$931=$A39)*AtractivoAlternativas!$C$2:$C$931*COUNTIFS(Alternativas!$A$2:$A$51,AtractivoAlternativas!$B$2:$B$931,Alternativas!$B$2:$B$51,L$2))</f>
        <v>0</v>
      </c>
      <c r="M39">
        <f>SUMIFS(AtractivoSitios!$C:$C,AtractivoSitios!$A:$A,$A39,AtractivoSitios!$B:$B,M$2)</f>
        <v>0</v>
      </c>
      <c r="N39">
        <f>SUMIFS(AtractivoSitios!$C:$C,AtractivoSitios!$A:$A,$A39,AtractivoSitios!$B:$B,N$2)</f>
        <v>0</v>
      </c>
      <c r="O39">
        <f>SUMIFS(AtractivoSitios!$C:$C,AtractivoSitios!$A:$A,$A39,AtractivoSitios!$B:$B,O$2)</f>
        <v>0</v>
      </c>
      <c r="P39">
        <f>SUMIFS(AtractivoSitios!$C:$C,AtractivoSitios!$A:$A,$A39,AtractivoSitios!$B:$B,P$2)</f>
        <v>0</v>
      </c>
      <c r="Q39">
        <f>SUMIFS(AtractivoSitios!$C:$C,AtractivoSitios!$A:$A,$A39,AtractivoSitios!$B:$B,Q$2)</f>
        <v>0</v>
      </c>
      <c r="R39">
        <f>SUMIFS(AtractivoSitios!$C:$C,AtractivoSitios!$A:$A,$A39,AtractivoSitios!$B:$B,R$2)</f>
        <v>0</v>
      </c>
      <c r="S39">
        <f>SUMIFS(AtractivoSitios!$C:$C,AtractivoSitios!$A:$A,$A39,AtractivoSitios!$B:$B,S$2)</f>
        <v>0.56620867735367175</v>
      </c>
      <c r="T39">
        <f>SUM(M39:S39)</f>
        <v>0.56620867735367175</v>
      </c>
      <c r="U39">
        <f>C39/(AD$4+H39+$T39)</f>
        <v>1.9100506561880933E-4</v>
      </c>
      <c r="V39">
        <f>D39/(AE$4+I39+$T39)</f>
        <v>5.524364522230971E-5</v>
      </c>
      <c r="W39">
        <f>E39/(AF$4+J39+$T39)</f>
        <v>3.1440144233049066E-4</v>
      </c>
      <c r="X39">
        <f>F39/(AG$4+K39+$T39)</f>
        <v>1.7420588704897991E-5</v>
      </c>
      <c r="Y39">
        <f>G39/(AH$4+L39+$T39)</f>
        <v>1.0806863909002037E-5</v>
      </c>
    </row>
    <row r="40" spans="1:25">
      <c r="A40" t="s">
        <v>85</v>
      </c>
      <c r="B40">
        <f>SUMIFS(Sectores!$C:$C,Sectores!$A:$A,$A40)</f>
        <v>4784</v>
      </c>
      <c r="C40">
        <f>SUMIFS(Generacion!$C:$C,Generacion!$A:$A,$A40,Generacion!$B:$B,C$2)</f>
        <v>4.3533876706587399E-2</v>
      </c>
      <c r="D40">
        <f>SUMIFS(Generacion!$C:$C,Generacion!$A:$A,$A40,Generacion!$B:$B,D$2)</f>
        <v>3.7870933395161399E-2</v>
      </c>
      <c r="E40">
        <f>SUMIFS(Generacion!$C:$C,Generacion!$A:$A,$A40,Generacion!$B:$B,E$2)</f>
        <v>1.34494903646368E-2</v>
      </c>
      <c r="F40">
        <f>SUMIFS(Generacion!$C:$C,Generacion!$A:$A,$A40,Generacion!$B:$B,F$2)</f>
        <v>3.5393395696412498E-3</v>
      </c>
      <c r="G40">
        <f>SUMIFS(Generacion!$C:$C,Generacion!$A:$A,$A40,Generacion!$B:$B,G$2)</f>
        <v>2.4775376987488701E-3</v>
      </c>
      <c r="H40">
        <f>SUMPRODUCT((AtractivoAlternativas!$A$2:$A$931=$A40)*AtractivoAlternativas!$C$2:$C$931*COUNTIFS(Alternativas!$A$2:$A$51,AtractivoAlternativas!$B$2:$B$931,Alternativas!$B$2:$B$51,H$2))</f>
        <v>2.1374344696577214</v>
      </c>
      <c r="I40">
        <f>SUMPRODUCT((AtractivoAlternativas!$A$2:$A$931=$A40)*AtractivoAlternativas!$C$2:$C$931*COUNTIFS(Alternativas!$A$2:$A$51,AtractivoAlternativas!$B$2:$B$931,Alternativas!$B$2:$B$51,I$2))</f>
        <v>5.4153829936664213</v>
      </c>
      <c r="J40">
        <f>SUMPRODUCT((AtractivoAlternativas!$A$2:$A$931=$A40)*AtractivoAlternativas!$C$2:$C$931*COUNTIFS(Alternativas!$A$2:$A$51,AtractivoAlternativas!$B$2:$B$931,Alternativas!$B$2:$B$51,J$2))</f>
        <v>1.2509096240019351</v>
      </c>
      <c r="K40">
        <f>SUMPRODUCT((AtractivoAlternativas!$A$2:$A$931=$A40)*AtractivoAlternativas!$C$2:$C$931*COUNTIFS(Alternativas!$A$2:$A$51,AtractivoAlternativas!$B$2:$B$931,Alternativas!$B$2:$B$51,K$2))</f>
        <v>0</v>
      </c>
      <c r="L40">
        <f>SUMPRODUCT((AtractivoAlternativas!$A$2:$A$931=$A40)*AtractivoAlternativas!$C$2:$C$931*COUNTIFS(Alternativas!$A$2:$A$51,AtractivoAlternativas!$B$2:$B$931,Alternativas!$B$2:$B$51,L$2))</f>
        <v>0</v>
      </c>
      <c r="M40">
        <f>SUMIFS(AtractivoSitios!$C:$C,AtractivoSitios!$A:$A,$A40,AtractivoSitios!$B:$B,M$2)</f>
        <v>0</v>
      </c>
      <c r="N40">
        <f>SUMIFS(AtractivoSitios!$C:$C,AtractivoSitios!$A:$A,$A40,AtractivoSitios!$B:$B,N$2)</f>
        <v>0</v>
      </c>
      <c r="O40">
        <f>SUMIFS(AtractivoSitios!$C:$C,AtractivoSitios!$A:$A,$A40,AtractivoSitios!$B:$B,O$2)</f>
        <v>0</v>
      </c>
      <c r="P40">
        <f>SUMIFS(AtractivoSitios!$C:$C,AtractivoSitios!$A:$A,$A40,AtractivoSitios!$B:$B,P$2)</f>
        <v>0.41763175730546909</v>
      </c>
      <c r="Q40">
        <f>SUMIFS(AtractivoSitios!$C:$C,AtractivoSitios!$A:$A,$A40,AtractivoSitios!$B:$B,Q$2)</f>
        <v>0</v>
      </c>
      <c r="R40">
        <f>SUMIFS(AtractivoSitios!$C:$C,AtractivoSitios!$A:$A,$A40,AtractivoSitios!$B:$B,R$2)</f>
        <v>0</v>
      </c>
      <c r="S40">
        <f>SUMIFS(AtractivoSitios!$C:$C,AtractivoSitios!$A:$A,$A40,AtractivoSitios!$B:$B,S$2)</f>
        <v>0.53516510400005746</v>
      </c>
      <c r="T40">
        <f>SUM(M40:S40)</f>
        <v>0.95279686130552654</v>
      </c>
      <c r="U40">
        <f>C40/(AD$4+H40+$T40)</f>
        <v>1.9055122303421782E-4</v>
      </c>
      <c r="V40">
        <f>D40/(AE$4+I40+$T40)</f>
        <v>5.5192572067912589E-5</v>
      </c>
      <c r="W40">
        <f>E40/(AF$4+J40+$T40)</f>
        <v>3.1178726834710452E-4</v>
      </c>
      <c r="X40">
        <f>F40/(AG$4+K40+$T40)</f>
        <v>1.7387504064695482E-5</v>
      </c>
      <c r="Y40">
        <f>G40/(AH$4+L40+$T40)</f>
        <v>1.0788671259749039E-5</v>
      </c>
    </row>
    <row r="41" spans="1:25">
      <c r="A41" t="s">
        <v>86</v>
      </c>
      <c r="B41">
        <f>SUMIFS(Sectores!$C:$C,Sectores!$A:$A,$A41)</f>
        <v>7345</v>
      </c>
      <c r="C41">
        <f>SUMIFS(Generacion!$C:$C,Generacion!$A:$A,$A41,Generacion!$B:$B,C$2)</f>
        <v>4.3533876706587399E-2</v>
      </c>
      <c r="D41">
        <f>SUMIFS(Generacion!$C:$C,Generacion!$A:$A,$A41,Generacion!$B:$B,D$2)</f>
        <v>3.7870933395161399E-2</v>
      </c>
      <c r="E41">
        <f>SUMIFS(Generacion!$C:$C,Generacion!$A:$A,$A41,Generacion!$B:$B,E$2)</f>
        <v>1.34494903646368E-2</v>
      </c>
      <c r="F41">
        <f>SUMIFS(Generacion!$C:$C,Generacion!$A:$A,$A41,Generacion!$B:$B,F$2)</f>
        <v>3.5393395696412498E-3</v>
      </c>
      <c r="G41">
        <f>SUMIFS(Generacion!$C:$C,Generacion!$A:$A,$A41,Generacion!$B:$B,G$2)</f>
        <v>2.4775376987488701E-3</v>
      </c>
      <c r="H41">
        <f>SUMPRODUCT((AtractivoAlternativas!$A$2:$A$931=$A41)*AtractivoAlternativas!$C$2:$C$931*COUNTIFS(Alternativas!$A$2:$A$51,AtractivoAlternativas!$B$2:$B$931,Alternativas!$B$2:$B$51,H$2))</f>
        <v>1.8998429976315849</v>
      </c>
      <c r="I41">
        <f>SUMPRODUCT((AtractivoAlternativas!$A$2:$A$931=$A41)*AtractivoAlternativas!$C$2:$C$931*COUNTIFS(Alternativas!$A$2:$A$51,AtractivoAlternativas!$B$2:$B$931,Alternativas!$B$2:$B$51,I$2))</f>
        <v>5.0232991169794943</v>
      </c>
      <c r="J41">
        <f>SUMPRODUCT((AtractivoAlternativas!$A$2:$A$931=$A41)*AtractivoAlternativas!$C$2:$C$931*COUNTIFS(Alternativas!$A$2:$A$51,AtractivoAlternativas!$B$2:$B$931,Alternativas!$B$2:$B$51,J$2))</f>
        <v>1.1057781811584064</v>
      </c>
      <c r="K41">
        <f>SUMPRODUCT((AtractivoAlternativas!$A$2:$A$931=$A41)*AtractivoAlternativas!$C$2:$C$931*COUNTIFS(Alternativas!$A$2:$A$51,AtractivoAlternativas!$B$2:$B$931,Alternativas!$B$2:$B$51,K$2))</f>
        <v>0</v>
      </c>
      <c r="L41">
        <f>SUMPRODUCT((AtractivoAlternativas!$A$2:$A$931=$A41)*AtractivoAlternativas!$C$2:$C$931*COUNTIFS(Alternativas!$A$2:$A$51,AtractivoAlternativas!$B$2:$B$931,Alternativas!$B$2:$B$51,L$2))</f>
        <v>0</v>
      </c>
      <c r="M41">
        <f>SUMIFS(AtractivoSitios!$C:$C,AtractivoSitios!$A:$A,$A41,AtractivoSitios!$B:$B,M$2)</f>
        <v>0</v>
      </c>
      <c r="N41">
        <f>SUMIFS(AtractivoSitios!$C:$C,AtractivoSitios!$A:$A,$A41,AtractivoSitios!$B:$B,N$2)</f>
        <v>0</v>
      </c>
      <c r="O41">
        <f>SUMIFS(AtractivoSitios!$C:$C,AtractivoSitios!$A:$A,$A41,AtractivoSitios!$B:$B,O$2)</f>
        <v>0</v>
      </c>
      <c r="P41">
        <f>SUMIFS(AtractivoSitios!$C:$C,AtractivoSitios!$A:$A,$A41,AtractivoSitios!$B:$B,P$2)</f>
        <v>0</v>
      </c>
      <c r="Q41">
        <f>SUMIFS(AtractivoSitios!$C:$C,AtractivoSitios!$A:$A,$A41,AtractivoSitios!$B:$B,Q$2)</f>
        <v>0</v>
      </c>
      <c r="R41">
        <f>SUMIFS(AtractivoSitios!$C:$C,AtractivoSitios!$A:$A,$A41,AtractivoSitios!$B:$B,R$2)</f>
        <v>0.4737807062284784</v>
      </c>
      <c r="S41">
        <f>SUMIFS(AtractivoSitios!$C:$C,AtractivoSitios!$A:$A,$A41,AtractivoSitios!$B:$B,S$2)</f>
        <v>0.64060838597266412</v>
      </c>
      <c r="T41">
        <f>SUM(M41:S41)</f>
        <v>1.1143890922011426</v>
      </c>
      <c r="U41">
        <f>C41/(AD$4+H41+$T41)</f>
        <v>1.9061463188587717E-4</v>
      </c>
      <c r="V41">
        <f>D41/(AE$4+I41+$T41)</f>
        <v>5.5211118328482758E-5</v>
      </c>
      <c r="W41">
        <f>E41/(AF$4+J41+$T41)</f>
        <v>3.1166833713206453E-4</v>
      </c>
      <c r="X41">
        <f>F41/(AG$4+K41+$T41)</f>
        <v>1.7373712037376632E-5</v>
      </c>
      <c r="Y41">
        <f>G41/(AH$4+L41+$T41)</f>
        <v>1.0781084948912585E-5</v>
      </c>
    </row>
    <row r="42" spans="1:25">
      <c r="A42" t="s">
        <v>87</v>
      </c>
      <c r="B42">
        <f>SUMIFS(Sectores!$C:$C,Sectores!$A:$A,$A42)</f>
        <v>3603</v>
      </c>
      <c r="C42">
        <f>SUMIFS(Generacion!$C:$C,Generacion!$A:$A,$A42,Generacion!$B:$B,C$2)</f>
        <v>4.3533876706587399E-2</v>
      </c>
      <c r="D42">
        <f>SUMIFS(Generacion!$C:$C,Generacion!$A:$A,$A42,Generacion!$B:$B,D$2)</f>
        <v>3.7870933395161399E-2</v>
      </c>
      <c r="E42">
        <f>SUMIFS(Generacion!$C:$C,Generacion!$A:$A,$A42,Generacion!$B:$B,E$2)</f>
        <v>1.34494903646368E-2</v>
      </c>
      <c r="F42">
        <f>SUMIFS(Generacion!$C:$C,Generacion!$A:$A,$A42,Generacion!$B:$B,F$2)</f>
        <v>3.5393395696412498E-3</v>
      </c>
      <c r="G42">
        <f>SUMIFS(Generacion!$C:$C,Generacion!$A:$A,$A42,Generacion!$B:$B,G$2)</f>
        <v>2.4775376987488701E-3</v>
      </c>
      <c r="H42">
        <f>SUMPRODUCT((AtractivoAlternativas!$A$2:$A$931=$A42)*AtractivoAlternativas!$C$2:$C$931*COUNTIFS(Alternativas!$A$2:$A$51,AtractivoAlternativas!$B$2:$B$931,Alternativas!$B$2:$B$51,H$2))</f>
        <v>2.074128087492177</v>
      </c>
      <c r="I42">
        <f>SUMPRODUCT((AtractivoAlternativas!$A$2:$A$931=$A42)*AtractivoAlternativas!$C$2:$C$931*COUNTIFS(Alternativas!$A$2:$A$51,AtractivoAlternativas!$B$2:$B$931,Alternativas!$B$2:$B$51,I$2))</f>
        <v>4.9571775980213024</v>
      </c>
      <c r="J42">
        <f>SUMPRODUCT((AtractivoAlternativas!$A$2:$A$931=$A42)*AtractivoAlternativas!$C$2:$C$931*COUNTIFS(Alternativas!$A$2:$A$51,AtractivoAlternativas!$B$2:$B$931,Alternativas!$B$2:$B$51,J$2))</f>
        <v>0.72386629965030458</v>
      </c>
      <c r="K42">
        <f>SUMPRODUCT((AtractivoAlternativas!$A$2:$A$931=$A42)*AtractivoAlternativas!$C$2:$C$931*COUNTIFS(Alternativas!$A$2:$A$51,AtractivoAlternativas!$B$2:$B$931,Alternativas!$B$2:$B$51,K$2))</f>
        <v>0</v>
      </c>
      <c r="L42">
        <f>SUMPRODUCT((AtractivoAlternativas!$A$2:$A$931=$A42)*AtractivoAlternativas!$C$2:$C$931*COUNTIFS(Alternativas!$A$2:$A$51,AtractivoAlternativas!$B$2:$B$931,Alternativas!$B$2:$B$51,L$2))</f>
        <v>0</v>
      </c>
      <c r="M42">
        <f>SUMIFS(AtractivoSitios!$C:$C,AtractivoSitios!$A:$A,$A42,AtractivoSitios!$B:$B,M$2)</f>
        <v>0</v>
      </c>
      <c r="N42">
        <f>SUMIFS(AtractivoSitios!$C:$C,AtractivoSitios!$A:$A,$A42,AtractivoSitios!$B:$B,N$2)</f>
        <v>0</v>
      </c>
      <c r="O42">
        <f>SUMIFS(AtractivoSitios!$C:$C,AtractivoSitios!$A:$A,$A42,AtractivoSitios!$B:$B,O$2)</f>
        <v>0</v>
      </c>
      <c r="P42">
        <f>SUMIFS(AtractivoSitios!$C:$C,AtractivoSitios!$A:$A,$A42,AtractivoSitios!$B:$B,P$2)</f>
        <v>0.47863475849414283</v>
      </c>
      <c r="Q42">
        <f>SUMIFS(AtractivoSitios!$C:$C,AtractivoSitios!$A:$A,$A42,AtractivoSitios!$B:$B,Q$2)</f>
        <v>0</v>
      </c>
      <c r="R42">
        <f>SUMIFS(AtractivoSitios!$C:$C,AtractivoSitios!$A:$A,$A42,AtractivoSitios!$B:$B,R$2)</f>
        <v>0.37675281507920449</v>
      </c>
      <c r="S42">
        <f>SUMIFS(AtractivoSitios!$C:$C,AtractivoSitios!$A:$A,$A42,AtractivoSitios!$B:$B,S$2)</f>
        <v>0.47396313104103605</v>
      </c>
      <c r="T42">
        <f>SUM(M42:S42)</f>
        <v>1.3293507046143835</v>
      </c>
      <c r="U42">
        <f>C42/(AD$4+H42+$T42)</f>
        <v>1.9029031428621697E-4</v>
      </c>
      <c r="V42">
        <f>D42/(AE$4+I42+$T42)</f>
        <v>5.5199140646293953E-5</v>
      </c>
      <c r="W42">
        <f>E42/(AF$4+J42+$T42)</f>
        <v>3.1287879620817843E-4</v>
      </c>
      <c r="X42">
        <f>F42/(AG$4+K42+$T42)</f>
        <v>1.7355398767511676E-5</v>
      </c>
      <c r="Y42">
        <f>G42/(AH$4+L42+$T42)</f>
        <v>1.0771009613310592E-5</v>
      </c>
    </row>
    <row r="43" spans="1:25">
      <c r="A43" t="s">
        <v>88</v>
      </c>
      <c r="B43">
        <f>SUMIFS(Sectores!$C:$C,Sectores!$A:$A,$A43)</f>
        <v>3128</v>
      </c>
      <c r="C43">
        <f>SUMIFS(Generacion!$C:$C,Generacion!$A:$A,$A43,Generacion!$B:$B,C$2)</f>
        <v>4.3533876706587399E-2</v>
      </c>
      <c r="D43">
        <f>SUMIFS(Generacion!$C:$C,Generacion!$A:$A,$A43,Generacion!$B:$B,D$2)</f>
        <v>3.7870933395161399E-2</v>
      </c>
      <c r="E43">
        <f>SUMIFS(Generacion!$C:$C,Generacion!$A:$A,$A43,Generacion!$B:$B,E$2)</f>
        <v>1.34494903646368E-2</v>
      </c>
      <c r="F43">
        <f>SUMIFS(Generacion!$C:$C,Generacion!$A:$A,$A43,Generacion!$B:$B,F$2)</f>
        <v>3.5393395696412498E-3</v>
      </c>
      <c r="G43">
        <f>SUMIFS(Generacion!$C:$C,Generacion!$A:$A,$A43,Generacion!$B:$B,G$2)</f>
        <v>2.4775376987488701E-3</v>
      </c>
      <c r="H43">
        <f>SUMPRODUCT((AtractivoAlternativas!$A$2:$A$931=$A43)*AtractivoAlternativas!$C$2:$C$931*COUNTIFS(Alternativas!$A$2:$A$51,AtractivoAlternativas!$B$2:$B$931,Alternativas!$B$2:$B$51,H$2))</f>
        <v>1.8495757349969091</v>
      </c>
      <c r="I43">
        <f>SUMPRODUCT((AtractivoAlternativas!$A$2:$A$931=$A43)*AtractivoAlternativas!$C$2:$C$931*COUNTIFS(Alternativas!$A$2:$A$51,AtractivoAlternativas!$B$2:$B$931,Alternativas!$B$2:$B$51,I$2))</f>
        <v>4.872124999631704</v>
      </c>
      <c r="J43">
        <f>SUMPRODUCT((AtractivoAlternativas!$A$2:$A$931=$A43)*AtractivoAlternativas!$C$2:$C$931*COUNTIFS(Alternativas!$A$2:$A$51,AtractivoAlternativas!$B$2:$B$931,Alternativas!$B$2:$B$51,J$2))</f>
        <v>0.92435510030579726</v>
      </c>
      <c r="K43">
        <f>SUMPRODUCT((AtractivoAlternativas!$A$2:$A$931=$A43)*AtractivoAlternativas!$C$2:$C$931*COUNTIFS(Alternativas!$A$2:$A$51,AtractivoAlternativas!$B$2:$B$931,Alternativas!$B$2:$B$51,K$2))</f>
        <v>0</v>
      </c>
      <c r="L43">
        <f>SUMPRODUCT((AtractivoAlternativas!$A$2:$A$931=$A43)*AtractivoAlternativas!$C$2:$C$931*COUNTIFS(Alternativas!$A$2:$A$51,AtractivoAlternativas!$B$2:$B$931,Alternativas!$B$2:$B$51,L$2))</f>
        <v>0</v>
      </c>
      <c r="M43">
        <f>SUMIFS(AtractivoSitios!$C:$C,AtractivoSitios!$A:$A,$A43,AtractivoSitios!$B:$B,M$2)</f>
        <v>0</v>
      </c>
      <c r="N43">
        <f>SUMIFS(AtractivoSitios!$C:$C,AtractivoSitios!$A:$A,$A43,AtractivoSitios!$B:$B,N$2)</f>
        <v>0</v>
      </c>
      <c r="O43">
        <f>SUMIFS(AtractivoSitios!$C:$C,AtractivoSitios!$A:$A,$A43,AtractivoSitios!$B:$B,O$2)</f>
        <v>0</v>
      </c>
      <c r="P43">
        <f>SUMIFS(AtractivoSitios!$C:$C,AtractivoSitios!$A:$A,$A43,AtractivoSitios!$B:$B,P$2)</f>
        <v>0.38440460526036718</v>
      </c>
      <c r="Q43">
        <f>SUMIFS(AtractivoSitios!$C:$C,AtractivoSitios!$A:$A,$A43,AtractivoSitios!$B:$B,Q$2)</f>
        <v>0</v>
      </c>
      <c r="R43">
        <f>SUMIFS(AtractivoSitios!$C:$C,AtractivoSitios!$A:$A,$A43,AtractivoSitios!$B:$B,R$2)</f>
        <v>0.51745914121509151</v>
      </c>
      <c r="S43">
        <f>SUMIFS(AtractivoSitios!$C:$C,AtractivoSitios!$A:$A,$A43,AtractivoSitios!$B:$B,S$2)</f>
        <v>0.50691521911289272</v>
      </c>
      <c r="T43">
        <f>SUM(M43:S43)</f>
        <v>1.4087789655883514</v>
      </c>
      <c r="U43">
        <f>C43/(AD$4+H43+$T43)</f>
        <v>1.9041110154353815E-4</v>
      </c>
      <c r="V43">
        <f>D43/(AE$4+I43+$T43)</f>
        <v>5.5199593161889375E-5</v>
      </c>
      <c r="W43">
        <f>E43/(AF$4+J43+$T43)</f>
        <v>3.1085457978264095E-4</v>
      </c>
      <c r="X43">
        <f>F43/(AG$4+K43+$T43)</f>
        <v>1.734864178337954E-5</v>
      </c>
      <c r="Y43">
        <f>G43/(AH$4+L43+$T43)</f>
        <v>1.0767291542398334E-5</v>
      </c>
    </row>
    <row r="44" spans="1:25">
      <c r="A44" t="s">
        <v>89</v>
      </c>
      <c r="B44">
        <f>SUMIFS(Sectores!$C:$C,Sectores!$A:$A,$A44)</f>
        <v>4065</v>
      </c>
      <c r="C44">
        <f>SUMIFS(Generacion!$C:$C,Generacion!$A:$A,$A44,Generacion!$B:$B,C$2)</f>
        <v>4.3533876706587399E-2</v>
      </c>
      <c r="D44">
        <f>SUMIFS(Generacion!$C:$C,Generacion!$A:$A,$A44,Generacion!$B:$B,D$2)</f>
        <v>3.7870933395161399E-2</v>
      </c>
      <c r="E44">
        <f>SUMIFS(Generacion!$C:$C,Generacion!$A:$A,$A44,Generacion!$B:$B,E$2)</f>
        <v>1.34494903646368E-2</v>
      </c>
      <c r="F44">
        <f>SUMIFS(Generacion!$C:$C,Generacion!$A:$A,$A44,Generacion!$B:$B,F$2)</f>
        <v>3.5393395696412498E-3</v>
      </c>
      <c r="G44">
        <f>SUMIFS(Generacion!$C:$C,Generacion!$A:$A,$A44,Generacion!$B:$B,G$2)</f>
        <v>2.4775376987488701E-3</v>
      </c>
      <c r="H44">
        <f>SUMPRODUCT((AtractivoAlternativas!$A$2:$A$931=$A44)*AtractivoAlternativas!$C$2:$C$931*COUNTIFS(Alternativas!$A$2:$A$51,AtractivoAlternativas!$B$2:$B$931,Alternativas!$B$2:$B$51,H$2))</f>
        <v>1.8166356710063201</v>
      </c>
      <c r="I44">
        <f>SUMPRODUCT((AtractivoAlternativas!$A$2:$A$931=$A44)*AtractivoAlternativas!$C$2:$C$931*COUNTIFS(Alternativas!$A$2:$A$51,AtractivoAlternativas!$B$2:$B$931,Alternativas!$B$2:$B$51,I$2))</f>
        <v>4.3690083830844868</v>
      </c>
      <c r="J44">
        <f>SUMPRODUCT((AtractivoAlternativas!$A$2:$A$931=$A44)*AtractivoAlternativas!$C$2:$C$931*COUNTIFS(Alternativas!$A$2:$A$51,AtractivoAlternativas!$B$2:$B$931,Alternativas!$B$2:$B$51,J$2))</f>
        <v>0.5718987333703941</v>
      </c>
      <c r="K44">
        <f>SUMPRODUCT((AtractivoAlternativas!$A$2:$A$931=$A44)*AtractivoAlternativas!$C$2:$C$931*COUNTIFS(Alternativas!$A$2:$A$51,AtractivoAlternativas!$B$2:$B$931,Alternativas!$B$2:$B$51,K$2))</f>
        <v>0</v>
      </c>
      <c r="L44">
        <f>SUMPRODUCT((AtractivoAlternativas!$A$2:$A$931=$A44)*AtractivoAlternativas!$C$2:$C$931*COUNTIFS(Alternativas!$A$2:$A$51,AtractivoAlternativas!$B$2:$B$931,Alternativas!$B$2:$B$51,L$2))</f>
        <v>0</v>
      </c>
      <c r="M44">
        <f>SUMIFS(AtractivoSitios!$C:$C,AtractivoSitios!$A:$A,$A44,AtractivoSitios!$B:$B,M$2)</f>
        <v>0</v>
      </c>
      <c r="N44">
        <f>SUMIFS(AtractivoSitios!$C:$C,AtractivoSitios!$A:$A,$A44,AtractivoSitios!$B:$B,N$2)</f>
        <v>0</v>
      </c>
      <c r="O44">
        <f>SUMIFS(AtractivoSitios!$C:$C,AtractivoSitios!$A:$A,$A44,AtractivoSitios!$B:$B,O$2)</f>
        <v>0</v>
      </c>
      <c r="P44">
        <f>SUMIFS(AtractivoSitios!$C:$C,AtractivoSitios!$A:$A,$A44,AtractivoSitios!$B:$B,P$2)</f>
        <v>0.48542981958070475</v>
      </c>
      <c r="Q44">
        <f>SUMIFS(AtractivoSitios!$C:$C,AtractivoSitios!$A:$A,$A44,AtractivoSitios!$B:$B,Q$2)</f>
        <v>0</v>
      </c>
      <c r="R44">
        <f>SUMIFS(AtractivoSitios!$C:$C,AtractivoSitios!$A:$A,$A44,AtractivoSitios!$B:$B,R$2)</f>
        <v>0.41884924598112111</v>
      </c>
      <c r="S44">
        <f>SUMIFS(AtractivoSitios!$C:$C,AtractivoSitios!$A:$A,$A44,AtractivoSitios!$B:$B,S$2)</f>
        <v>0.42239476280329402</v>
      </c>
      <c r="T44">
        <f>SUM(M44:S44)</f>
        <v>1.3266738283651198</v>
      </c>
      <c r="U44">
        <f>C44/(AD$4+H44+$T44)</f>
        <v>1.9050696305766384E-4</v>
      </c>
      <c r="V44">
        <f>D44/(AE$4+I44+$T44)</f>
        <v>5.5246718753808132E-5</v>
      </c>
      <c r="W44">
        <f>E44/(AF$4+J44+$T44)</f>
        <v>3.1400845154527546E-4</v>
      </c>
      <c r="X44">
        <f>F44/(AG$4+K44+$T44)</f>
        <v>1.7355626581798872E-5</v>
      </c>
      <c r="Y44">
        <f>G44/(AH$4+L44+$T44)</f>
        <v>1.0771134963762528E-5</v>
      </c>
    </row>
    <row r="45" spans="1:25">
      <c r="A45" t="s">
        <v>90</v>
      </c>
      <c r="B45">
        <f>SUMIFS(Sectores!$C:$C,Sectores!$A:$A,$A45)</f>
        <v>3988</v>
      </c>
      <c r="C45">
        <f>SUMIFS(Generacion!$C:$C,Generacion!$A:$A,$A45,Generacion!$B:$B,C$2)</f>
        <v>4.3533876706587399E-2</v>
      </c>
      <c r="D45">
        <f>SUMIFS(Generacion!$C:$C,Generacion!$A:$A,$A45,Generacion!$B:$B,D$2)</f>
        <v>3.7870933395161399E-2</v>
      </c>
      <c r="E45">
        <f>SUMIFS(Generacion!$C:$C,Generacion!$A:$A,$A45,Generacion!$B:$B,E$2)</f>
        <v>1.34494903646368E-2</v>
      </c>
      <c r="F45">
        <f>SUMIFS(Generacion!$C:$C,Generacion!$A:$A,$A45,Generacion!$B:$B,F$2)</f>
        <v>3.5393395696412498E-3</v>
      </c>
      <c r="G45">
        <f>SUMIFS(Generacion!$C:$C,Generacion!$A:$A,$A45,Generacion!$B:$B,G$2)</f>
        <v>2.4775376987488701E-3</v>
      </c>
      <c r="H45">
        <f>SUMPRODUCT((AtractivoAlternativas!$A$2:$A$931=$A45)*AtractivoAlternativas!$C$2:$C$931*COUNTIFS(Alternativas!$A$2:$A$51,AtractivoAlternativas!$B$2:$B$931,Alternativas!$B$2:$B$51,H$2))</f>
        <v>1.7375406540803313</v>
      </c>
      <c r="I45">
        <f>SUMPRODUCT((AtractivoAlternativas!$A$2:$A$931=$A45)*AtractivoAlternativas!$C$2:$C$931*COUNTIFS(Alternativas!$A$2:$A$51,AtractivoAlternativas!$B$2:$B$931,Alternativas!$B$2:$B$51,I$2))</f>
        <v>4.5702606842161257</v>
      </c>
      <c r="J45">
        <f>SUMPRODUCT((AtractivoAlternativas!$A$2:$A$931=$A45)*AtractivoAlternativas!$C$2:$C$931*COUNTIFS(Alternativas!$A$2:$A$51,AtractivoAlternativas!$B$2:$B$931,Alternativas!$B$2:$B$51,J$2))</f>
        <v>0.56764465822139976</v>
      </c>
      <c r="K45">
        <f>SUMPRODUCT((AtractivoAlternativas!$A$2:$A$931=$A45)*AtractivoAlternativas!$C$2:$C$931*COUNTIFS(Alternativas!$A$2:$A$51,AtractivoAlternativas!$B$2:$B$931,Alternativas!$B$2:$B$51,K$2))</f>
        <v>0</v>
      </c>
      <c r="L45">
        <f>SUMPRODUCT((AtractivoAlternativas!$A$2:$A$931=$A45)*AtractivoAlternativas!$C$2:$C$931*COUNTIFS(Alternativas!$A$2:$A$51,AtractivoAlternativas!$B$2:$B$931,Alternativas!$B$2:$B$51,L$2))</f>
        <v>0</v>
      </c>
      <c r="M45">
        <f>SUMIFS(AtractivoSitios!$C:$C,AtractivoSitios!$A:$A,$A45,AtractivoSitios!$B:$B,M$2)</f>
        <v>0</v>
      </c>
      <c r="N45">
        <f>SUMIFS(AtractivoSitios!$C:$C,AtractivoSitios!$A:$A,$A45,AtractivoSitios!$B:$B,N$2)</f>
        <v>0</v>
      </c>
      <c r="O45">
        <f>SUMIFS(AtractivoSitios!$C:$C,AtractivoSitios!$A:$A,$A45,AtractivoSitios!$B:$B,O$2)</f>
        <v>0</v>
      </c>
      <c r="P45">
        <f>SUMIFS(AtractivoSitios!$C:$C,AtractivoSitios!$A:$A,$A45,AtractivoSitios!$B:$B,P$2)</f>
        <v>0.60314737423249742</v>
      </c>
      <c r="Q45">
        <f>SUMIFS(AtractivoSitios!$C:$C,AtractivoSitios!$A:$A,$A45,AtractivoSitios!$B:$B,Q$2)</f>
        <v>0</v>
      </c>
      <c r="R45">
        <f>SUMIFS(AtractivoSitios!$C:$C,AtractivoSitios!$A:$A,$A45,AtractivoSitios!$B:$B,R$2)</f>
        <v>0</v>
      </c>
      <c r="S45">
        <f>SUMIFS(AtractivoSitios!$C:$C,AtractivoSitios!$A:$A,$A45,AtractivoSitios!$B:$B,S$2)</f>
        <v>0</v>
      </c>
      <c r="T45">
        <f>SUM(M45:S45)</f>
        <v>0.60314737423249742</v>
      </c>
      <c r="U45">
        <f>C45/(AD$4+H45+$T45)</f>
        <v>1.9117844324848158E-4</v>
      </c>
      <c r="V45">
        <f>D45/(AE$4+I45+$T45)</f>
        <v>5.5288843424478875E-5</v>
      </c>
      <c r="W45">
        <f>E45/(AF$4+J45+$T45)</f>
        <v>3.1943620457858539E-4</v>
      </c>
      <c r="X45">
        <f>F45/(AG$4+K45+$T45)</f>
        <v>1.741742201132414E-5</v>
      </c>
      <c r="Y45">
        <f>G45/(AH$4+L45+$T45)</f>
        <v>1.0805122941381545E-5</v>
      </c>
    </row>
    <row r="46" spans="1:25">
      <c r="A46" t="s">
        <v>91</v>
      </c>
      <c r="B46">
        <f>SUMIFS(Sectores!$C:$C,Sectores!$A:$A,$A46)</f>
        <v>5003</v>
      </c>
      <c r="C46">
        <f>SUMIFS(Generacion!$C:$C,Generacion!$A:$A,$A46,Generacion!$B:$B,C$2)</f>
        <v>4.3533876706587399E-2</v>
      </c>
      <c r="D46">
        <f>SUMIFS(Generacion!$C:$C,Generacion!$A:$A,$A46,Generacion!$B:$B,D$2)</f>
        <v>3.7870933395161399E-2</v>
      </c>
      <c r="E46">
        <f>SUMIFS(Generacion!$C:$C,Generacion!$A:$A,$A46,Generacion!$B:$B,E$2)</f>
        <v>1.34494903646368E-2</v>
      </c>
      <c r="F46">
        <f>SUMIFS(Generacion!$C:$C,Generacion!$A:$A,$A46,Generacion!$B:$B,F$2)</f>
        <v>3.5393395696412498E-3</v>
      </c>
      <c r="G46">
        <f>SUMIFS(Generacion!$C:$C,Generacion!$A:$A,$A46,Generacion!$B:$B,G$2)</f>
        <v>2.4775376987488701E-3</v>
      </c>
      <c r="H46">
        <f>SUMPRODUCT((AtractivoAlternativas!$A$2:$A$931=$A46)*AtractivoAlternativas!$C$2:$C$931*COUNTIFS(Alternativas!$A$2:$A$51,AtractivoAlternativas!$B$2:$B$931,Alternativas!$B$2:$B$51,H$2))</f>
        <v>0.45488154993670227</v>
      </c>
      <c r="I46">
        <f>SUMPRODUCT((AtractivoAlternativas!$A$2:$A$931=$A46)*AtractivoAlternativas!$C$2:$C$931*COUNTIFS(Alternativas!$A$2:$A$51,AtractivoAlternativas!$B$2:$B$931,Alternativas!$B$2:$B$51,I$2))</f>
        <v>2.0548287479611895</v>
      </c>
      <c r="J46">
        <f>SUMPRODUCT((AtractivoAlternativas!$A$2:$A$931=$A46)*AtractivoAlternativas!$C$2:$C$931*COUNTIFS(Alternativas!$A$2:$A$51,AtractivoAlternativas!$B$2:$B$931,Alternativas!$B$2:$B$51,J$2))</f>
        <v>0</v>
      </c>
      <c r="K46">
        <f>SUMPRODUCT((AtractivoAlternativas!$A$2:$A$931=$A46)*AtractivoAlternativas!$C$2:$C$931*COUNTIFS(Alternativas!$A$2:$A$51,AtractivoAlternativas!$B$2:$B$931,Alternativas!$B$2:$B$51,K$2))</f>
        <v>0</v>
      </c>
      <c r="L46">
        <f>SUMPRODUCT((AtractivoAlternativas!$A$2:$A$931=$A46)*AtractivoAlternativas!$C$2:$C$931*COUNTIFS(Alternativas!$A$2:$A$51,AtractivoAlternativas!$B$2:$B$931,Alternativas!$B$2:$B$51,L$2))</f>
        <v>0</v>
      </c>
      <c r="M46">
        <f>SUMIFS(AtractivoSitios!$C:$C,AtractivoSitios!$A:$A,$A46,AtractivoSitios!$B:$B,M$2)</f>
        <v>0</v>
      </c>
      <c r="N46">
        <f>SUMIFS(AtractivoSitios!$C:$C,AtractivoSitios!$A:$A,$A46,AtractivoSitios!$B:$B,N$2)</f>
        <v>0</v>
      </c>
      <c r="O46">
        <f>SUMIFS(AtractivoSitios!$C:$C,AtractivoSitios!$A:$A,$A46,AtractivoSitios!$B:$B,O$2)</f>
        <v>0</v>
      </c>
      <c r="P46">
        <f>SUMIFS(AtractivoSitios!$C:$C,AtractivoSitios!$A:$A,$A46,AtractivoSitios!$B:$B,P$2)</f>
        <v>0.61236088938624877</v>
      </c>
      <c r="Q46">
        <f>SUMIFS(AtractivoSitios!$C:$C,AtractivoSitios!$A:$A,$A46,AtractivoSitios!$B:$B,Q$2)</f>
        <v>0</v>
      </c>
      <c r="R46">
        <f>SUMIFS(AtractivoSitios!$C:$C,AtractivoSitios!$A:$A,$A46,AtractivoSitios!$B:$B,R$2)</f>
        <v>0</v>
      </c>
      <c r="S46">
        <f>SUMIFS(AtractivoSitios!$C:$C,AtractivoSitios!$A:$A,$A46,AtractivoSitios!$B:$B,S$2)</f>
        <v>0</v>
      </c>
      <c r="T46">
        <f>SUM(M46:S46)</f>
        <v>0.61236088938624877</v>
      </c>
      <c r="U46">
        <f>C46/(AD$4+H46+$T46)</f>
        <v>1.9225358672005368E-4</v>
      </c>
      <c r="V46">
        <f>D46/(AE$4+I46+$T46)</f>
        <v>5.5491882614685929E-5</v>
      </c>
      <c r="W46">
        <f>E46/(AF$4+J46+$T46)</f>
        <v>3.2372989517550569E-4</v>
      </c>
      <c r="X46">
        <f>F46/(AG$4+K46+$T46)</f>
        <v>1.7416632331246755E-5</v>
      </c>
      <c r="Y46">
        <f>G46/(AH$4+L46+$T46)</f>
        <v>1.0804688784131549E-5</v>
      </c>
    </row>
    <row r="47" spans="1:25">
      <c r="A47" t="s">
        <v>92</v>
      </c>
      <c r="B47">
        <f>SUMIFS(Sectores!$C:$C,Sectores!$A:$A,$A47)</f>
        <v>4481</v>
      </c>
      <c r="C47">
        <f>SUMIFS(Generacion!$C:$C,Generacion!$A:$A,$A47,Generacion!$B:$B,C$2)</f>
        <v>4.3533876706587399E-2</v>
      </c>
      <c r="D47">
        <f>SUMIFS(Generacion!$C:$C,Generacion!$A:$A,$A47,Generacion!$B:$B,D$2)</f>
        <v>3.7870933395161399E-2</v>
      </c>
      <c r="E47">
        <f>SUMIFS(Generacion!$C:$C,Generacion!$A:$A,$A47,Generacion!$B:$B,E$2)</f>
        <v>1.34494903646368E-2</v>
      </c>
      <c r="F47">
        <f>SUMIFS(Generacion!$C:$C,Generacion!$A:$A,$A47,Generacion!$B:$B,F$2)</f>
        <v>3.5393395696412498E-3</v>
      </c>
      <c r="G47">
        <f>SUMIFS(Generacion!$C:$C,Generacion!$A:$A,$A47,Generacion!$B:$B,G$2)</f>
        <v>2.4775376987488701E-3</v>
      </c>
      <c r="H47">
        <f>SUMPRODUCT((AtractivoAlternativas!$A$2:$A$931=$A47)*AtractivoAlternativas!$C$2:$C$931*COUNTIFS(Alternativas!$A$2:$A$51,AtractivoAlternativas!$B$2:$B$931,Alternativas!$B$2:$B$51,H$2))</f>
        <v>1.6452279613553487</v>
      </c>
      <c r="I47">
        <f>SUMPRODUCT((AtractivoAlternativas!$A$2:$A$931=$A47)*AtractivoAlternativas!$C$2:$C$931*COUNTIFS(Alternativas!$A$2:$A$51,AtractivoAlternativas!$B$2:$B$931,Alternativas!$B$2:$B$51,I$2))</f>
        <v>3.1421922407623342</v>
      </c>
      <c r="J47">
        <f>SUMPRODUCT((AtractivoAlternativas!$A$2:$A$931=$A47)*AtractivoAlternativas!$C$2:$C$931*COUNTIFS(Alternativas!$A$2:$A$51,AtractivoAlternativas!$B$2:$B$931,Alternativas!$B$2:$B$51,J$2))</f>
        <v>0.40840226276522096</v>
      </c>
      <c r="K47">
        <f>SUMPRODUCT((AtractivoAlternativas!$A$2:$A$931=$A47)*AtractivoAlternativas!$C$2:$C$931*COUNTIFS(Alternativas!$A$2:$A$51,AtractivoAlternativas!$B$2:$B$931,Alternativas!$B$2:$B$51,K$2))</f>
        <v>0</v>
      </c>
      <c r="L47">
        <f>SUMPRODUCT((AtractivoAlternativas!$A$2:$A$931=$A47)*AtractivoAlternativas!$C$2:$C$931*COUNTIFS(Alternativas!$A$2:$A$51,AtractivoAlternativas!$B$2:$B$931,Alternativas!$B$2:$B$51,L$2))</f>
        <v>0</v>
      </c>
      <c r="M47">
        <f>SUMIFS(AtractivoSitios!$C:$C,AtractivoSitios!$A:$A,$A47,AtractivoSitios!$B:$B,M$2)</f>
        <v>0.60572859939618329</v>
      </c>
      <c r="N47">
        <f>SUMIFS(AtractivoSitios!$C:$C,AtractivoSitios!$A:$A,$A47,AtractivoSitios!$B:$B,N$2)</f>
        <v>0</v>
      </c>
      <c r="O47">
        <f>SUMIFS(AtractivoSitios!$C:$C,AtractivoSitios!$A:$A,$A47,AtractivoSitios!$B:$B,O$2)</f>
        <v>0</v>
      </c>
      <c r="P47">
        <f>SUMIFS(AtractivoSitios!$C:$C,AtractivoSitios!$A:$A,$A47,AtractivoSitios!$B:$B,P$2)</f>
        <v>0</v>
      </c>
      <c r="Q47">
        <f>SUMIFS(AtractivoSitios!$C:$C,AtractivoSitios!$A:$A,$A47,AtractivoSitios!$B:$B,Q$2)</f>
        <v>0</v>
      </c>
      <c r="R47">
        <f>SUMIFS(AtractivoSitios!$C:$C,AtractivoSitios!$A:$A,$A47,AtractivoSitios!$B:$B,R$2)</f>
        <v>0.77567806007614581</v>
      </c>
      <c r="S47">
        <f>SUMIFS(AtractivoSitios!$C:$C,AtractivoSitios!$A:$A,$A47,AtractivoSitios!$B:$B,S$2)</f>
        <v>0</v>
      </c>
      <c r="T47">
        <f>SUM(M47:S47)</f>
        <v>1.3814066594723291</v>
      </c>
      <c r="U47">
        <f>C47/(AD$4+H47+$T47)</f>
        <v>1.9060428113481444E-4</v>
      </c>
      <c r="V47">
        <f>D47/(AE$4+I47+$T47)</f>
        <v>5.5341344358359493E-5</v>
      </c>
      <c r="W47">
        <f>E47/(AF$4+J47+$T47)</f>
        <v>3.1480785274918806E-4</v>
      </c>
      <c r="X47">
        <f>F47/(AG$4+K47+$T47)</f>
        <v>1.7350969758793404E-5</v>
      </c>
      <c r="Y47">
        <f>G47/(AH$4+L47+$T47)</f>
        <v>1.0768572561860736E-5</v>
      </c>
    </row>
    <row r="48" spans="1:25">
      <c r="A48" t="s">
        <v>93</v>
      </c>
      <c r="B48">
        <f>SUMIFS(Sectores!$C:$C,Sectores!$A:$A,$A48)</f>
        <v>2988</v>
      </c>
      <c r="C48">
        <f>SUMIFS(Generacion!$C:$C,Generacion!$A:$A,$A48,Generacion!$B:$B,C$2)</f>
        <v>4.3533876706587399E-2</v>
      </c>
      <c r="D48">
        <f>SUMIFS(Generacion!$C:$C,Generacion!$A:$A,$A48,Generacion!$B:$B,D$2)</f>
        <v>3.7870933395161399E-2</v>
      </c>
      <c r="E48">
        <f>SUMIFS(Generacion!$C:$C,Generacion!$A:$A,$A48,Generacion!$B:$B,E$2)</f>
        <v>1.34494903646368E-2</v>
      </c>
      <c r="F48">
        <f>SUMIFS(Generacion!$C:$C,Generacion!$A:$A,$A48,Generacion!$B:$B,F$2)</f>
        <v>3.5393395696412498E-3</v>
      </c>
      <c r="G48">
        <f>SUMIFS(Generacion!$C:$C,Generacion!$A:$A,$A48,Generacion!$B:$B,G$2)</f>
        <v>2.4775376987488701E-3</v>
      </c>
      <c r="H48">
        <f>SUMPRODUCT((AtractivoAlternativas!$A$2:$A$931=$A48)*AtractivoAlternativas!$C$2:$C$931*COUNTIFS(Alternativas!$A$2:$A$51,AtractivoAlternativas!$B$2:$B$931,Alternativas!$B$2:$B$51,H$2))</f>
        <v>1.7111561860687874</v>
      </c>
      <c r="I48">
        <f>SUMPRODUCT((AtractivoAlternativas!$A$2:$A$931=$A48)*AtractivoAlternativas!$C$2:$C$931*COUNTIFS(Alternativas!$A$2:$A$51,AtractivoAlternativas!$B$2:$B$931,Alternativas!$B$2:$B$51,I$2))</f>
        <v>3.2698267885442389</v>
      </c>
      <c r="J48">
        <f>SUMPRODUCT((AtractivoAlternativas!$A$2:$A$931=$A48)*AtractivoAlternativas!$C$2:$C$931*COUNTIFS(Alternativas!$A$2:$A$51,AtractivoAlternativas!$B$2:$B$931,Alternativas!$B$2:$B$51,J$2))</f>
        <v>0.41058078800429931</v>
      </c>
      <c r="K48">
        <f>SUMPRODUCT((AtractivoAlternativas!$A$2:$A$931=$A48)*AtractivoAlternativas!$C$2:$C$931*COUNTIFS(Alternativas!$A$2:$A$51,AtractivoAlternativas!$B$2:$B$931,Alternativas!$B$2:$B$51,K$2))</f>
        <v>0</v>
      </c>
      <c r="L48">
        <f>SUMPRODUCT((AtractivoAlternativas!$A$2:$A$931=$A48)*AtractivoAlternativas!$C$2:$C$931*COUNTIFS(Alternativas!$A$2:$A$51,AtractivoAlternativas!$B$2:$B$931,Alternativas!$B$2:$B$51,L$2))</f>
        <v>0</v>
      </c>
      <c r="M48">
        <f>SUMIFS(AtractivoSitios!$C:$C,AtractivoSitios!$A:$A,$A48,AtractivoSitios!$B:$B,M$2)</f>
        <v>0.70740107779357742</v>
      </c>
      <c r="N48">
        <f>SUMIFS(AtractivoSitios!$C:$C,AtractivoSitios!$A:$A,$A48,AtractivoSitios!$B:$B,N$2)</f>
        <v>0</v>
      </c>
      <c r="O48">
        <f>SUMIFS(AtractivoSitios!$C:$C,AtractivoSitios!$A:$A,$A48,AtractivoSitios!$B:$B,O$2)</f>
        <v>0</v>
      </c>
      <c r="P48">
        <f>SUMIFS(AtractivoSitios!$C:$C,AtractivoSitios!$A:$A,$A48,AtractivoSitios!$B:$B,P$2)</f>
        <v>0</v>
      </c>
      <c r="Q48">
        <f>SUMIFS(AtractivoSitios!$C:$C,AtractivoSitios!$A:$A,$A48,AtractivoSitios!$B:$B,Q$2)</f>
        <v>0</v>
      </c>
      <c r="R48">
        <f>SUMIFS(AtractivoSitios!$C:$C,AtractivoSitios!$A:$A,$A48,AtractivoSitios!$B:$B,R$2)</f>
        <v>0.69534132005369131</v>
      </c>
      <c r="S48">
        <f>SUMIFS(AtractivoSitios!$C:$C,AtractivoSitios!$A:$A,$A48,AtractivoSitios!$B:$B,S$2)</f>
        <v>0</v>
      </c>
      <c r="T48">
        <f>SUM(M48:S48)</f>
        <v>1.4027423978472688</v>
      </c>
      <c r="U48">
        <f>C48/(AD$4+H48+$T48)</f>
        <v>1.9053148522244783E-4</v>
      </c>
      <c r="V48">
        <f>D48/(AE$4+I48+$T48)</f>
        <v>5.5329299588114785E-5</v>
      </c>
      <c r="W48">
        <f>E48/(AF$4+J48+$T48)</f>
        <v>3.1463468073716704E-4</v>
      </c>
      <c r="X48">
        <f>F48/(AG$4+K48+$T48)</f>
        <v>1.7349155131122831E-5</v>
      </c>
      <c r="Y48">
        <f>G48/(AH$4+L48+$T48)</f>
        <v>1.0767574026587899E-5</v>
      </c>
    </row>
    <row r="49" spans="1:25">
      <c r="A49" t="s">
        <v>94</v>
      </c>
      <c r="B49">
        <f>SUMIFS(Sectores!$C:$C,Sectores!$A:$A,$A49)</f>
        <v>4219</v>
      </c>
      <c r="C49">
        <f>SUMIFS(Generacion!$C:$C,Generacion!$A:$A,$A49,Generacion!$B:$B,C$2)</f>
        <v>4.3533876706587399E-2</v>
      </c>
      <c r="D49">
        <f>SUMIFS(Generacion!$C:$C,Generacion!$A:$A,$A49,Generacion!$B:$B,D$2)</f>
        <v>3.7870933395161399E-2</v>
      </c>
      <c r="E49">
        <f>SUMIFS(Generacion!$C:$C,Generacion!$A:$A,$A49,Generacion!$B:$B,E$2)</f>
        <v>1.34494903646368E-2</v>
      </c>
      <c r="F49">
        <f>SUMIFS(Generacion!$C:$C,Generacion!$A:$A,$A49,Generacion!$B:$B,F$2)</f>
        <v>3.5393395696412498E-3</v>
      </c>
      <c r="G49">
        <f>SUMIFS(Generacion!$C:$C,Generacion!$A:$A,$A49,Generacion!$B:$B,G$2)</f>
        <v>2.4775376987488701E-3</v>
      </c>
      <c r="H49">
        <f>SUMPRODUCT((AtractivoAlternativas!$A$2:$A$931=$A49)*AtractivoAlternativas!$C$2:$C$931*COUNTIFS(Alternativas!$A$2:$A$51,AtractivoAlternativas!$B$2:$B$931,Alternativas!$B$2:$B$51,H$2))</f>
        <v>1.689345150373402</v>
      </c>
      <c r="I49">
        <f>SUMPRODUCT((AtractivoAlternativas!$A$2:$A$931=$A49)*AtractivoAlternativas!$C$2:$C$931*COUNTIFS(Alternativas!$A$2:$A$51,AtractivoAlternativas!$B$2:$B$931,Alternativas!$B$2:$B$51,I$2))</f>
        <v>3.0166500062533039</v>
      </c>
      <c r="J49">
        <f>SUMPRODUCT((AtractivoAlternativas!$A$2:$A$931=$A49)*AtractivoAlternativas!$C$2:$C$931*COUNTIFS(Alternativas!$A$2:$A$51,AtractivoAlternativas!$B$2:$B$931,Alternativas!$B$2:$B$51,J$2))</f>
        <v>0.3996867547251105</v>
      </c>
      <c r="K49">
        <f>SUMPRODUCT((AtractivoAlternativas!$A$2:$A$931=$A49)*AtractivoAlternativas!$C$2:$C$931*COUNTIFS(Alternativas!$A$2:$A$51,AtractivoAlternativas!$B$2:$B$931,Alternativas!$B$2:$B$51,K$2))</f>
        <v>0</v>
      </c>
      <c r="L49">
        <f>SUMPRODUCT((AtractivoAlternativas!$A$2:$A$931=$A49)*AtractivoAlternativas!$C$2:$C$931*COUNTIFS(Alternativas!$A$2:$A$51,AtractivoAlternativas!$B$2:$B$931,Alternativas!$B$2:$B$51,L$2))</f>
        <v>0</v>
      </c>
      <c r="M49">
        <f>SUMIFS(AtractivoSitios!$C:$C,AtractivoSitios!$A:$A,$A49,AtractivoSitios!$B:$B,M$2)</f>
        <v>0.54263950821709261</v>
      </c>
      <c r="N49">
        <f>SUMIFS(AtractivoSitios!$C:$C,AtractivoSitios!$A:$A,$A49,AtractivoSitios!$B:$B,N$2)</f>
        <v>0</v>
      </c>
      <c r="O49">
        <f>SUMIFS(AtractivoSitios!$C:$C,AtractivoSitios!$A:$A,$A49,AtractivoSitios!$B:$B,O$2)</f>
        <v>0</v>
      </c>
      <c r="P49">
        <f>SUMIFS(AtractivoSitios!$C:$C,AtractivoSitios!$A:$A,$A49,AtractivoSitios!$B:$B,P$2)</f>
        <v>0</v>
      </c>
      <c r="Q49">
        <f>SUMIFS(AtractivoSitios!$C:$C,AtractivoSitios!$A:$A,$A49,AtractivoSitios!$B:$B,Q$2)</f>
        <v>0</v>
      </c>
      <c r="R49">
        <f>SUMIFS(AtractivoSitios!$C:$C,AtractivoSitios!$A:$A,$A49,AtractivoSitios!$B:$B,R$2)</f>
        <v>0.88618419075910193</v>
      </c>
      <c r="S49">
        <f>SUMIFS(AtractivoSitios!$C:$C,AtractivoSitios!$A:$A,$A49,AtractivoSitios!$B:$B,S$2)</f>
        <v>0.41453561354124546</v>
      </c>
      <c r="T49">
        <f>SUM(M49:S49)</f>
        <v>1.8433593125174401</v>
      </c>
      <c r="U49">
        <f>C49/(AD$4+H49+$T49)</f>
        <v>1.9018288824438243E-4</v>
      </c>
      <c r="V49">
        <f>D49/(AE$4+I49+$T49)</f>
        <v>5.5314151842498643E-5</v>
      </c>
      <c r="W49">
        <f>E49/(AF$4+J49+$T49)</f>
        <v>3.1150318565057226E-4</v>
      </c>
      <c r="X49">
        <f>F49/(AG$4+K49+$T49)</f>
        <v>1.7311764860494575E-5</v>
      </c>
      <c r="Y49">
        <f>G49/(AH$4+L49+$T49)</f>
        <v>1.0746994007819187E-5</v>
      </c>
    </row>
    <row r="50" spans="1:25">
      <c r="A50" t="s">
        <v>95</v>
      </c>
      <c r="B50">
        <f>SUMIFS(Sectores!$C:$C,Sectores!$A:$A,$A50)</f>
        <v>4001</v>
      </c>
      <c r="C50">
        <f>SUMIFS(Generacion!$C:$C,Generacion!$A:$A,$A50,Generacion!$B:$B,C$2)</f>
        <v>4.3533876706587399E-2</v>
      </c>
      <c r="D50">
        <f>SUMIFS(Generacion!$C:$C,Generacion!$A:$A,$A50,Generacion!$B:$B,D$2)</f>
        <v>3.7870933395161399E-2</v>
      </c>
      <c r="E50">
        <f>SUMIFS(Generacion!$C:$C,Generacion!$A:$A,$A50,Generacion!$B:$B,E$2)</f>
        <v>1.34494903646368E-2</v>
      </c>
      <c r="F50">
        <f>SUMIFS(Generacion!$C:$C,Generacion!$A:$A,$A50,Generacion!$B:$B,F$2)</f>
        <v>3.5393395696412498E-3</v>
      </c>
      <c r="G50">
        <f>SUMIFS(Generacion!$C:$C,Generacion!$A:$A,$A50,Generacion!$B:$B,G$2)</f>
        <v>2.4775376987488701E-3</v>
      </c>
      <c r="H50">
        <f>SUMPRODUCT((AtractivoAlternativas!$A$2:$A$931=$A50)*AtractivoAlternativas!$C$2:$C$931*COUNTIFS(Alternativas!$A$2:$A$51,AtractivoAlternativas!$B$2:$B$931,Alternativas!$B$2:$B$51,H$2))</f>
        <v>0.88062606021666423</v>
      </c>
      <c r="I50">
        <f>SUMPRODUCT((AtractivoAlternativas!$A$2:$A$931=$A50)*AtractivoAlternativas!$C$2:$C$931*COUNTIFS(Alternativas!$A$2:$A$51,AtractivoAlternativas!$B$2:$B$931,Alternativas!$B$2:$B$51,I$2))</f>
        <v>3.0243978579147437</v>
      </c>
      <c r="J50">
        <f>SUMPRODUCT((AtractivoAlternativas!$A$2:$A$931=$A50)*AtractivoAlternativas!$C$2:$C$931*COUNTIFS(Alternativas!$A$2:$A$51,AtractivoAlternativas!$B$2:$B$931,Alternativas!$B$2:$B$51,J$2))</f>
        <v>0.38390769922298551</v>
      </c>
      <c r="K50">
        <f>SUMPRODUCT((AtractivoAlternativas!$A$2:$A$931=$A50)*AtractivoAlternativas!$C$2:$C$931*COUNTIFS(Alternativas!$A$2:$A$51,AtractivoAlternativas!$B$2:$B$931,Alternativas!$B$2:$B$51,K$2))</f>
        <v>0</v>
      </c>
      <c r="L50">
        <f>SUMPRODUCT((AtractivoAlternativas!$A$2:$A$931=$A50)*AtractivoAlternativas!$C$2:$C$931*COUNTIFS(Alternativas!$A$2:$A$51,AtractivoAlternativas!$B$2:$B$931,Alternativas!$B$2:$B$51,L$2))</f>
        <v>0</v>
      </c>
      <c r="M50">
        <f>SUMIFS(AtractivoSitios!$C:$C,AtractivoSitios!$A:$A,$A50,AtractivoSitios!$B:$B,M$2)</f>
        <v>0</v>
      </c>
      <c r="N50">
        <f>SUMIFS(AtractivoSitios!$C:$C,AtractivoSitios!$A:$A,$A50,AtractivoSitios!$B:$B,N$2)</f>
        <v>0</v>
      </c>
      <c r="O50">
        <f>SUMIFS(AtractivoSitios!$C:$C,AtractivoSitios!$A:$A,$A50,AtractivoSitios!$B:$B,O$2)</f>
        <v>0</v>
      </c>
      <c r="P50">
        <f>SUMIFS(AtractivoSitios!$C:$C,AtractivoSitios!$A:$A,$A50,AtractivoSitios!$B:$B,P$2)</f>
        <v>0.68667173653927682</v>
      </c>
      <c r="Q50">
        <f>SUMIFS(AtractivoSitios!$C:$C,AtractivoSitios!$A:$A,$A50,AtractivoSitios!$B:$B,Q$2)</f>
        <v>0</v>
      </c>
      <c r="R50">
        <f>SUMIFS(AtractivoSitios!$C:$C,AtractivoSitios!$A:$A,$A50,AtractivoSitios!$B:$B,R$2)</f>
        <v>0</v>
      </c>
      <c r="S50">
        <f>SUMIFS(AtractivoSitios!$C:$C,AtractivoSitios!$A:$A,$A50,AtractivoSitios!$B:$B,S$2)</f>
        <v>0</v>
      </c>
      <c r="T50">
        <f>SUM(M50:S50)</f>
        <v>0.68667173653927682</v>
      </c>
      <c r="U50">
        <f>C50/(AD$4+H50+$T50)</f>
        <v>1.9182996167071325E-4</v>
      </c>
      <c r="V50">
        <f>D50/(AE$4+I50+$T50)</f>
        <v>5.5407132619094817E-5</v>
      </c>
      <c r="W50">
        <f>E50/(AF$4+J50+$T50)</f>
        <v>3.2019831810710213E-4</v>
      </c>
      <c r="X50">
        <f>F50/(AG$4+K50+$T50)</f>
        <v>1.7410265848486235E-5</v>
      </c>
      <c r="Y50">
        <f>G50/(AH$4+L50+$T50)</f>
        <v>1.0801188399694907E-5</v>
      </c>
    </row>
    <row r="51" spans="1:25">
      <c r="A51" t="s">
        <v>96</v>
      </c>
      <c r="B51">
        <f>SUMIFS(Sectores!$C:$C,Sectores!$A:$A,$A51)</f>
        <v>5507</v>
      </c>
      <c r="C51">
        <f>SUMIFS(Generacion!$C:$C,Generacion!$A:$A,$A51,Generacion!$B:$B,C$2)</f>
        <v>4.3533876706587399E-2</v>
      </c>
      <c r="D51">
        <f>SUMIFS(Generacion!$C:$C,Generacion!$A:$A,$A51,Generacion!$B:$B,D$2)</f>
        <v>3.7870933395161399E-2</v>
      </c>
      <c r="E51">
        <f>SUMIFS(Generacion!$C:$C,Generacion!$A:$A,$A51,Generacion!$B:$B,E$2)</f>
        <v>1.34494903646368E-2</v>
      </c>
      <c r="F51">
        <f>SUMIFS(Generacion!$C:$C,Generacion!$A:$A,$A51,Generacion!$B:$B,F$2)</f>
        <v>3.5393395696412498E-3</v>
      </c>
      <c r="G51">
        <f>SUMIFS(Generacion!$C:$C,Generacion!$A:$A,$A51,Generacion!$B:$B,G$2)</f>
        <v>2.4775376987488701E-3</v>
      </c>
      <c r="H51">
        <f>SUMPRODUCT((AtractivoAlternativas!$A$2:$A$931=$A51)*AtractivoAlternativas!$C$2:$C$931*COUNTIFS(Alternativas!$A$2:$A$51,AtractivoAlternativas!$B$2:$B$931,Alternativas!$B$2:$B$51,H$2))</f>
        <v>1.571334415796211</v>
      </c>
      <c r="I51">
        <f>SUMPRODUCT((AtractivoAlternativas!$A$2:$A$931=$A51)*AtractivoAlternativas!$C$2:$C$931*COUNTIFS(Alternativas!$A$2:$A$51,AtractivoAlternativas!$B$2:$B$931,Alternativas!$B$2:$B$51,I$2))</f>
        <v>2.5834271597344096</v>
      </c>
      <c r="J51">
        <f>SUMPRODUCT((AtractivoAlternativas!$A$2:$A$931=$A51)*AtractivoAlternativas!$C$2:$C$931*COUNTIFS(Alternativas!$A$2:$A$51,AtractivoAlternativas!$B$2:$B$931,Alternativas!$B$2:$B$51,J$2))</f>
        <v>0.41021790847017664</v>
      </c>
      <c r="K51">
        <f>SUMPRODUCT((AtractivoAlternativas!$A$2:$A$931=$A51)*AtractivoAlternativas!$C$2:$C$931*COUNTIFS(Alternativas!$A$2:$A$51,AtractivoAlternativas!$B$2:$B$931,Alternativas!$B$2:$B$51,K$2))</f>
        <v>0</v>
      </c>
      <c r="L51">
        <f>SUMPRODUCT((AtractivoAlternativas!$A$2:$A$931=$A51)*AtractivoAlternativas!$C$2:$C$931*COUNTIFS(Alternativas!$A$2:$A$51,AtractivoAlternativas!$B$2:$B$931,Alternativas!$B$2:$B$51,L$2))</f>
        <v>0</v>
      </c>
      <c r="M51">
        <f>SUMIFS(AtractivoSitios!$C:$C,AtractivoSitios!$A:$A,$A51,AtractivoSitios!$B:$B,M$2)</f>
        <v>0.54168747136211515</v>
      </c>
      <c r="N51">
        <f>SUMIFS(AtractivoSitios!$C:$C,AtractivoSitios!$A:$A,$A51,AtractivoSitios!$B:$B,N$2)</f>
        <v>0</v>
      </c>
      <c r="O51">
        <f>SUMIFS(AtractivoSitios!$C:$C,AtractivoSitios!$A:$A,$A51,AtractivoSitios!$B:$B,O$2)</f>
        <v>0</v>
      </c>
      <c r="P51">
        <f>SUMIFS(AtractivoSitios!$C:$C,AtractivoSitios!$A:$A,$A51,AtractivoSitios!$B:$B,P$2)</f>
        <v>0</v>
      </c>
      <c r="Q51">
        <f>SUMIFS(AtractivoSitios!$C:$C,AtractivoSitios!$A:$A,$A51,AtractivoSitios!$B:$B,Q$2)</f>
        <v>0</v>
      </c>
      <c r="R51">
        <f>SUMIFS(AtractivoSitios!$C:$C,AtractivoSitios!$A:$A,$A51,AtractivoSitios!$B:$B,R$2)</f>
        <v>0.71088279318061598</v>
      </c>
      <c r="S51">
        <f>SUMIFS(AtractivoSitios!$C:$C,AtractivoSitios!$A:$A,$A51,AtractivoSitios!$B:$B,S$2)</f>
        <v>0</v>
      </c>
      <c r="T51">
        <f>SUM(M51:S51)</f>
        <v>1.2525702645427312</v>
      </c>
      <c r="U51">
        <f>C51/(AD$4+H51+$T51)</f>
        <v>1.9077361409799453E-4</v>
      </c>
      <c r="V51">
        <f>D51/(AE$4+I51+$T51)</f>
        <v>5.5397007382822643E-5</v>
      </c>
      <c r="W51">
        <f>E51/(AF$4+J51+$T51)</f>
        <v>3.1574660954705725E-4</v>
      </c>
      <c r="X51">
        <f>F51/(AG$4+K51+$T51)</f>
        <v>1.7361935505850475E-5</v>
      </c>
      <c r="Y51">
        <f>G51/(AH$4+L51+$T51)</f>
        <v>1.0774606180220845E-5</v>
      </c>
    </row>
    <row r="52" spans="1:25">
      <c r="A52" t="s">
        <v>97</v>
      </c>
      <c r="B52">
        <f>SUMIFS(Sectores!$C:$C,Sectores!$A:$A,$A52)</f>
        <v>3798</v>
      </c>
      <c r="C52">
        <f>SUMIFS(Generacion!$C:$C,Generacion!$A:$A,$A52,Generacion!$B:$B,C$2)</f>
        <v>4.3533876706587399E-2</v>
      </c>
      <c r="D52">
        <f>SUMIFS(Generacion!$C:$C,Generacion!$A:$A,$A52,Generacion!$B:$B,D$2)</f>
        <v>3.7870933395161399E-2</v>
      </c>
      <c r="E52">
        <f>SUMIFS(Generacion!$C:$C,Generacion!$A:$A,$A52,Generacion!$B:$B,E$2)</f>
        <v>1.34494903646368E-2</v>
      </c>
      <c r="F52">
        <f>SUMIFS(Generacion!$C:$C,Generacion!$A:$A,$A52,Generacion!$B:$B,F$2)</f>
        <v>3.5393395696412498E-3</v>
      </c>
      <c r="G52">
        <f>SUMIFS(Generacion!$C:$C,Generacion!$A:$A,$A52,Generacion!$B:$B,G$2)</f>
        <v>2.4775376987488701E-3</v>
      </c>
      <c r="H52">
        <f>SUMPRODUCT((AtractivoAlternativas!$A$2:$A$931=$A52)*AtractivoAlternativas!$C$2:$C$931*COUNTIFS(Alternativas!$A$2:$A$51,AtractivoAlternativas!$B$2:$B$931,Alternativas!$B$2:$B$51,H$2))</f>
        <v>1.3484023913761214</v>
      </c>
      <c r="I52">
        <f>SUMPRODUCT((AtractivoAlternativas!$A$2:$A$931=$A52)*AtractivoAlternativas!$C$2:$C$931*COUNTIFS(Alternativas!$A$2:$A$51,AtractivoAlternativas!$B$2:$B$931,Alternativas!$B$2:$B$51,I$2))</f>
        <v>2.146189994636472</v>
      </c>
      <c r="J52">
        <f>SUMPRODUCT((AtractivoAlternativas!$A$2:$A$931=$A52)*AtractivoAlternativas!$C$2:$C$931*COUNTIFS(Alternativas!$A$2:$A$51,AtractivoAlternativas!$B$2:$B$931,Alternativas!$B$2:$B$51,J$2))</f>
        <v>0.39149731341730909</v>
      </c>
      <c r="K52">
        <f>SUMPRODUCT((AtractivoAlternativas!$A$2:$A$931=$A52)*AtractivoAlternativas!$C$2:$C$931*COUNTIFS(Alternativas!$A$2:$A$51,AtractivoAlternativas!$B$2:$B$931,Alternativas!$B$2:$B$51,K$2))</f>
        <v>0</v>
      </c>
      <c r="L52">
        <f>SUMPRODUCT((AtractivoAlternativas!$A$2:$A$931=$A52)*AtractivoAlternativas!$C$2:$C$931*COUNTIFS(Alternativas!$A$2:$A$51,AtractivoAlternativas!$B$2:$B$931,Alternativas!$B$2:$B$51,L$2))</f>
        <v>0</v>
      </c>
      <c r="M52">
        <f>SUMIFS(AtractivoSitios!$C:$C,AtractivoSitios!$A:$A,$A52,AtractivoSitios!$B:$B,M$2)</f>
        <v>0.4566360424343579</v>
      </c>
      <c r="N52">
        <f>SUMIFS(AtractivoSitios!$C:$C,AtractivoSitios!$A:$A,$A52,AtractivoSitios!$B:$B,N$2)</f>
        <v>0</v>
      </c>
      <c r="O52">
        <f>SUMIFS(AtractivoSitios!$C:$C,AtractivoSitios!$A:$A,$A52,AtractivoSitios!$B:$B,O$2)</f>
        <v>0</v>
      </c>
      <c r="P52">
        <f>SUMIFS(AtractivoSitios!$C:$C,AtractivoSitios!$A:$A,$A52,AtractivoSitios!$B:$B,P$2)</f>
        <v>0</v>
      </c>
      <c r="Q52">
        <f>SUMIFS(AtractivoSitios!$C:$C,AtractivoSitios!$A:$A,$A52,AtractivoSitios!$B:$B,Q$2)</f>
        <v>0</v>
      </c>
      <c r="R52">
        <f>SUMIFS(AtractivoSitios!$C:$C,AtractivoSitios!$A:$A,$A52,AtractivoSitios!$B:$B,R$2)</f>
        <v>0.8631736515178654</v>
      </c>
      <c r="S52">
        <f>SUMIFS(AtractivoSitios!$C:$C,AtractivoSitios!$A:$A,$A52,AtractivoSitios!$B:$B,S$2)</f>
        <v>0.45153153876014407</v>
      </c>
      <c r="T52">
        <f>SUM(M52:S52)</f>
        <v>1.7713412327123672</v>
      </c>
      <c r="U52">
        <f>C52/(AD$4+H52+$T52)</f>
        <v>1.9052661125579606E-4</v>
      </c>
      <c r="V52">
        <f>D52/(AE$4+I52+$T52)</f>
        <v>5.5390401170835527E-5</v>
      </c>
      <c r="W52">
        <f>E52/(AF$4+J52+$T52)</f>
        <v>3.1208293701985302E-4</v>
      </c>
      <c r="X52">
        <f>F52/(AG$4+K52+$T52)</f>
        <v>1.7317865214050792E-5</v>
      </c>
      <c r="Y52">
        <f>G52/(AH$4+L52+$T52)</f>
        <v>1.0750352396624604E-5</v>
      </c>
    </row>
    <row r="53" spans="1:25">
      <c r="A53" t="s">
        <v>98</v>
      </c>
      <c r="B53">
        <f>SUMIFS(Sectores!$C:$C,Sectores!$A:$A,$A53)</f>
        <v>3897</v>
      </c>
      <c r="C53">
        <f>SUMIFS(Generacion!$C:$C,Generacion!$A:$A,$A53,Generacion!$B:$B,C$2)</f>
        <v>4.3533876706587399E-2</v>
      </c>
      <c r="D53">
        <f>SUMIFS(Generacion!$C:$C,Generacion!$A:$A,$A53,Generacion!$B:$B,D$2)</f>
        <v>3.7870933395161399E-2</v>
      </c>
      <c r="E53">
        <f>SUMIFS(Generacion!$C:$C,Generacion!$A:$A,$A53,Generacion!$B:$B,E$2)</f>
        <v>1.34494903646368E-2</v>
      </c>
      <c r="F53">
        <f>SUMIFS(Generacion!$C:$C,Generacion!$A:$A,$A53,Generacion!$B:$B,F$2)</f>
        <v>3.5393395696412498E-3</v>
      </c>
      <c r="G53">
        <f>SUMIFS(Generacion!$C:$C,Generacion!$A:$A,$A53,Generacion!$B:$B,G$2)</f>
        <v>2.4775376987488701E-3</v>
      </c>
      <c r="H53">
        <f>SUMPRODUCT((AtractivoAlternativas!$A$2:$A$931=$A53)*AtractivoAlternativas!$C$2:$C$931*COUNTIFS(Alternativas!$A$2:$A$51,AtractivoAlternativas!$B$2:$B$931,Alternativas!$B$2:$B$51,H$2))</f>
        <v>0.54712638539802727</v>
      </c>
      <c r="I53">
        <f>SUMPRODUCT((AtractivoAlternativas!$A$2:$A$931=$A53)*AtractivoAlternativas!$C$2:$C$931*COUNTIFS(Alternativas!$A$2:$A$51,AtractivoAlternativas!$B$2:$B$931,Alternativas!$B$2:$B$51,I$2))</f>
        <v>2.4055723804742302</v>
      </c>
      <c r="J53">
        <f>SUMPRODUCT((AtractivoAlternativas!$A$2:$A$931=$A53)*AtractivoAlternativas!$C$2:$C$931*COUNTIFS(Alternativas!$A$2:$A$51,AtractivoAlternativas!$B$2:$B$931,Alternativas!$B$2:$B$51,J$2))</f>
        <v>0.54712638539802727</v>
      </c>
      <c r="K53">
        <f>SUMPRODUCT((AtractivoAlternativas!$A$2:$A$931=$A53)*AtractivoAlternativas!$C$2:$C$931*COUNTIFS(Alternativas!$A$2:$A$51,AtractivoAlternativas!$B$2:$B$931,Alternativas!$B$2:$B$51,K$2))</f>
        <v>0</v>
      </c>
      <c r="L53">
        <f>SUMPRODUCT((AtractivoAlternativas!$A$2:$A$931=$A53)*AtractivoAlternativas!$C$2:$C$931*COUNTIFS(Alternativas!$A$2:$A$51,AtractivoAlternativas!$B$2:$B$931,Alternativas!$B$2:$B$51,L$2))</f>
        <v>0</v>
      </c>
      <c r="M53">
        <f>SUMIFS(AtractivoSitios!$C:$C,AtractivoSitios!$A:$A,$A53,AtractivoSitios!$B:$B,M$2)</f>
        <v>0</v>
      </c>
      <c r="N53">
        <f>SUMIFS(AtractivoSitios!$C:$C,AtractivoSitios!$A:$A,$A53,AtractivoSitios!$B:$B,N$2)</f>
        <v>0</v>
      </c>
      <c r="O53">
        <f>SUMIFS(AtractivoSitios!$C:$C,AtractivoSitios!$A:$A,$A53,AtractivoSitios!$B:$B,O$2)</f>
        <v>0.5182460734791644</v>
      </c>
      <c r="P53">
        <f>SUMIFS(AtractivoSitios!$C:$C,AtractivoSitios!$A:$A,$A53,AtractivoSitios!$B:$B,P$2)</f>
        <v>0</v>
      </c>
      <c r="Q53">
        <f>SUMIFS(AtractivoSitios!$C:$C,AtractivoSitios!$A:$A,$A53,AtractivoSitios!$B:$B,Q$2)</f>
        <v>0</v>
      </c>
      <c r="R53">
        <f>SUMIFS(AtractivoSitios!$C:$C,AtractivoSitios!$A:$A,$A53,AtractivoSitios!$B:$B,R$2)</f>
        <v>0</v>
      </c>
      <c r="S53">
        <f>SUMIFS(AtractivoSitios!$C:$C,AtractivoSitios!$A:$A,$A53,AtractivoSitios!$B:$B,S$2)</f>
        <v>0</v>
      </c>
      <c r="T53">
        <f>SUM(M53:S53)</f>
        <v>0.5182460734791644</v>
      </c>
      <c r="U53">
        <f>C53/(AD$4+H53+$T53)</f>
        <v>1.9225517439726205E-4</v>
      </c>
      <c r="V53">
        <f>D53/(AE$4+I53+$T53)</f>
        <v>5.5471023539453784E-5</v>
      </c>
      <c r="W53">
        <f>E53/(AF$4+J53+$T53)</f>
        <v>3.2023801639299328E-4</v>
      </c>
      <c r="X53">
        <f>F53/(AG$4+K53+$T53)</f>
        <v>1.7424702178480008E-5</v>
      </c>
      <c r="Y53">
        <f>G53/(AH$4+L53+$T53)</f>
        <v>1.0809125284666758E-5</v>
      </c>
    </row>
    <row r="54" spans="1:25">
      <c r="A54" t="s">
        <v>100</v>
      </c>
      <c r="B54">
        <f>SUMIFS(Sectores!$C:$C,Sectores!$A:$A,$A54)</f>
        <v>3645</v>
      </c>
      <c r="C54">
        <f>SUMIFS(Generacion!$C:$C,Generacion!$A:$A,$A54,Generacion!$B:$B,C$2)</f>
        <v>4.3533876706587399E-2</v>
      </c>
      <c r="D54">
        <f>SUMIFS(Generacion!$C:$C,Generacion!$A:$A,$A54,Generacion!$B:$B,D$2)</f>
        <v>3.7870933395161399E-2</v>
      </c>
      <c r="E54">
        <f>SUMIFS(Generacion!$C:$C,Generacion!$A:$A,$A54,Generacion!$B:$B,E$2)</f>
        <v>1.34494903646368E-2</v>
      </c>
      <c r="F54">
        <f>SUMIFS(Generacion!$C:$C,Generacion!$A:$A,$A54,Generacion!$B:$B,F$2)</f>
        <v>3.5393395696412498E-3</v>
      </c>
      <c r="G54">
        <f>SUMIFS(Generacion!$C:$C,Generacion!$A:$A,$A54,Generacion!$B:$B,G$2)</f>
        <v>2.4775376987488701E-3</v>
      </c>
      <c r="H54">
        <f>SUMPRODUCT((AtractivoAlternativas!$A$2:$A$931=$A54)*AtractivoAlternativas!$C$2:$C$931*COUNTIFS(Alternativas!$A$2:$A$51,AtractivoAlternativas!$B$2:$B$931,Alternativas!$B$2:$B$51,H$2))</f>
        <v>1.0537365397004308</v>
      </c>
      <c r="I54">
        <f>SUMPRODUCT((AtractivoAlternativas!$A$2:$A$931=$A54)*AtractivoAlternativas!$C$2:$C$931*COUNTIFS(Alternativas!$A$2:$A$51,AtractivoAlternativas!$B$2:$B$931,Alternativas!$B$2:$B$51,I$2))</f>
        <v>3.6068488868213473</v>
      </c>
      <c r="J54">
        <f>SUMPRODUCT((AtractivoAlternativas!$A$2:$A$931=$A54)*AtractivoAlternativas!$C$2:$C$931*COUNTIFS(Alternativas!$A$2:$A$51,AtractivoAlternativas!$B$2:$B$931,Alternativas!$B$2:$B$51,J$2))</f>
        <v>0.61813985852697617</v>
      </c>
      <c r="K54">
        <f>SUMPRODUCT((AtractivoAlternativas!$A$2:$A$931=$A54)*AtractivoAlternativas!$C$2:$C$931*COUNTIFS(Alternativas!$A$2:$A$51,AtractivoAlternativas!$B$2:$B$931,Alternativas!$B$2:$B$51,K$2))</f>
        <v>0</v>
      </c>
      <c r="L54">
        <f>SUMPRODUCT((AtractivoAlternativas!$A$2:$A$931=$A54)*AtractivoAlternativas!$C$2:$C$931*COUNTIFS(Alternativas!$A$2:$A$51,AtractivoAlternativas!$B$2:$B$931,Alternativas!$B$2:$B$51,L$2))</f>
        <v>0</v>
      </c>
      <c r="M54">
        <f>SUMIFS(AtractivoSitios!$C:$C,AtractivoSitios!$A:$A,$A54,AtractivoSitios!$B:$B,M$2)</f>
        <v>0</v>
      </c>
      <c r="N54">
        <f>SUMIFS(AtractivoSitios!$C:$C,AtractivoSitios!$A:$A,$A54,AtractivoSitios!$B:$B,N$2)</f>
        <v>0</v>
      </c>
      <c r="O54">
        <f>SUMIFS(AtractivoSitios!$C:$C,AtractivoSitios!$A:$A,$A54,AtractivoSitios!$B:$B,O$2)</f>
        <v>0.52743665610145241</v>
      </c>
      <c r="P54">
        <f>SUMIFS(AtractivoSitios!$C:$C,AtractivoSitios!$A:$A,$A54,AtractivoSitios!$B:$B,P$2)</f>
        <v>0</v>
      </c>
      <c r="Q54">
        <f>SUMIFS(AtractivoSitios!$C:$C,AtractivoSitios!$A:$A,$A54,AtractivoSitios!$B:$B,Q$2)</f>
        <v>0</v>
      </c>
      <c r="R54">
        <f>SUMIFS(AtractivoSitios!$C:$C,AtractivoSitios!$A:$A,$A54,AtractivoSitios!$B:$B,R$2)</f>
        <v>0</v>
      </c>
      <c r="S54">
        <f>SUMIFS(AtractivoSitios!$C:$C,AtractivoSitios!$A:$A,$A54,AtractivoSitios!$B:$B,S$2)</f>
        <v>0</v>
      </c>
      <c r="T54">
        <f>SUM(M54:S54)</f>
        <v>0.52743665610145241</v>
      </c>
      <c r="U54">
        <f>C54/(AD$4+H54+$T54)</f>
        <v>1.9181823365696155E-4</v>
      </c>
      <c r="V54">
        <f>D54/(AE$4+I54+$T54)</f>
        <v>5.5372846483296487E-5</v>
      </c>
      <c r="W54">
        <f>E54/(AF$4+J54+$T54)</f>
        <v>3.1962762598789477E-4</v>
      </c>
      <c r="X54">
        <f>F54/(AG$4+K54+$T54)</f>
        <v>1.7423913805211705E-5</v>
      </c>
      <c r="Y54">
        <f>G54/(AH$4+L54+$T54)</f>
        <v>1.0808691887108928E-5</v>
      </c>
    </row>
    <row r="55" spans="1:25">
      <c r="A55" t="s">
        <v>101</v>
      </c>
      <c r="B55">
        <f>SUMIFS(Sectores!$C:$C,Sectores!$A:$A,$A55)</f>
        <v>4028</v>
      </c>
      <c r="C55">
        <f>SUMIFS(Generacion!$C:$C,Generacion!$A:$A,$A55,Generacion!$B:$B,C$2)</f>
        <v>4.3533876706587399E-2</v>
      </c>
      <c r="D55">
        <f>SUMIFS(Generacion!$C:$C,Generacion!$A:$A,$A55,Generacion!$B:$B,D$2)</f>
        <v>3.7870933395161399E-2</v>
      </c>
      <c r="E55">
        <f>SUMIFS(Generacion!$C:$C,Generacion!$A:$A,$A55,Generacion!$B:$B,E$2)</f>
        <v>1.34494903646368E-2</v>
      </c>
      <c r="F55">
        <f>SUMIFS(Generacion!$C:$C,Generacion!$A:$A,$A55,Generacion!$B:$B,F$2)</f>
        <v>3.5393395696412498E-3</v>
      </c>
      <c r="G55">
        <f>SUMIFS(Generacion!$C:$C,Generacion!$A:$A,$A55,Generacion!$B:$B,G$2)</f>
        <v>2.4775376987488701E-3</v>
      </c>
      <c r="H55">
        <f>SUMPRODUCT((AtractivoAlternativas!$A$2:$A$931=$A55)*AtractivoAlternativas!$C$2:$C$931*COUNTIFS(Alternativas!$A$2:$A$51,AtractivoAlternativas!$B$2:$B$931,Alternativas!$B$2:$B$51,H$2))</f>
        <v>1.1221280490114123</v>
      </c>
      <c r="I55">
        <f>SUMPRODUCT((AtractivoAlternativas!$A$2:$A$931=$A55)*AtractivoAlternativas!$C$2:$C$931*COUNTIFS(Alternativas!$A$2:$A$51,AtractivoAlternativas!$B$2:$B$931,Alternativas!$B$2:$B$51,I$2))</f>
        <v>3.9214917058219507</v>
      </c>
      <c r="J55">
        <f>SUMPRODUCT((AtractivoAlternativas!$A$2:$A$931=$A55)*AtractivoAlternativas!$C$2:$C$931*COUNTIFS(Alternativas!$A$2:$A$51,AtractivoAlternativas!$B$2:$B$931,Alternativas!$B$2:$B$51,J$2))</f>
        <v>0.73063073559410319</v>
      </c>
      <c r="K55">
        <f>SUMPRODUCT((AtractivoAlternativas!$A$2:$A$931=$A55)*AtractivoAlternativas!$C$2:$C$931*COUNTIFS(Alternativas!$A$2:$A$51,AtractivoAlternativas!$B$2:$B$931,Alternativas!$B$2:$B$51,K$2))</f>
        <v>0</v>
      </c>
      <c r="L55">
        <f>SUMPRODUCT((AtractivoAlternativas!$A$2:$A$931=$A55)*AtractivoAlternativas!$C$2:$C$931*COUNTIFS(Alternativas!$A$2:$A$51,AtractivoAlternativas!$B$2:$B$931,Alternativas!$B$2:$B$51,L$2))</f>
        <v>0</v>
      </c>
      <c r="M55">
        <f>SUMIFS(AtractivoSitios!$C:$C,AtractivoSitios!$A:$A,$A55,AtractivoSitios!$B:$B,M$2)</f>
        <v>0.3981187760312086</v>
      </c>
      <c r="N55">
        <f>SUMIFS(AtractivoSitios!$C:$C,AtractivoSitios!$A:$A,$A55,AtractivoSitios!$B:$B,N$2)</f>
        <v>0</v>
      </c>
      <c r="O55">
        <f>SUMIFS(AtractivoSitios!$C:$C,AtractivoSitios!$A:$A,$A55,AtractivoSitios!$B:$B,O$2)</f>
        <v>0.4461943678337717</v>
      </c>
      <c r="P55">
        <f>SUMIFS(AtractivoSitios!$C:$C,AtractivoSitios!$A:$A,$A55,AtractivoSitios!$B:$B,P$2)</f>
        <v>0</v>
      </c>
      <c r="Q55">
        <f>SUMIFS(AtractivoSitios!$C:$C,AtractivoSitios!$A:$A,$A55,AtractivoSitios!$B:$B,Q$2)</f>
        <v>0</v>
      </c>
      <c r="R55">
        <f>SUMIFS(AtractivoSitios!$C:$C,AtractivoSitios!$A:$A,$A55,AtractivoSitios!$B:$B,R$2)</f>
        <v>0</v>
      </c>
      <c r="S55">
        <f>SUMIFS(AtractivoSitios!$C:$C,AtractivoSitios!$A:$A,$A55,AtractivoSitios!$B:$B,S$2)</f>
        <v>0</v>
      </c>
      <c r="T55">
        <f>SUM(M55:S55)</f>
        <v>0.84431314386498024</v>
      </c>
      <c r="U55">
        <f>C55/(AD$4+H55+$T55)</f>
        <v>1.9149316226516042E-4</v>
      </c>
      <c r="V55">
        <f>D55/(AE$4+I55+$T55)</f>
        <v>5.5321763824854428E-5</v>
      </c>
      <c r="W55">
        <f>E55/(AF$4+J55+$T55)</f>
        <v>3.1639911129177417E-4</v>
      </c>
      <c r="X55">
        <f>F55/(AG$4+K55+$T55)</f>
        <v>1.7396775529022814E-5</v>
      </c>
      <c r="Y55">
        <f>G55/(AH$4+L55+$T55)</f>
        <v>1.0793770264511189E-5</v>
      </c>
    </row>
    <row r="56" spans="1:25">
      <c r="A56" t="s">
        <v>102</v>
      </c>
      <c r="B56">
        <f>SUMIFS(Sectores!$C:$C,Sectores!$A:$A,$A56)</f>
        <v>4247</v>
      </c>
      <c r="C56">
        <f>SUMIFS(Generacion!$C:$C,Generacion!$A:$A,$A56,Generacion!$B:$B,C$2)</f>
        <v>4.3533876706587399E-2</v>
      </c>
      <c r="D56">
        <f>SUMIFS(Generacion!$C:$C,Generacion!$A:$A,$A56,Generacion!$B:$B,D$2)</f>
        <v>3.7870933395161399E-2</v>
      </c>
      <c r="E56">
        <f>SUMIFS(Generacion!$C:$C,Generacion!$A:$A,$A56,Generacion!$B:$B,E$2)</f>
        <v>1.34494903646368E-2</v>
      </c>
      <c r="F56">
        <f>SUMIFS(Generacion!$C:$C,Generacion!$A:$A,$A56,Generacion!$B:$B,F$2)</f>
        <v>3.5393395696412498E-3</v>
      </c>
      <c r="G56">
        <f>SUMIFS(Generacion!$C:$C,Generacion!$A:$A,$A56,Generacion!$B:$B,G$2)</f>
        <v>2.4775376987488701E-3</v>
      </c>
      <c r="H56">
        <f>SUMPRODUCT((AtractivoAlternativas!$A$2:$A$931=$A56)*AtractivoAlternativas!$C$2:$C$931*COUNTIFS(Alternativas!$A$2:$A$51,AtractivoAlternativas!$B$2:$B$931,Alternativas!$B$2:$B$51,H$2))</f>
        <v>0.60866474511090585</v>
      </c>
      <c r="I56">
        <f>SUMPRODUCT((AtractivoAlternativas!$A$2:$A$931=$A56)*AtractivoAlternativas!$C$2:$C$931*COUNTIFS(Alternativas!$A$2:$A$51,AtractivoAlternativas!$B$2:$B$931,Alternativas!$B$2:$B$51,I$2))</f>
        <v>2.5877300533035936</v>
      </c>
      <c r="J56">
        <f>SUMPRODUCT((AtractivoAlternativas!$A$2:$A$931=$A56)*AtractivoAlternativas!$C$2:$C$931*COUNTIFS(Alternativas!$A$2:$A$51,AtractivoAlternativas!$B$2:$B$931,Alternativas!$B$2:$B$51,J$2))</f>
        <v>0.60866474511090585</v>
      </c>
      <c r="K56">
        <f>SUMPRODUCT((AtractivoAlternativas!$A$2:$A$931=$A56)*AtractivoAlternativas!$C$2:$C$931*COUNTIFS(Alternativas!$A$2:$A$51,AtractivoAlternativas!$B$2:$B$931,Alternativas!$B$2:$B$51,K$2))</f>
        <v>0</v>
      </c>
      <c r="L56">
        <f>SUMPRODUCT((AtractivoAlternativas!$A$2:$A$931=$A56)*AtractivoAlternativas!$C$2:$C$931*COUNTIFS(Alternativas!$A$2:$A$51,AtractivoAlternativas!$B$2:$B$931,Alternativas!$B$2:$B$51,L$2))</f>
        <v>0</v>
      </c>
      <c r="M56">
        <f>SUMIFS(AtractivoSitios!$C:$C,AtractivoSitios!$A:$A,$A56,AtractivoSitios!$B:$B,M$2)</f>
        <v>0</v>
      </c>
      <c r="N56">
        <f>SUMIFS(AtractivoSitios!$C:$C,AtractivoSitios!$A:$A,$A56,AtractivoSitios!$B:$B,N$2)</f>
        <v>0</v>
      </c>
      <c r="O56">
        <f>SUMIFS(AtractivoSitios!$C:$C,AtractivoSitios!$A:$A,$A56,AtractivoSitios!$B:$B,O$2)</f>
        <v>0.44230694706217843</v>
      </c>
      <c r="P56">
        <f>SUMIFS(AtractivoSitios!$C:$C,AtractivoSitios!$A:$A,$A56,AtractivoSitios!$B:$B,P$2)</f>
        <v>0</v>
      </c>
      <c r="Q56">
        <f>SUMIFS(AtractivoSitios!$C:$C,AtractivoSitios!$A:$A,$A56,AtractivoSitios!$B:$B,Q$2)</f>
        <v>0</v>
      </c>
      <c r="R56">
        <f>SUMIFS(AtractivoSitios!$C:$C,AtractivoSitios!$A:$A,$A56,AtractivoSitios!$B:$B,R$2)</f>
        <v>0</v>
      </c>
      <c r="S56">
        <f>SUMIFS(AtractivoSitios!$C:$C,AtractivoSitios!$A:$A,$A56,AtractivoSitios!$B:$B,S$2)</f>
        <v>0</v>
      </c>
      <c r="T56">
        <f>SUM(M56:S56)</f>
        <v>0.44230694706217843</v>
      </c>
      <c r="U56">
        <f>C56/(AD$4+H56+$T56)</f>
        <v>1.9226740201820638E-4</v>
      </c>
      <c r="V56">
        <f>D56/(AE$4+I56+$T56)</f>
        <v>5.5462394565854421E-5</v>
      </c>
      <c r="W56">
        <f>E56/(AF$4+J56+$T56)</f>
        <v>3.2034785992792343E-4</v>
      </c>
      <c r="X56">
        <f>F56/(AG$4+K56+$T56)</f>
        <v>1.7431219009931338E-5</v>
      </c>
      <c r="Y56">
        <f>G56/(AH$4+L56+$T56)</f>
        <v>1.0812707653822196E-5</v>
      </c>
    </row>
    <row r="57" spans="1:25">
      <c r="A57" t="s">
        <v>103</v>
      </c>
      <c r="B57">
        <f>SUMIFS(Sectores!$C:$C,Sectores!$A:$A,$A57)</f>
        <v>4493</v>
      </c>
      <c r="C57">
        <f>SUMIFS(Generacion!$C:$C,Generacion!$A:$A,$A57,Generacion!$B:$B,C$2)</f>
        <v>4.3533876706587399E-2</v>
      </c>
      <c r="D57">
        <f>SUMIFS(Generacion!$C:$C,Generacion!$A:$A,$A57,Generacion!$B:$B,D$2)</f>
        <v>3.7870933395161399E-2</v>
      </c>
      <c r="E57">
        <f>SUMIFS(Generacion!$C:$C,Generacion!$A:$A,$A57,Generacion!$B:$B,E$2)</f>
        <v>1.34494903646368E-2</v>
      </c>
      <c r="F57">
        <f>SUMIFS(Generacion!$C:$C,Generacion!$A:$A,$A57,Generacion!$B:$B,F$2)</f>
        <v>3.5393395696412498E-3</v>
      </c>
      <c r="G57">
        <f>SUMIFS(Generacion!$C:$C,Generacion!$A:$A,$A57,Generacion!$B:$B,G$2)</f>
        <v>2.4775376987488701E-3</v>
      </c>
      <c r="H57">
        <f>SUMPRODUCT((AtractivoAlternativas!$A$2:$A$931=$A57)*AtractivoAlternativas!$C$2:$C$931*COUNTIFS(Alternativas!$A$2:$A$51,AtractivoAlternativas!$B$2:$B$931,Alternativas!$B$2:$B$51,H$2))</f>
        <v>0.65467562723990813</v>
      </c>
      <c r="I57">
        <f>SUMPRODUCT((AtractivoAlternativas!$A$2:$A$931=$A57)*AtractivoAlternativas!$C$2:$C$931*COUNTIFS(Alternativas!$A$2:$A$51,AtractivoAlternativas!$B$2:$B$931,Alternativas!$B$2:$B$51,I$2))</f>
        <v>2.8405519934557688</v>
      </c>
      <c r="J57">
        <f>SUMPRODUCT((AtractivoAlternativas!$A$2:$A$931=$A57)*AtractivoAlternativas!$C$2:$C$931*COUNTIFS(Alternativas!$A$2:$A$51,AtractivoAlternativas!$B$2:$B$931,Alternativas!$B$2:$B$51,J$2))</f>
        <v>0.65467562723990813</v>
      </c>
      <c r="K57">
        <f>SUMPRODUCT((AtractivoAlternativas!$A$2:$A$931=$A57)*AtractivoAlternativas!$C$2:$C$931*COUNTIFS(Alternativas!$A$2:$A$51,AtractivoAlternativas!$B$2:$B$931,Alternativas!$B$2:$B$51,K$2))</f>
        <v>0</v>
      </c>
      <c r="L57">
        <f>SUMPRODUCT((AtractivoAlternativas!$A$2:$A$931=$A57)*AtractivoAlternativas!$C$2:$C$931*COUNTIFS(Alternativas!$A$2:$A$51,AtractivoAlternativas!$B$2:$B$931,Alternativas!$B$2:$B$51,L$2))</f>
        <v>0</v>
      </c>
      <c r="M57">
        <f>SUMIFS(AtractivoSitios!$C:$C,AtractivoSitios!$A:$A,$A57,AtractivoSitios!$B:$B,M$2)</f>
        <v>0.46443113888086535</v>
      </c>
      <c r="N57">
        <f>SUMIFS(AtractivoSitios!$C:$C,AtractivoSitios!$A:$A,$A57,AtractivoSitios!$B:$B,N$2)</f>
        <v>0</v>
      </c>
      <c r="O57">
        <f>SUMIFS(AtractivoSitios!$C:$C,AtractivoSitios!$A:$A,$A57,AtractivoSitios!$B:$B,O$2)</f>
        <v>0</v>
      </c>
      <c r="P57">
        <f>SUMIFS(AtractivoSitios!$C:$C,AtractivoSitios!$A:$A,$A57,AtractivoSitios!$B:$B,P$2)</f>
        <v>0</v>
      </c>
      <c r="Q57">
        <f>SUMIFS(AtractivoSitios!$C:$C,AtractivoSitios!$A:$A,$A57,AtractivoSitios!$B:$B,Q$2)</f>
        <v>0</v>
      </c>
      <c r="R57">
        <f>SUMIFS(AtractivoSitios!$C:$C,AtractivoSitios!$A:$A,$A57,AtractivoSitios!$B:$B,R$2)</f>
        <v>0</v>
      </c>
      <c r="S57">
        <f>SUMIFS(AtractivoSitios!$C:$C,AtractivoSitios!$A:$A,$A57,AtractivoSitios!$B:$B,S$2)</f>
        <v>0</v>
      </c>
      <c r="T57">
        <f>SUM(M57:S57)</f>
        <v>0.46443113888086535</v>
      </c>
      <c r="U57">
        <f>C57/(AD$4+H57+$T57)</f>
        <v>1.9220956258385888E-4</v>
      </c>
      <c r="V57">
        <f>D57/(AE$4+I57+$T57)</f>
        <v>5.544007097784636E-5</v>
      </c>
      <c r="W57">
        <f>E57/(AF$4+J57+$T57)</f>
        <v>3.1982881575412384E-4</v>
      </c>
      <c r="X57">
        <f>F57/(AG$4+K57+$T57)</f>
        <v>1.7429319885661432E-5</v>
      </c>
      <c r="Y57">
        <f>G57/(AH$4+L57+$T57)</f>
        <v>1.0811663717198896E-5</v>
      </c>
    </row>
    <row r="58" spans="1:25">
      <c r="A58" t="s">
        <v>104</v>
      </c>
      <c r="B58">
        <f>SUMIFS(Sectores!$C:$C,Sectores!$A:$A,$A58)</f>
        <v>5041</v>
      </c>
      <c r="C58">
        <f>SUMIFS(Generacion!$C:$C,Generacion!$A:$A,$A58,Generacion!$B:$B,C$2)</f>
        <v>4.3533876706587399E-2</v>
      </c>
      <c r="D58">
        <f>SUMIFS(Generacion!$C:$C,Generacion!$A:$A,$A58,Generacion!$B:$B,D$2)</f>
        <v>3.7870933395161399E-2</v>
      </c>
      <c r="E58">
        <f>SUMIFS(Generacion!$C:$C,Generacion!$A:$A,$A58,Generacion!$B:$B,E$2)</f>
        <v>1.34494903646368E-2</v>
      </c>
      <c r="F58">
        <f>SUMIFS(Generacion!$C:$C,Generacion!$A:$A,$A58,Generacion!$B:$B,F$2)</f>
        <v>3.5393395696412498E-3</v>
      </c>
      <c r="G58">
        <f>SUMIFS(Generacion!$C:$C,Generacion!$A:$A,$A58,Generacion!$B:$B,G$2)</f>
        <v>2.4775376987488701E-3</v>
      </c>
      <c r="H58">
        <f>SUMPRODUCT((AtractivoAlternativas!$A$2:$A$931=$A58)*AtractivoAlternativas!$C$2:$C$931*COUNTIFS(Alternativas!$A$2:$A$51,AtractivoAlternativas!$B$2:$B$931,Alternativas!$B$2:$B$51,H$2))</f>
        <v>0.64096833405618037</v>
      </c>
      <c r="I58">
        <f>SUMPRODUCT((AtractivoAlternativas!$A$2:$A$931=$A58)*AtractivoAlternativas!$C$2:$C$931*COUNTIFS(Alternativas!$A$2:$A$51,AtractivoAlternativas!$B$2:$B$931,Alternativas!$B$2:$B$51,I$2))</f>
        <v>2.57514234182905</v>
      </c>
      <c r="J58">
        <f>SUMPRODUCT((AtractivoAlternativas!$A$2:$A$931=$A58)*AtractivoAlternativas!$C$2:$C$931*COUNTIFS(Alternativas!$A$2:$A$51,AtractivoAlternativas!$B$2:$B$931,Alternativas!$B$2:$B$51,J$2))</f>
        <v>0.64096833405618037</v>
      </c>
      <c r="K58">
        <f>SUMPRODUCT((AtractivoAlternativas!$A$2:$A$931=$A58)*AtractivoAlternativas!$C$2:$C$931*COUNTIFS(Alternativas!$A$2:$A$51,AtractivoAlternativas!$B$2:$B$931,Alternativas!$B$2:$B$51,K$2))</f>
        <v>0</v>
      </c>
      <c r="L58">
        <f>SUMPRODUCT((AtractivoAlternativas!$A$2:$A$931=$A58)*AtractivoAlternativas!$C$2:$C$931*COUNTIFS(Alternativas!$A$2:$A$51,AtractivoAlternativas!$B$2:$B$931,Alternativas!$B$2:$B$51,L$2))</f>
        <v>0</v>
      </c>
      <c r="M58">
        <f>SUMIFS(AtractivoSitios!$C:$C,AtractivoSitios!$A:$A,$A58,AtractivoSitios!$B:$B,M$2)</f>
        <v>0.37903907746438709</v>
      </c>
      <c r="N58">
        <f>SUMIFS(AtractivoSitios!$C:$C,AtractivoSitios!$A:$A,$A58,AtractivoSitios!$B:$B,N$2)</f>
        <v>0</v>
      </c>
      <c r="O58">
        <f>SUMIFS(AtractivoSitios!$C:$C,AtractivoSitios!$A:$A,$A58,AtractivoSitios!$B:$B,O$2)</f>
        <v>0.37507667740686201</v>
      </c>
      <c r="P58">
        <f>SUMIFS(AtractivoSitios!$C:$C,AtractivoSitios!$A:$A,$A58,AtractivoSitios!$B:$B,P$2)</f>
        <v>0</v>
      </c>
      <c r="Q58">
        <f>SUMIFS(AtractivoSitios!$C:$C,AtractivoSitios!$A:$A,$A58,AtractivoSitios!$B:$B,Q$2)</f>
        <v>0</v>
      </c>
      <c r="R58">
        <f>SUMIFS(AtractivoSitios!$C:$C,AtractivoSitios!$A:$A,$A58,AtractivoSitios!$B:$B,R$2)</f>
        <v>0</v>
      </c>
      <c r="S58">
        <f>SUMIFS(AtractivoSitios!$C:$C,AtractivoSitios!$A:$A,$A58,AtractivoSitios!$B:$B,S$2)</f>
        <v>0</v>
      </c>
      <c r="T58">
        <f>SUM(M58:S58)</f>
        <v>0.75411575487124916</v>
      </c>
      <c r="U58">
        <f>C58/(AD$4+H58+$T58)</f>
        <v>1.919756426810004E-4</v>
      </c>
      <c r="V58">
        <f>D58/(AE$4+I58+$T58)</f>
        <v>5.5438100893982188E-5</v>
      </c>
      <c r="W58">
        <f>E58/(AF$4+J58+$T58)</f>
        <v>3.1774354765477916E-4</v>
      </c>
      <c r="X58">
        <f>F58/(AG$4+K58+$T58)</f>
        <v>1.7404491699930112E-5</v>
      </c>
      <c r="Y58">
        <f>G58/(AH$4+L58+$T58)</f>
        <v>1.0798013437406822E-5</v>
      </c>
    </row>
    <row r="59" spans="1:25">
      <c r="A59" t="s">
        <v>105</v>
      </c>
      <c r="B59">
        <f>SUMIFS(Sectores!$C:$C,Sectores!$A:$A,$A59)</f>
        <v>9208</v>
      </c>
      <c r="C59">
        <f>SUMIFS(Generacion!$C:$C,Generacion!$A:$A,$A59,Generacion!$B:$B,C$2)</f>
        <v>4.3533876706587399E-2</v>
      </c>
      <c r="D59">
        <f>SUMIFS(Generacion!$C:$C,Generacion!$A:$A,$A59,Generacion!$B:$B,D$2)</f>
        <v>3.7870933395161399E-2</v>
      </c>
      <c r="E59">
        <f>SUMIFS(Generacion!$C:$C,Generacion!$A:$A,$A59,Generacion!$B:$B,E$2)</f>
        <v>1.34494903646368E-2</v>
      </c>
      <c r="F59">
        <f>SUMIFS(Generacion!$C:$C,Generacion!$A:$A,$A59,Generacion!$B:$B,F$2)</f>
        <v>3.5393395696412498E-3</v>
      </c>
      <c r="G59">
        <f>SUMIFS(Generacion!$C:$C,Generacion!$A:$A,$A59,Generacion!$B:$B,G$2)</f>
        <v>2.4775376987488701E-3</v>
      </c>
      <c r="H59">
        <f>SUMPRODUCT((AtractivoAlternativas!$A$2:$A$931=$A59)*AtractivoAlternativas!$C$2:$C$931*COUNTIFS(Alternativas!$A$2:$A$51,AtractivoAlternativas!$B$2:$B$931,Alternativas!$B$2:$B$51,H$2))</f>
        <v>0.87171276944128417</v>
      </c>
      <c r="I59">
        <f>SUMPRODUCT((AtractivoAlternativas!$A$2:$A$931=$A59)*AtractivoAlternativas!$C$2:$C$931*COUNTIFS(Alternativas!$A$2:$A$51,AtractivoAlternativas!$B$2:$B$931,Alternativas!$B$2:$B$51,I$2))</f>
        <v>4.2569498503958441</v>
      </c>
      <c r="J59">
        <f>SUMPRODUCT((AtractivoAlternativas!$A$2:$A$931=$A59)*AtractivoAlternativas!$C$2:$C$931*COUNTIFS(Alternativas!$A$2:$A$51,AtractivoAlternativas!$B$2:$B$931,Alternativas!$B$2:$B$51,J$2))</f>
        <v>0.87171276944128417</v>
      </c>
      <c r="K59">
        <f>SUMPRODUCT((AtractivoAlternativas!$A$2:$A$931=$A59)*AtractivoAlternativas!$C$2:$C$931*COUNTIFS(Alternativas!$A$2:$A$51,AtractivoAlternativas!$B$2:$B$931,Alternativas!$B$2:$B$51,K$2))</f>
        <v>0</v>
      </c>
      <c r="L59">
        <f>SUMPRODUCT((AtractivoAlternativas!$A$2:$A$931=$A59)*AtractivoAlternativas!$C$2:$C$931*COUNTIFS(Alternativas!$A$2:$A$51,AtractivoAlternativas!$B$2:$B$931,Alternativas!$B$2:$B$51,L$2))</f>
        <v>0</v>
      </c>
      <c r="M59">
        <f>SUMIFS(AtractivoSitios!$C:$C,AtractivoSitios!$A:$A,$A59,AtractivoSitios!$B:$B,M$2)</f>
        <v>0.50721388018456304</v>
      </c>
      <c r="N59">
        <f>SUMIFS(AtractivoSitios!$C:$C,AtractivoSitios!$A:$A,$A59,AtractivoSitios!$B:$B,N$2)</f>
        <v>0</v>
      </c>
      <c r="O59">
        <f>SUMIFS(AtractivoSitios!$C:$C,AtractivoSitios!$A:$A,$A59,AtractivoSitios!$B:$B,O$2)</f>
        <v>0</v>
      </c>
      <c r="P59">
        <f>SUMIFS(AtractivoSitios!$C:$C,AtractivoSitios!$A:$A,$A59,AtractivoSitios!$B:$B,P$2)</f>
        <v>0</v>
      </c>
      <c r="Q59">
        <f>SUMIFS(AtractivoSitios!$C:$C,AtractivoSitios!$A:$A,$A59,AtractivoSitios!$B:$B,Q$2)</f>
        <v>0</v>
      </c>
      <c r="R59">
        <f>SUMIFS(AtractivoSitios!$C:$C,AtractivoSitios!$A:$A,$A59,AtractivoSitios!$B:$B,R$2)</f>
        <v>0</v>
      </c>
      <c r="S59">
        <f>SUMIFS(AtractivoSitios!$C:$C,AtractivoSitios!$A:$A,$A59,AtractivoSitios!$B:$B,S$2)</f>
        <v>0</v>
      </c>
      <c r="T59">
        <f>SUM(M59:S59)</f>
        <v>0.50721388018456304</v>
      </c>
      <c r="U59">
        <f>C59/(AD$4+H59+$T59)</f>
        <v>1.9198932212341377E-4</v>
      </c>
      <c r="V59">
        <f>D59/(AE$4+I59+$T59)</f>
        <v>5.5321896450395972E-5</v>
      </c>
      <c r="W59">
        <f>E59/(AF$4+J59+$T59)</f>
        <v>3.1786488262708124E-4</v>
      </c>
      <c r="X59">
        <f>F59/(AG$4+K59+$T59)</f>
        <v>1.7425648620355187E-5</v>
      </c>
      <c r="Y59">
        <f>G59/(AH$4+L59+$T59)</f>
        <v>1.0809645572411234E-5</v>
      </c>
    </row>
    <row r="60" spans="1:25">
      <c r="A60" t="s">
        <v>106</v>
      </c>
      <c r="B60">
        <f>SUMIFS(Sectores!$C:$C,Sectores!$A:$A,$A60)</f>
        <v>3432</v>
      </c>
      <c r="C60">
        <f>SUMIFS(Generacion!$C:$C,Generacion!$A:$A,$A60,Generacion!$B:$B,C$2)</f>
        <v>4.3533876706587399E-2</v>
      </c>
      <c r="D60">
        <f>SUMIFS(Generacion!$C:$C,Generacion!$A:$A,$A60,Generacion!$B:$B,D$2)</f>
        <v>3.7870933395161399E-2</v>
      </c>
      <c r="E60">
        <f>SUMIFS(Generacion!$C:$C,Generacion!$A:$A,$A60,Generacion!$B:$B,E$2)</f>
        <v>1.34494903646368E-2</v>
      </c>
      <c r="F60">
        <f>SUMIFS(Generacion!$C:$C,Generacion!$A:$A,$A60,Generacion!$B:$B,F$2)</f>
        <v>3.5393395696412498E-3</v>
      </c>
      <c r="G60">
        <f>SUMIFS(Generacion!$C:$C,Generacion!$A:$A,$A60,Generacion!$B:$B,G$2)</f>
        <v>2.4775376987488701E-3</v>
      </c>
      <c r="H60">
        <f>SUMPRODUCT((AtractivoAlternativas!$A$2:$A$931=$A60)*AtractivoAlternativas!$C$2:$C$931*COUNTIFS(Alternativas!$A$2:$A$51,AtractivoAlternativas!$B$2:$B$931,Alternativas!$B$2:$B$51,H$2))</f>
        <v>0.67011068548508645</v>
      </c>
      <c r="I60">
        <f>SUMPRODUCT((AtractivoAlternativas!$A$2:$A$931=$A60)*AtractivoAlternativas!$C$2:$C$931*COUNTIFS(Alternativas!$A$2:$A$51,AtractivoAlternativas!$B$2:$B$931,Alternativas!$B$2:$B$51,I$2))</f>
        <v>2.9610020340958823</v>
      </c>
      <c r="J60">
        <f>SUMPRODUCT((AtractivoAlternativas!$A$2:$A$931=$A60)*AtractivoAlternativas!$C$2:$C$931*COUNTIFS(Alternativas!$A$2:$A$51,AtractivoAlternativas!$B$2:$B$931,Alternativas!$B$2:$B$51,J$2))</f>
        <v>0.67011068548508645</v>
      </c>
      <c r="K60">
        <f>SUMPRODUCT((AtractivoAlternativas!$A$2:$A$931=$A60)*AtractivoAlternativas!$C$2:$C$931*COUNTIFS(Alternativas!$A$2:$A$51,AtractivoAlternativas!$B$2:$B$931,Alternativas!$B$2:$B$51,K$2))</f>
        <v>0</v>
      </c>
      <c r="L60">
        <f>SUMPRODUCT((AtractivoAlternativas!$A$2:$A$931=$A60)*AtractivoAlternativas!$C$2:$C$931*COUNTIFS(Alternativas!$A$2:$A$51,AtractivoAlternativas!$B$2:$B$931,Alternativas!$B$2:$B$51,L$2))</f>
        <v>0</v>
      </c>
      <c r="M60">
        <f>SUMIFS(AtractivoSitios!$C:$C,AtractivoSitios!$A:$A,$A60,AtractivoSitios!$B:$B,M$2)</f>
        <v>0.42276883866796888</v>
      </c>
      <c r="N60">
        <f>SUMIFS(AtractivoSitios!$C:$C,AtractivoSitios!$A:$A,$A60,AtractivoSitios!$B:$B,N$2)</f>
        <v>0</v>
      </c>
      <c r="O60">
        <f>SUMIFS(AtractivoSitios!$C:$C,AtractivoSitios!$A:$A,$A60,AtractivoSitios!$B:$B,O$2)</f>
        <v>0</v>
      </c>
      <c r="P60">
        <f>SUMIFS(AtractivoSitios!$C:$C,AtractivoSitios!$A:$A,$A60,AtractivoSitios!$B:$B,P$2)</f>
        <v>0</v>
      </c>
      <c r="Q60">
        <f>SUMIFS(AtractivoSitios!$C:$C,AtractivoSitios!$A:$A,$A60,AtractivoSitios!$B:$B,Q$2)</f>
        <v>0</v>
      </c>
      <c r="R60">
        <f>SUMIFS(AtractivoSitios!$C:$C,AtractivoSitios!$A:$A,$A60,AtractivoSitios!$B:$B,R$2)</f>
        <v>0</v>
      </c>
      <c r="S60">
        <f>SUMIFS(AtractivoSitios!$C:$C,AtractivoSitios!$A:$A,$A60,AtractivoSitios!$B:$B,S$2)</f>
        <v>0</v>
      </c>
      <c r="T60">
        <f>SUM(M60:S60)</f>
        <v>0.42276883866796888</v>
      </c>
      <c r="U60">
        <f>C60/(AD$4+H60+$T60)</f>
        <v>1.9223182260405601E-4</v>
      </c>
      <c r="V60">
        <f>D60/(AE$4+I60+$T60)</f>
        <v>5.543367730952188E-5</v>
      </c>
      <c r="W60">
        <f>E60/(AF$4+J60+$T60)</f>
        <v>3.2002841225422677E-4</v>
      </c>
      <c r="X60">
        <f>F60/(AG$4+K60+$T60)</f>
        <v>1.7432896490870842E-5</v>
      </c>
      <c r="Y60">
        <f>G60/(AH$4+L60+$T60)</f>
        <v>1.0813629732966197E-5</v>
      </c>
    </row>
    <row r="61" spans="1:25">
      <c r="A61" t="s">
        <v>107</v>
      </c>
      <c r="B61">
        <f>SUMIFS(Sectores!$C:$C,Sectores!$A:$A,$A61)</f>
        <v>4393</v>
      </c>
      <c r="C61">
        <f>SUMIFS(Generacion!$C:$C,Generacion!$A:$A,$A61,Generacion!$B:$B,C$2)</f>
        <v>4.3533876706587399E-2</v>
      </c>
      <c r="D61">
        <f>SUMIFS(Generacion!$C:$C,Generacion!$A:$A,$A61,Generacion!$B:$B,D$2)</f>
        <v>3.7870933395161399E-2</v>
      </c>
      <c r="E61">
        <f>SUMIFS(Generacion!$C:$C,Generacion!$A:$A,$A61,Generacion!$B:$B,E$2)</f>
        <v>1.34494903646368E-2</v>
      </c>
      <c r="F61">
        <f>SUMIFS(Generacion!$C:$C,Generacion!$A:$A,$A61,Generacion!$B:$B,F$2)</f>
        <v>3.5393395696412498E-3</v>
      </c>
      <c r="G61">
        <f>SUMIFS(Generacion!$C:$C,Generacion!$A:$A,$A61,Generacion!$B:$B,G$2)</f>
        <v>2.4775376987488701E-3</v>
      </c>
      <c r="H61">
        <f>SUMPRODUCT((AtractivoAlternativas!$A$2:$A$931=$A61)*AtractivoAlternativas!$C$2:$C$931*COUNTIFS(Alternativas!$A$2:$A$51,AtractivoAlternativas!$B$2:$B$931,Alternativas!$B$2:$B$51,H$2))</f>
        <v>0.77572908209738833</v>
      </c>
      <c r="I61">
        <f>SUMPRODUCT((AtractivoAlternativas!$A$2:$A$931=$A61)*AtractivoAlternativas!$C$2:$C$931*COUNTIFS(Alternativas!$A$2:$A$51,AtractivoAlternativas!$B$2:$B$931,Alternativas!$B$2:$B$51,I$2))</f>
        <v>3.8641328570041495</v>
      </c>
      <c r="J61">
        <f>SUMPRODUCT((AtractivoAlternativas!$A$2:$A$931=$A61)*AtractivoAlternativas!$C$2:$C$931*COUNTIFS(Alternativas!$A$2:$A$51,AtractivoAlternativas!$B$2:$B$931,Alternativas!$B$2:$B$51,J$2))</f>
        <v>0.37026302599809141</v>
      </c>
      <c r="K61">
        <f>SUMPRODUCT((AtractivoAlternativas!$A$2:$A$931=$A61)*AtractivoAlternativas!$C$2:$C$931*COUNTIFS(Alternativas!$A$2:$A$51,AtractivoAlternativas!$B$2:$B$931,Alternativas!$B$2:$B$51,K$2))</f>
        <v>0</v>
      </c>
      <c r="L61">
        <f>SUMPRODUCT((AtractivoAlternativas!$A$2:$A$931=$A61)*AtractivoAlternativas!$C$2:$C$931*COUNTIFS(Alternativas!$A$2:$A$51,AtractivoAlternativas!$B$2:$B$931,Alternativas!$B$2:$B$51,L$2))</f>
        <v>0</v>
      </c>
      <c r="M61">
        <f>SUMIFS(AtractivoSitios!$C:$C,AtractivoSitios!$A:$A,$A61,AtractivoSitios!$B:$B,M$2)</f>
        <v>0</v>
      </c>
      <c r="N61">
        <f>SUMIFS(AtractivoSitios!$C:$C,AtractivoSitios!$A:$A,$A61,AtractivoSitios!$B:$B,N$2)</f>
        <v>0</v>
      </c>
      <c r="O61">
        <f>SUMIFS(AtractivoSitios!$C:$C,AtractivoSitios!$A:$A,$A61,AtractivoSitios!$B:$B,O$2)</f>
        <v>0</v>
      </c>
      <c r="P61">
        <f>SUMIFS(AtractivoSitios!$C:$C,AtractivoSitios!$A:$A,$A61,AtractivoSitios!$B:$B,P$2)</f>
        <v>0</v>
      </c>
      <c r="Q61">
        <f>SUMIFS(AtractivoSitios!$C:$C,AtractivoSitios!$A:$A,$A61,AtractivoSitios!$B:$B,Q$2)</f>
        <v>0.37100987452720857</v>
      </c>
      <c r="R61">
        <f>SUMIFS(AtractivoSitios!$C:$C,AtractivoSitios!$A:$A,$A61,AtractivoSitios!$B:$B,R$2)</f>
        <v>0</v>
      </c>
      <c r="S61">
        <f>SUMIFS(AtractivoSitios!$C:$C,AtractivoSitios!$A:$A,$A61,AtractivoSitios!$B:$B,S$2)</f>
        <v>0</v>
      </c>
      <c r="T61">
        <f>SUM(M61:S61)</f>
        <v>0.37100987452720857</v>
      </c>
      <c r="U61">
        <f>C61/(AD$4+H61+$T61)</f>
        <v>1.9218611570869827E-4</v>
      </c>
      <c r="V61">
        <f>D61/(AE$4+I61+$T61)</f>
        <v>5.5364681966107758E-5</v>
      </c>
      <c r="W61">
        <f>E61/(AF$4+J61+$T61)</f>
        <v>3.227284949727371E-4</v>
      </c>
      <c r="X61">
        <f>F61/(AG$4+K61+$T61)</f>
        <v>1.7437341914765095E-5</v>
      </c>
      <c r="Y61">
        <f>G61/(AH$4+L61+$T61)</f>
        <v>1.0816073199624281E-5</v>
      </c>
    </row>
    <row r="62" spans="1:25">
      <c r="A62" t="s">
        <v>108</v>
      </c>
      <c r="B62">
        <f>SUMIFS(Sectores!$C:$C,Sectores!$A:$A,$A62)</f>
        <v>2812</v>
      </c>
      <c r="C62">
        <f>SUMIFS(Generacion!$C:$C,Generacion!$A:$A,$A62,Generacion!$B:$B,C$2)</f>
        <v>4.3533876706587399E-2</v>
      </c>
      <c r="D62">
        <f>SUMIFS(Generacion!$C:$C,Generacion!$A:$A,$A62,Generacion!$B:$B,D$2)</f>
        <v>3.7870933395161399E-2</v>
      </c>
      <c r="E62">
        <f>SUMIFS(Generacion!$C:$C,Generacion!$A:$A,$A62,Generacion!$B:$B,E$2)</f>
        <v>1.34494903646368E-2</v>
      </c>
      <c r="F62">
        <f>SUMIFS(Generacion!$C:$C,Generacion!$A:$A,$A62,Generacion!$B:$B,F$2)</f>
        <v>3.5393395696412498E-3</v>
      </c>
      <c r="G62">
        <f>SUMIFS(Generacion!$C:$C,Generacion!$A:$A,$A62,Generacion!$B:$B,G$2)</f>
        <v>2.4775376987488701E-3</v>
      </c>
      <c r="H62">
        <f>SUMPRODUCT((AtractivoAlternativas!$A$2:$A$931=$A62)*AtractivoAlternativas!$C$2:$C$931*COUNTIFS(Alternativas!$A$2:$A$51,AtractivoAlternativas!$B$2:$B$931,Alternativas!$B$2:$B$51,H$2))</f>
        <v>0.38693958725005462</v>
      </c>
      <c r="I62">
        <f>SUMPRODUCT((AtractivoAlternativas!$A$2:$A$931=$A62)*AtractivoAlternativas!$C$2:$C$931*COUNTIFS(Alternativas!$A$2:$A$51,AtractivoAlternativas!$B$2:$B$931,Alternativas!$B$2:$B$51,I$2))</f>
        <v>2.5504249960418961</v>
      </c>
      <c r="J62">
        <f>SUMPRODUCT((AtractivoAlternativas!$A$2:$A$931=$A62)*AtractivoAlternativas!$C$2:$C$931*COUNTIFS(Alternativas!$A$2:$A$51,AtractivoAlternativas!$B$2:$B$931,Alternativas!$B$2:$B$51,J$2))</f>
        <v>0.38693958725005462</v>
      </c>
      <c r="K62">
        <f>SUMPRODUCT((AtractivoAlternativas!$A$2:$A$931=$A62)*AtractivoAlternativas!$C$2:$C$931*COUNTIFS(Alternativas!$A$2:$A$51,AtractivoAlternativas!$B$2:$B$931,Alternativas!$B$2:$B$51,K$2))</f>
        <v>0</v>
      </c>
      <c r="L62">
        <f>SUMPRODUCT((AtractivoAlternativas!$A$2:$A$931=$A62)*AtractivoAlternativas!$C$2:$C$931*COUNTIFS(Alternativas!$A$2:$A$51,AtractivoAlternativas!$B$2:$B$931,Alternativas!$B$2:$B$51,L$2))</f>
        <v>0</v>
      </c>
      <c r="M62">
        <f>SUMIFS(AtractivoSitios!$C:$C,AtractivoSitios!$A:$A,$A62,AtractivoSitios!$B:$B,M$2)</f>
        <v>0</v>
      </c>
      <c r="N62">
        <f>SUMIFS(AtractivoSitios!$C:$C,AtractivoSitios!$A:$A,$A62,AtractivoSitios!$B:$B,N$2)</f>
        <v>0</v>
      </c>
      <c r="O62">
        <f>SUMIFS(AtractivoSitios!$C:$C,AtractivoSitios!$A:$A,$A62,AtractivoSitios!$B:$B,O$2)</f>
        <v>0</v>
      </c>
      <c r="P62">
        <f>SUMIFS(AtractivoSitios!$C:$C,AtractivoSitios!$A:$A,$A62,AtractivoSitios!$B:$B,P$2)</f>
        <v>0</v>
      </c>
      <c r="Q62">
        <f>SUMIFS(AtractivoSitios!$C:$C,AtractivoSitios!$A:$A,$A62,AtractivoSitios!$B:$B,Q$2)</f>
        <v>0.51676325371210785</v>
      </c>
      <c r="R62">
        <f>SUMIFS(AtractivoSitios!$C:$C,AtractivoSitios!$A:$A,$A62,AtractivoSitios!$B:$B,R$2)</f>
        <v>0</v>
      </c>
      <c r="S62">
        <f>SUMIFS(AtractivoSitios!$C:$C,AtractivoSitios!$A:$A,$A62,AtractivoSitios!$B:$B,S$2)</f>
        <v>0</v>
      </c>
      <c r="T62">
        <f>SUM(M62:S62)</f>
        <v>0.51676325371210785</v>
      </c>
      <c r="U62">
        <f>C62/(AD$4+H62+$T62)</f>
        <v>1.9239253662544064E-4</v>
      </c>
      <c r="V62">
        <f>D62/(AE$4+I62+$T62)</f>
        <v>5.5459377109354227E-5</v>
      </c>
      <c r="W62">
        <f>E62/(AF$4+J62+$T62)</f>
        <v>3.2147551114636942E-4</v>
      </c>
      <c r="X62">
        <f>F62/(AG$4+K62+$T62)</f>
        <v>1.7424829382264853E-5</v>
      </c>
      <c r="Y62">
        <f>G62/(AH$4+L62+$T62)</f>
        <v>1.0809195212811501E-5</v>
      </c>
    </row>
    <row r="63" spans="1:25">
      <c r="A63" t="s">
        <v>109</v>
      </c>
      <c r="B63">
        <f>SUMIFS(Sectores!$C:$C,Sectores!$A:$A,$A63)</f>
        <v>4686</v>
      </c>
      <c r="C63">
        <f>SUMIFS(Generacion!$C:$C,Generacion!$A:$A,$A63,Generacion!$B:$B,C$2)</f>
        <v>4.3533876706587399E-2</v>
      </c>
      <c r="D63">
        <f>SUMIFS(Generacion!$C:$C,Generacion!$A:$A,$A63,Generacion!$B:$B,D$2)</f>
        <v>3.7870933395161399E-2</v>
      </c>
      <c r="E63">
        <f>SUMIFS(Generacion!$C:$C,Generacion!$A:$A,$A63,Generacion!$B:$B,E$2)</f>
        <v>1.34494903646368E-2</v>
      </c>
      <c r="F63">
        <f>SUMIFS(Generacion!$C:$C,Generacion!$A:$A,$A63,Generacion!$B:$B,F$2)</f>
        <v>3.5393395696412498E-3</v>
      </c>
      <c r="G63">
        <f>SUMIFS(Generacion!$C:$C,Generacion!$A:$A,$A63,Generacion!$B:$B,G$2)</f>
        <v>2.4775376987488701E-3</v>
      </c>
      <c r="H63">
        <f>SUMPRODUCT((AtractivoAlternativas!$A$2:$A$931=$A63)*AtractivoAlternativas!$C$2:$C$931*COUNTIFS(Alternativas!$A$2:$A$51,AtractivoAlternativas!$B$2:$B$931,Alternativas!$B$2:$B$51,H$2))</f>
        <v>0.38730671708360898</v>
      </c>
      <c r="I63">
        <f>SUMPRODUCT((AtractivoAlternativas!$A$2:$A$931=$A63)*AtractivoAlternativas!$C$2:$C$931*COUNTIFS(Alternativas!$A$2:$A$51,AtractivoAlternativas!$B$2:$B$931,Alternativas!$B$2:$B$51,I$2))</f>
        <v>1.8952587049363463</v>
      </c>
      <c r="J63">
        <f>SUMPRODUCT((AtractivoAlternativas!$A$2:$A$931=$A63)*AtractivoAlternativas!$C$2:$C$931*COUNTIFS(Alternativas!$A$2:$A$51,AtractivoAlternativas!$B$2:$B$931,Alternativas!$B$2:$B$51,J$2))</f>
        <v>0.38730671708360898</v>
      </c>
      <c r="K63">
        <f>SUMPRODUCT((AtractivoAlternativas!$A$2:$A$931=$A63)*AtractivoAlternativas!$C$2:$C$931*COUNTIFS(Alternativas!$A$2:$A$51,AtractivoAlternativas!$B$2:$B$931,Alternativas!$B$2:$B$51,K$2))</f>
        <v>0</v>
      </c>
      <c r="L63">
        <f>SUMPRODUCT((AtractivoAlternativas!$A$2:$A$931=$A63)*AtractivoAlternativas!$C$2:$C$931*COUNTIFS(Alternativas!$A$2:$A$51,AtractivoAlternativas!$B$2:$B$931,Alternativas!$B$2:$B$51,L$2))</f>
        <v>0</v>
      </c>
      <c r="M63">
        <f>SUMIFS(AtractivoSitios!$C:$C,AtractivoSitios!$A:$A,$A63,AtractivoSitios!$B:$B,M$2)</f>
        <v>0</v>
      </c>
      <c r="N63">
        <f>SUMIFS(AtractivoSitios!$C:$C,AtractivoSitios!$A:$A,$A63,AtractivoSitios!$B:$B,N$2)</f>
        <v>0.39650998614972327</v>
      </c>
      <c r="O63">
        <f>SUMIFS(AtractivoSitios!$C:$C,AtractivoSitios!$A:$A,$A63,AtractivoSitios!$B:$B,O$2)</f>
        <v>0</v>
      </c>
      <c r="P63">
        <f>SUMIFS(AtractivoSitios!$C:$C,AtractivoSitios!$A:$A,$A63,AtractivoSitios!$B:$B,P$2)</f>
        <v>0</v>
      </c>
      <c r="Q63">
        <f>SUMIFS(AtractivoSitios!$C:$C,AtractivoSitios!$A:$A,$A63,AtractivoSitios!$B:$B,Q$2)</f>
        <v>0.66435971641101343</v>
      </c>
      <c r="R63">
        <f>SUMIFS(AtractivoSitios!$C:$C,AtractivoSitios!$A:$A,$A63,AtractivoSitios!$B:$B,R$2)</f>
        <v>0</v>
      </c>
      <c r="S63">
        <f>SUMIFS(AtractivoSitios!$C:$C,AtractivoSitios!$A:$A,$A63,AtractivoSitios!$B:$B,S$2)</f>
        <v>0</v>
      </c>
      <c r="T63">
        <f>SUM(M63:S63)</f>
        <v>1.0608697025607368</v>
      </c>
      <c r="U63">
        <f>C63/(AD$4+H63+$T63)</f>
        <v>1.9193070661586208E-4</v>
      </c>
      <c r="V63">
        <f>D63/(AE$4+I63+$T63)</f>
        <v>5.5468398461948093E-5</v>
      </c>
      <c r="W63">
        <f>E63/(AF$4+J63+$T63)</f>
        <v>3.1734550002021389E-4</v>
      </c>
      <c r="X63">
        <f>F63/(AG$4+K63+$T63)</f>
        <v>1.7378277536546149E-5</v>
      </c>
      <c r="Y63">
        <f>G63/(AH$4+L63+$T63)</f>
        <v>1.0783596355168096E-5</v>
      </c>
    </row>
    <row r="64" spans="1:25">
      <c r="A64" t="s">
        <v>110</v>
      </c>
      <c r="B64">
        <f>SUMIFS(Sectores!$C:$C,Sectores!$A:$A,$A64)</f>
        <v>3857</v>
      </c>
      <c r="C64">
        <f>SUMIFS(Generacion!$C:$C,Generacion!$A:$A,$A64,Generacion!$B:$B,C$2)</f>
        <v>4.3533876706587399E-2</v>
      </c>
      <c r="D64">
        <f>SUMIFS(Generacion!$C:$C,Generacion!$A:$A,$A64,Generacion!$B:$B,D$2)</f>
        <v>3.7870933395161399E-2</v>
      </c>
      <c r="E64">
        <f>SUMIFS(Generacion!$C:$C,Generacion!$A:$A,$A64,Generacion!$B:$B,E$2)</f>
        <v>1.34494903646368E-2</v>
      </c>
      <c r="F64">
        <f>SUMIFS(Generacion!$C:$C,Generacion!$A:$A,$A64,Generacion!$B:$B,F$2)</f>
        <v>3.5393395696412498E-3</v>
      </c>
      <c r="G64">
        <f>SUMIFS(Generacion!$C:$C,Generacion!$A:$A,$A64,Generacion!$B:$B,G$2)</f>
        <v>2.4775376987488701E-3</v>
      </c>
      <c r="H64">
        <f>SUMPRODUCT((AtractivoAlternativas!$A$2:$A$931=$A64)*AtractivoAlternativas!$C$2:$C$931*COUNTIFS(Alternativas!$A$2:$A$51,AtractivoAlternativas!$B$2:$B$931,Alternativas!$B$2:$B$51,H$2))</f>
        <v>0.47869160622810447</v>
      </c>
      <c r="I64">
        <f>SUMPRODUCT((AtractivoAlternativas!$A$2:$A$931=$A64)*AtractivoAlternativas!$C$2:$C$931*COUNTIFS(Alternativas!$A$2:$A$51,AtractivoAlternativas!$B$2:$B$931,Alternativas!$B$2:$B$51,I$2))</f>
        <v>1.7056658597274257</v>
      </c>
      <c r="J64">
        <f>SUMPRODUCT((AtractivoAlternativas!$A$2:$A$931=$A64)*AtractivoAlternativas!$C$2:$C$931*COUNTIFS(Alternativas!$A$2:$A$51,AtractivoAlternativas!$B$2:$B$931,Alternativas!$B$2:$B$51,J$2))</f>
        <v>0.47869160622810447</v>
      </c>
      <c r="K64">
        <f>SUMPRODUCT((AtractivoAlternativas!$A$2:$A$931=$A64)*AtractivoAlternativas!$C$2:$C$931*COUNTIFS(Alternativas!$A$2:$A$51,AtractivoAlternativas!$B$2:$B$931,Alternativas!$B$2:$B$51,K$2))</f>
        <v>0</v>
      </c>
      <c r="L64">
        <f>SUMPRODUCT((AtractivoAlternativas!$A$2:$A$931=$A64)*AtractivoAlternativas!$C$2:$C$931*COUNTIFS(Alternativas!$A$2:$A$51,AtractivoAlternativas!$B$2:$B$931,Alternativas!$B$2:$B$51,L$2))</f>
        <v>0</v>
      </c>
      <c r="M64">
        <f>SUMIFS(AtractivoSitios!$C:$C,AtractivoSitios!$A:$A,$A64,AtractivoSitios!$B:$B,M$2)</f>
        <v>0</v>
      </c>
      <c r="N64">
        <f>SUMIFS(AtractivoSitios!$C:$C,AtractivoSitios!$A:$A,$A64,AtractivoSitios!$B:$B,N$2)</f>
        <v>0</v>
      </c>
      <c r="O64">
        <f>SUMIFS(AtractivoSitios!$C:$C,AtractivoSitios!$A:$A,$A64,AtractivoSitios!$B:$B,O$2)</f>
        <v>0</v>
      </c>
      <c r="P64">
        <f>SUMIFS(AtractivoSitios!$C:$C,AtractivoSitios!$A:$A,$A64,AtractivoSitios!$B:$B,P$2)</f>
        <v>0</v>
      </c>
      <c r="Q64">
        <f>SUMIFS(AtractivoSitios!$C:$C,AtractivoSitios!$A:$A,$A64,AtractivoSitios!$B:$B,Q$2)</f>
        <v>0.76953892826180936</v>
      </c>
      <c r="R64">
        <f>SUMIFS(AtractivoSitios!$C:$C,AtractivoSitios!$A:$A,$A64,AtractivoSitios!$B:$B,R$2)</f>
        <v>0</v>
      </c>
      <c r="S64">
        <f>SUMIFS(AtractivoSitios!$C:$C,AtractivoSitios!$A:$A,$A64,AtractivoSitios!$B:$B,S$2)</f>
        <v>0</v>
      </c>
      <c r="T64">
        <f>SUM(M64:S64)</f>
        <v>0.76953892826180936</v>
      </c>
      <c r="U64">
        <f>C64/(AD$4+H64+$T64)</f>
        <v>1.9210004564213545E-4</v>
      </c>
      <c r="V64">
        <f>D64/(AE$4+I64+$T64)</f>
        <v>5.5507497617111453E-5</v>
      </c>
      <c r="W64">
        <f>E64/(AF$4+J64+$T64)</f>
        <v>3.1884976758700802E-4</v>
      </c>
      <c r="X64">
        <f>F64/(AG$4+K64+$T64)</f>
        <v>1.7403171799224111E-5</v>
      </c>
      <c r="Y64">
        <f>G64/(AH$4+L64+$T64)</f>
        <v>1.0797287645694988E-5</v>
      </c>
    </row>
    <row r="65" spans="1:25">
      <c r="A65" t="s">
        <v>111</v>
      </c>
      <c r="B65">
        <f>SUMIFS(Sectores!$C:$C,Sectores!$A:$A,$A65)</f>
        <v>4425</v>
      </c>
      <c r="C65">
        <f>SUMIFS(Generacion!$C:$C,Generacion!$A:$A,$A65,Generacion!$B:$B,C$2)</f>
        <v>4.3533876706587399E-2</v>
      </c>
      <c r="D65">
        <f>SUMIFS(Generacion!$C:$C,Generacion!$A:$A,$A65,Generacion!$B:$B,D$2)</f>
        <v>3.7870933395161399E-2</v>
      </c>
      <c r="E65">
        <f>SUMIFS(Generacion!$C:$C,Generacion!$A:$A,$A65,Generacion!$B:$B,E$2)</f>
        <v>1.34494903646368E-2</v>
      </c>
      <c r="F65">
        <f>SUMIFS(Generacion!$C:$C,Generacion!$A:$A,$A65,Generacion!$B:$B,F$2)</f>
        <v>3.5393395696412498E-3</v>
      </c>
      <c r="G65">
        <f>SUMIFS(Generacion!$C:$C,Generacion!$A:$A,$A65,Generacion!$B:$B,G$2)</f>
        <v>2.4775376987488701E-3</v>
      </c>
      <c r="H65">
        <f>SUMPRODUCT((AtractivoAlternativas!$A$2:$A$931=$A65)*AtractivoAlternativas!$C$2:$C$931*COUNTIFS(Alternativas!$A$2:$A$51,AtractivoAlternativas!$B$2:$B$931,Alternativas!$B$2:$B$51,H$2))</f>
        <v>0.38173978430936861</v>
      </c>
      <c r="I65">
        <f>SUMPRODUCT((AtractivoAlternativas!$A$2:$A$931=$A65)*AtractivoAlternativas!$C$2:$C$931*COUNTIFS(Alternativas!$A$2:$A$51,AtractivoAlternativas!$B$2:$B$931,Alternativas!$B$2:$B$51,I$2))</f>
        <v>0.96020869810500686</v>
      </c>
      <c r="J65">
        <f>SUMPRODUCT((AtractivoAlternativas!$A$2:$A$931=$A65)*AtractivoAlternativas!$C$2:$C$931*COUNTIFS(Alternativas!$A$2:$A$51,AtractivoAlternativas!$B$2:$B$931,Alternativas!$B$2:$B$51,J$2))</f>
        <v>0.38173978430936861</v>
      </c>
      <c r="K65">
        <f>SUMPRODUCT((AtractivoAlternativas!$A$2:$A$931=$A65)*AtractivoAlternativas!$C$2:$C$931*COUNTIFS(Alternativas!$A$2:$A$51,AtractivoAlternativas!$B$2:$B$931,Alternativas!$B$2:$B$51,K$2))</f>
        <v>0</v>
      </c>
      <c r="L65">
        <f>SUMPRODUCT((AtractivoAlternativas!$A$2:$A$931=$A65)*AtractivoAlternativas!$C$2:$C$931*COUNTIFS(Alternativas!$A$2:$A$51,AtractivoAlternativas!$B$2:$B$931,Alternativas!$B$2:$B$51,L$2))</f>
        <v>0</v>
      </c>
      <c r="M65">
        <f>SUMIFS(AtractivoSitios!$C:$C,AtractivoSitios!$A:$A,$A65,AtractivoSitios!$B:$B,M$2)</f>
        <v>0</v>
      </c>
      <c r="N65">
        <f>SUMIFS(AtractivoSitios!$C:$C,AtractivoSitios!$A:$A,$A65,AtractivoSitios!$B:$B,N$2)</f>
        <v>0.42727669931182594</v>
      </c>
      <c r="O65">
        <f>SUMIFS(AtractivoSitios!$C:$C,AtractivoSitios!$A:$A,$A65,AtractivoSitios!$B:$B,O$2)</f>
        <v>0</v>
      </c>
      <c r="P65">
        <f>SUMIFS(AtractivoSitios!$C:$C,AtractivoSitios!$A:$A,$A65,AtractivoSitios!$B:$B,P$2)</f>
        <v>0</v>
      </c>
      <c r="Q65">
        <f>SUMIFS(AtractivoSitios!$C:$C,AtractivoSitios!$A:$A,$A65,AtractivoSitios!$B:$B,Q$2)</f>
        <v>0.89747811953603596</v>
      </c>
      <c r="R65">
        <f>SUMIFS(AtractivoSitios!$C:$C,AtractivoSitios!$A:$A,$A65,AtractivoSitios!$B:$B,R$2)</f>
        <v>0</v>
      </c>
      <c r="S65">
        <f>SUMIFS(AtractivoSitios!$C:$C,AtractivoSitios!$A:$A,$A65,AtractivoSitios!$B:$B,S$2)</f>
        <v>0</v>
      </c>
      <c r="T65">
        <f>SUM(M65:S65)</f>
        <v>1.3247548188478619</v>
      </c>
      <c r="U65">
        <f>C65/(AD$4+H65+$T65)</f>
        <v>1.9171237217999231E-4</v>
      </c>
      <c r="V65">
        <f>D65/(AE$4+I65+$T65)</f>
        <v>5.5522979477324261E-5</v>
      </c>
      <c r="W65">
        <f>E65/(AF$4+J65+$T65)</f>
        <v>3.1542296260361009E-4</v>
      </c>
      <c r="X65">
        <f>F65/(AG$4+K65+$T65)</f>
        <v>1.7355789901876891E-5</v>
      </c>
      <c r="Y65">
        <f>G65/(AH$4+L65+$T65)</f>
        <v>1.0771224827280385E-5</v>
      </c>
    </row>
    <row r="66" spans="1:25">
      <c r="A66" t="s">
        <v>112</v>
      </c>
      <c r="B66">
        <f>SUMIFS(Sectores!$C:$C,Sectores!$A:$A,$A66)</f>
        <v>3803</v>
      </c>
      <c r="C66">
        <f>SUMIFS(Generacion!$C:$C,Generacion!$A:$A,$A66,Generacion!$B:$B,C$2)</f>
        <v>4.3533876706587399E-2</v>
      </c>
      <c r="D66">
        <f>SUMIFS(Generacion!$C:$C,Generacion!$A:$A,$A66,Generacion!$B:$B,D$2)</f>
        <v>3.7870933395161399E-2</v>
      </c>
      <c r="E66">
        <f>SUMIFS(Generacion!$C:$C,Generacion!$A:$A,$A66,Generacion!$B:$B,E$2)</f>
        <v>1.34494903646368E-2</v>
      </c>
      <c r="F66">
        <f>SUMIFS(Generacion!$C:$C,Generacion!$A:$A,$A66,Generacion!$B:$B,F$2)</f>
        <v>3.5393395696412498E-3</v>
      </c>
      <c r="G66">
        <f>SUMIFS(Generacion!$C:$C,Generacion!$A:$A,$A66,Generacion!$B:$B,G$2)</f>
        <v>2.4775376987488701E-3</v>
      </c>
      <c r="H66">
        <f>SUMPRODUCT((AtractivoAlternativas!$A$2:$A$931=$A66)*AtractivoAlternativas!$C$2:$C$931*COUNTIFS(Alternativas!$A$2:$A$51,AtractivoAlternativas!$B$2:$B$931,Alternativas!$B$2:$B$51,H$2))</f>
        <v>0.45000409731846203</v>
      </c>
      <c r="I66">
        <f>SUMPRODUCT((AtractivoAlternativas!$A$2:$A$931=$A66)*AtractivoAlternativas!$C$2:$C$931*COUNTIFS(Alternativas!$A$2:$A$51,AtractivoAlternativas!$B$2:$B$931,Alternativas!$B$2:$B$51,I$2))</f>
        <v>1.3710439788356537</v>
      </c>
      <c r="J66">
        <f>SUMPRODUCT((AtractivoAlternativas!$A$2:$A$931=$A66)*AtractivoAlternativas!$C$2:$C$931*COUNTIFS(Alternativas!$A$2:$A$51,AtractivoAlternativas!$B$2:$B$931,Alternativas!$B$2:$B$51,J$2))</f>
        <v>0.45000409731846203</v>
      </c>
      <c r="K66">
        <f>SUMPRODUCT((AtractivoAlternativas!$A$2:$A$931=$A66)*AtractivoAlternativas!$C$2:$C$931*COUNTIFS(Alternativas!$A$2:$A$51,AtractivoAlternativas!$B$2:$B$931,Alternativas!$B$2:$B$51,K$2))</f>
        <v>0</v>
      </c>
      <c r="L66">
        <f>SUMPRODUCT((AtractivoAlternativas!$A$2:$A$931=$A66)*AtractivoAlternativas!$C$2:$C$931*COUNTIFS(Alternativas!$A$2:$A$51,AtractivoAlternativas!$B$2:$B$931,Alternativas!$B$2:$B$51,L$2))</f>
        <v>0</v>
      </c>
      <c r="M66">
        <f>SUMIFS(AtractivoSitios!$C:$C,AtractivoSitios!$A:$A,$A66,AtractivoSitios!$B:$B,M$2)</f>
        <v>0</v>
      </c>
      <c r="N66">
        <f>SUMIFS(AtractivoSitios!$C:$C,AtractivoSitios!$A:$A,$A66,AtractivoSitios!$B:$B,N$2)</f>
        <v>0</v>
      </c>
      <c r="O66">
        <f>SUMIFS(AtractivoSitios!$C:$C,AtractivoSitios!$A:$A,$A66,AtractivoSitios!$B:$B,O$2)</f>
        <v>0</v>
      </c>
      <c r="P66">
        <f>SUMIFS(AtractivoSitios!$C:$C,AtractivoSitios!$A:$A,$A66,AtractivoSitios!$B:$B,P$2)</f>
        <v>0</v>
      </c>
      <c r="Q66">
        <f>SUMIFS(AtractivoSitios!$C:$C,AtractivoSitios!$A:$A,$A66,AtractivoSitios!$B:$B,Q$2)</f>
        <v>0.86186150569548503</v>
      </c>
      <c r="R66">
        <f>SUMIFS(AtractivoSitios!$C:$C,AtractivoSitios!$A:$A,$A66,AtractivoSitios!$B:$B,R$2)</f>
        <v>0</v>
      </c>
      <c r="S66">
        <f>SUMIFS(AtractivoSitios!$C:$C,AtractivoSitios!$A:$A,$A66,AtractivoSitios!$B:$B,S$2)</f>
        <v>0</v>
      </c>
      <c r="T66">
        <f>SUM(M66:S66)</f>
        <v>0.86186150569548503</v>
      </c>
      <c r="U66">
        <f>C66/(AD$4+H66+$T66)</f>
        <v>1.920461191492766E-4</v>
      </c>
      <c r="V66">
        <f>D66/(AE$4+I66+$T66)</f>
        <v>5.5527217472076641E-5</v>
      </c>
      <c r="W66">
        <f>E66/(AF$4+J66+$T66)</f>
        <v>3.1836947242669649E-4</v>
      </c>
      <c r="X66">
        <f>F66/(AG$4+K66+$T66)</f>
        <v>1.7395275103613228E-5</v>
      </c>
      <c r="Y66">
        <f>G66/(AH$4+L66+$T66)</f>
        <v>1.0792945121077281E-5</v>
      </c>
    </row>
    <row r="67" spans="1:25">
      <c r="A67" t="s">
        <v>113</v>
      </c>
      <c r="B67">
        <f>SUMIFS(Sectores!$C:$C,Sectores!$A:$A,$A67)</f>
        <v>3899</v>
      </c>
      <c r="C67">
        <f>SUMIFS(Generacion!$C:$C,Generacion!$A:$A,$A67,Generacion!$B:$B,C$2)</f>
        <v>4.3533876706587399E-2</v>
      </c>
      <c r="D67">
        <f>SUMIFS(Generacion!$C:$C,Generacion!$A:$A,$A67,Generacion!$B:$B,D$2)</f>
        <v>3.7870933395161399E-2</v>
      </c>
      <c r="E67">
        <f>SUMIFS(Generacion!$C:$C,Generacion!$A:$A,$A67,Generacion!$B:$B,E$2)</f>
        <v>1.34494903646368E-2</v>
      </c>
      <c r="F67">
        <f>SUMIFS(Generacion!$C:$C,Generacion!$A:$A,$A67,Generacion!$B:$B,F$2)</f>
        <v>3.5393395696412498E-3</v>
      </c>
      <c r="G67">
        <f>SUMIFS(Generacion!$C:$C,Generacion!$A:$A,$A67,Generacion!$B:$B,G$2)</f>
        <v>2.4775376987488701E-3</v>
      </c>
      <c r="H67">
        <f>SUMPRODUCT((AtractivoAlternativas!$A$2:$A$931=$A67)*AtractivoAlternativas!$C$2:$C$931*COUNTIFS(Alternativas!$A$2:$A$51,AtractivoAlternativas!$B$2:$B$931,Alternativas!$B$2:$B$51,H$2))</f>
        <v>0.48193374719599286</v>
      </c>
      <c r="I67">
        <f>SUMPRODUCT((AtractivoAlternativas!$A$2:$A$931=$A67)*AtractivoAlternativas!$C$2:$C$931*COUNTIFS(Alternativas!$A$2:$A$51,AtractivoAlternativas!$B$2:$B$931,Alternativas!$B$2:$B$51,I$2))</f>
        <v>2.6592912427891986</v>
      </c>
      <c r="J67">
        <f>SUMPRODUCT((AtractivoAlternativas!$A$2:$A$931=$A67)*AtractivoAlternativas!$C$2:$C$931*COUNTIFS(Alternativas!$A$2:$A$51,AtractivoAlternativas!$B$2:$B$931,Alternativas!$B$2:$B$51,J$2))</f>
        <v>0.48193374719599286</v>
      </c>
      <c r="K67">
        <f>SUMPRODUCT((AtractivoAlternativas!$A$2:$A$931=$A67)*AtractivoAlternativas!$C$2:$C$931*COUNTIFS(Alternativas!$A$2:$A$51,AtractivoAlternativas!$B$2:$B$931,Alternativas!$B$2:$B$51,K$2))</f>
        <v>0</v>
      </c>
      <c r="L67">
        <f>SUMPRODUCT((AtractivoAlternativas!$A$2:$A$931=$A67)*AtractivoAlternativas!$C$2:$C$931*COUNTIFS(Alternativas!$A$2:$A$51,AtractivoAlternativas!$B$2:$B$931,Alternativas!$B$2:$B$51,L$2))</f>
        <v>0</v>
      </c>
      <c r="M67">
        <f>SUMIFS(AtractivoSitios!$C:$C,AtractivoSitios!$A:$A,$A67,AtractivoSitios!$B:$B,M$2)</f>
        <v>0</v>
      </c>
      <c r="N67">
        <f>SUMIFS(AtractivoSitios!$C:$C,AtractivoSitios!$A:$A,$A67,AtractivoSitios!$B:$B,N$2)</f>
        <v>0</v>
      </c>
      <c r="O67">
        <f>SUMIFS(AtractivoSitios!$C:$C,AtractivoSitios!$A:$A,$A67,AtractivoSitios!$B:$B,O$2)</f>
        <v>0</v>
      </c>
      <c r="P67">
        <f>SUMIFS(AtractivoSitios!$C:$C,AtractivoSitios!$A:$A,$A67,AtractivoSitios!$B:$B,P$2)</f>
        <v>0</v>
      </c>
      <c r="Q67">
        <f>SUMIFS(AtractivoSitios!$C:$C,AtractivoSitios!$A:$A,$A67,AtractivoSitios!$B:$B,Q$2)</f>
        <v>0.55601360250254861</v>
      </c>
      <c r="R67">
        <f>SUMIFS(AtractivoSitios!$C:$C,AtractivoSitios!$A:$A,$A67,AtractivoSitios!$B:$B,R$2)</f>
        <v>0</v>
      </c>
      <c r="S67">
        <f>SUMIFS(AtractivoSitios!$C:$C,AtractivoSitios!$A:$A,$A67,AtractivoSitios!$B:$B,S$2)</f>
        <v>0</v>
      </c>
      <c r="T67">
        <f>SUM(M67:S67)</f>
        <v>0.55601360250254861</v>
      </c>
      <c r="U67">
        <f>C67/(AD$4+H67+$T67)</f>
        <v>1.9227846226359916E-4</v>
      </c>
      <c r="V67">
        <f>D67/(AE$4+I67+$T67)</f>
        <v>5.544735021500462E-5</v>
      </c>
      <c r="W67">
        <f>E67/(AF$4+J67+$T67)</f>
        <v>3.2044726954062161E-4</v>
      </c>
      <c r="X67">
        <f>F67/(AG$4+K67+$T67)</f>
        <v>1.7421462914626639E-5</v>
      </c>
      <c r="Y67">
        <f>G67/(AH$4+L67+$T67)</f>
        <v>1.0807344514600638E-5</v>
      </c>
    </row>
    <row r="68" spans="1:25">
      <c r="A68" t="s">
        <v>114</v>
      </c>
      <c r="B68">
        <f>SUMIFS(Sectores!$C:$C,Sectores!$A:$A,$A68)</f>
        <v>3348</v>
      </c>
      <c r="C68">
        <f>SUMIFS(Generacion!$C:$C,Generacion!$A:$A,$A68,Generacion!$B:$B,C$2)</f>
        <v>4.3533876706587399E-2</v>
      </c>
      <c r="D68">
        <f>SUMIFS(Generacion!$C:$C,Generacion!$A:$A,$A68,Generacion!$B:$B,D$2)</f>
        <v>3.7870933395161399E-2</v>
      </c>
      <c r="E68">
        <f>SUMIFS(Generacion!$C:$C,Generacion!$A:$A,$A68,Generacion!$B:$B,E$2)</f>
        <v>1.34494903646368E-2</v>
      </c>
      <c r="F68">
        <f>SUMIFS(Generacion!$C:$C,Generacion!$A:$A,$A68,Generacion!$B:$B,F$2)</f>
        <v>3.5393395696412498E-3</v>
      </c>
      <c r="G68">
        <f>SUMIFS(Generacion!$C:$C,Generacion!$A:$A,$A68,Generacion!$B:$B,G$2)</f>
        <v>2.4775376987488701E-3</v>
      </c>
      <c r="H68">
        <f>SUMPRODUCT((AtractivoAlternativas!$A$2:$A$931=$A68)*AtractivoAlternativas!$C$2:$C$931*COUNTIFS(Alternativas!$A$2:$A$51,AtractivoAlternativas!$B$2:$B$931,Alternativas!$B$2:$B$51,H$2))</f>
        <v>0.42117937020589008</v>
      </c>
      <c r="I68">
        <f>SUMPRODUCT((AtractivoAlternativas!$A$2:$A$931=$A68)*AtractivoAlternativas!$C$2:$C$931*COUNTIFS(Alternativas!$A$2:$A$51,AtractivoAlternativas!$B$2:$B$931,Alternativas!$B$2:$B$51,I$2))</f>
        <v>0.95631795247535623</v>
      </c>
      <c r="J68">
        <f>SUMPRODUCT((AtractivoAlternativas!$A$2:$A$931=$A68)*AtractivoAlternativas!$C$2:$C$931*COUNTIFS(Alternativas!$A$2:$A$51,AtractivoAlternativas!$B$2:$B$931,Alternativas!$B$2:$B$51,J$2))</f>
        <v>0.42117937020589008</v>
      </c>
      <c r="K68">
        <f>SUMPRODUCT((AtractivoAlternativas!$A$2:$A$931=$A68)*AtractivoAlternativas!$C$2:$C$931*COUNTIFS(Alternativas!$A$2:$A$51,AtractivoAlternativas!$B$2:$B$931,Alternativas!$B$2:$B$51,K$2))</f>
        <v>0</v>
      </c>
      <c r="L68">
        <f>SUMPRODUCT((AtractivoAlternativas!$A$2:$A$931=$A68)*AtractivoAlternativas!$C$2:$C$931*COUNTIFS(Alternativas!$A$2:$A$51,AtractivoAlternativas!$B$2:$B$931,Alternativas!$B$2:$B$51,L$2))</f>
        <v>0</v>
      </c>
      <c r="M68">
        <f>SUMIFS(AtractivoSitios!$C:$C,AtractivoSitios!$A:$A,$A68,AtractivoSitios!$B:$B,M$2)</f>
        <v>0</v>
      </c>
      <c r="N68">
        <f>SUMIFS(AtractivoSitios!$C:$C,AtractivoSitios!$A:$A,$A68,AtractivoSitios!$B:$B,N$2)</f>
        <v>0.39959416366144968</v>
      </c>
      <c r="O68">
        <f>SUMIFS(AtractivoSitios!$C:$C,AtractivoSitios!$A:$A,$A68,AtractivoSitios!$B:$B,O$2)</f>
        <v>0</v>
      </c>
      <c r="P68">
        <f>SUMIFS(AtractivoSitios!$C:$C,AtractivoSitios!$A:$A,$A68,AtractivoSitios!$B:$B,P$2)</f>
        <v>0</v>
      </c>
      <c r="Q68">
        <f>SUMIFS(AtractivoSitios!$C:$C,AtractivoSitios!$A:$A,$A68,AtractivoSitios!$B:$B,Q$2)</f>
        <v>0.90304726000651847</v>
      </c>
      <c r="R68">
        <f>SUMIFS(AtractivoSitios!$C:$C,AtractivoSitios!$A:$A,$A68,AtractivoSitios!$B:$B,R$2)</f>
        <v>0</v>
      </c>
      <c r="S68">
        <f>SUMIFS(AtractivoSitios!$C:$C,AtractivoSitios!$A:$A,$A68,AtractivoSitios!$B:$B,S$2)</f>
        <v>0</v>
      </c>
      <c r="T68">
        <f>SUM(M68:S68)</f>
        <v>1.3026414236679682</v>
      </c>
      <c r="U68">
        <f>C68/(AD$4+H68+$T68)</f>
        <v>1.9169774559651417E-4</v>
      </c>
      <c r="V68">
        <f>D68/(AE$4+I68+$T68)</f>
        <v>5.5525096368750803E-5</v>
      </c>
      <c r="W68">
        <f>E68/(AF$4+J68+$T68)</f>
        <v>3.1529484540328729E-4</v>
      </c>
      <c r="X68">
        <f>F68/(AG$4+K68+$T68)</f>
        <v>1.7357672116140114E-5</v>
      </c>
      <c r="Y68">
        <f>G68/(AH$4+L68+$T68)</f>
        <v>1.0772260463169787E-5</v>
      </c>
    </row>
    <row r="69" spans="1:25">
      <c r="A69" t="s">
        <v>115</v>
      </c>
      <c r="B69">
        <f>SUMIFS(Sectores!$C:$C,Sectores!$A:$A,$A69)</f>
        <v>3343</v>
      </c>
      <c r="C69">
        <f>SUMIFS(Generacion!$C:$C,Generacion!$A:$A,$A69,Generacion!$B:$B,C$2)</f>
        <v>4.3533876706587399E-2</v>
      </c>
      <c r="D69">
        <f>SUMIFS(Generacion!$C:$C,Generacion!$A:$A,$A69,Generacion!$B:$B,D$2)</f>
        <v>3.7870933395161399E-2</v>
      </c>
      <c r="E69">
        <f>SUMIFS(Generacion!$C:$C,Generacion!$A:$A,$A69,Generacion!$B:$B,E$2)</f>
        <v>1.34494903646368E-2</v>
      </c>
      <c r="F69">
        <f>SUMIFS(Generacion!$C:$C,Generacion!$A:$A,$A69,Generacion!$B:$B,F$2)</f>
        <v>3.5393395696412498E-3</v>
      </c>
      <c r="G69">
        <f>SUMIFS(Generacion!$C:$C,Generacion!$A:$A,$A69,Generacion!$B:$B,G$2)</f>
        <v>2.4775376987488701E-3</v>
      </c>
      <c r="H69">
        <f>SUMPRODUCT((AtractivoAlternativas!$A$2:$A$931=$A69)*AtractivoAlternativas!$C$2:$C$931*COUNTIFS(Alternativas!$A$2:$A$51,AtractivoAlternativas!$B$2:$B$931,Alternativas!$B$2:$B$51,H$2))</f>
        <v>0.46059235127679654</v>
      </c>
      <c r="I69">
        <f>SUMPRODUCT((AtractivoAlternativas!$A$2:$A$931=$A69)*AtractivoAlternativas!$C$2:$C$931*COUNTIFS(Alternativas!$A$2:$A$51,AtractivoAlternativas!$B$2:$B$931,Alternativas!$B$2:$B$51,I$2))</f>
        <v>3.6390552285407942</v>
      </c>
      <c r="J69">
        <f>SUMPRODUCT((AtractivoAlternativas!$A$2:$A$931=$A69)*AtractivoAlternativas!$C$2:$C$931*COUNTIFS(Alternativas!$A$2:$A$51,AtractivoAlternativas!$B$2:$B$931,Alternativas!$B$2:$B$51,J$2))</f>
        <v>0</v>
      </c>
      <c r="K69">
        <f>SUMPRODUCT((AtractivoAlternativas!$A$2:$A$931=$A69)*AtractivoAlternativas!$C$2:$C$931*COUNTIFS(Alternativas!$A$2:$A$51,AtractivoAlternativas!$B$2:$B$931,Alternativas!$B$2:$B$51,K$2))</f>
        <v>0</v>
      </c>
      <c r="L69">
        <f>SUMPRODUCT((AtractivoAlternativas!$A$2:$A$931=$A69)*AtractivoAlternativas!$C$2:$C$931*COUNTIFS(Alternativas!$A$2:$A$51,AtractivoAlternativas!$B$2:$B$931,Alternativas!$B$2:$B$51,L$2))</f>
        <v>0</v>
      </c>
      <c r="M69">
        <f>SUMIFS(AtractivoSitios!$C:$C,AtractivoSitios!$A:$A,$A69,AtractivoSitios!$B:$B,M$2)</f>
        <v>0</v>
      </c>
      <c r="N69">
        <f>SUMIFS(AtractivoSitios!$C:$C,AtractivoSitios!$A:$A,$A69,AtractivoSitios!$B:$B,N$2)</f>
        <v>0</v>
      </c>
      <c r="O69">
        <f>SUMIFS(AtractivoSitios!$C:$C,AtractivoSitios!$A:$A,$A69,AtractivoSitios!$B:$B,O$2)</f>
        <v>0</v>
      </c>
      <c r="P69">
        <f>SUMIFS(AtractivoSitios!$C:$C,AtractivoSitios!$A:$A,$A69,AtractivoSitios!$B:$B,P$2)</f>
        <v>0</v>
      </c>
      <c r="Q69">
        <f>SUMIFS(AtractivoSitios!$C:$C,AtractivoSitios!$A:$A,$A69,AtractivoSitios!$B:$B,Q$2)</f>
        <v>0.39621017809459858</v>
      </c>
      <c r="R69">
        <f>SUMIFS(AtractivoSitios!$C:$C,AtractivoSitios!$A:$A,$A69,AtractivoSitios!$B:$B,R$2)</f>
        <v>0</v>
      </c>
      <c r="S69">
        <f>SUMIFS(AtractivoSitios!$C:$C,AtractivoSitios!$A:$A,$A69,AtractivoSitios!$B:$B,S$2)</f>
        <v>0</v>
      </c>
      <c r="T69">
        <f>SUM(M69:S69)</f>
        <v>0.39621017809459858</v>
      </c>
      <c r="U69">
        <f>C69/(AD$4+H69+$T69)</f>
        <v>1.9243242210811593E-4</v>
      </c>
      <c r="V69">
        <f>D69/(AE$4+I69+$T69)</f>
        <v>5.53808646317301E-5</v>
      </c>
      <c r="W69">
        <f>E69/(AF$4+J69+$T69)</f>
        <v>3.2542299233739473E-4</v>
      </c>
      <c r="X69">
        <f>F69/(AG$4+K69+$T69)</f>
        <v>1.7435177252277222E-5</v>
      </c>
      <c r="Y69">
        <f>G69/(AH$4+L69+$T69)</f>
        <v>1.0814883391418572E-5</v>
      </c>
    </row>
    <row r="70" spans="1:25">
      <c r="A70" t="s">
        <v>116</v>
      </c>
      <c r="B70">
        <f>SUMIFS(Sectores!$C:$C,Sectores!$A:$A,$A70)</f>
        <v>4108</v>
      </c>
      <c r="C70">
        <f>SUMIFS(Generacion!$C:$C,Generacion!$A:$A,$A70,Generacion!$B:$B,C$2)</f>
        <v>4.3533876706587399E-2</v>
      </c>
      <c r="D70">
        <f>SUMIFS(Generacion!$C:$C,Generacion!$A:$A,$A70,Generacion!$B:$B,D$2)</f>
        <v>3.7870933395161399E-2</v>
      </c>
      <c r="E70">
        <f>SUMIFS(Generacion!$C:$C,Generacion!$A:$A,$A70,Generacion!$B:$B,E$2)</f>
        <v>1.34494903646368E-2</v>
      </c>
      <c r="F70">
        <f>SUMIFS(Generacion!$C:$C,Generacion!$A:$A,$A70,Generacion!$B:$B,F$2)</f>
        <v>3.5393395696412498E-3</v>
      </c>
      <c r="G70">
        <f>SUMIFS(Generacion!$C:$C,Generacion!$A:$A,$A70,Generacion!$B:$B,G$2)</f>
        <v>2.4775376987488701E-3</v>
      </c>
      <c r="H70">
        <f>SUMPRODUCT((AtractivoAlternativas!$A$2:$A$931=$A70)*AtractivoAlternativas!$C$2:$C$931*COUNTIFS(Alternativas!$A$2:$A$51,AtractivoAlternativas!$B$2:$B$931,Alternativas!$B$2:$B$51,H$2))</f>
        <v>0</v>
      </c>
      <c r="I70">
        <f>SUMPRODUCT((AtractivoAlternativas!$A$2:$A$931=$A70)*AtractivoAlternativas!$C$2:$C$931*COUNTIFS(Alternativas!$A$2:$A$51,AtractivoAlternativas!$B$2:$B$931,Alternativas!$B$2:$B$51,I$2))</f>
        <v>1.1056698463223329</v>
      </c>
      <c r="J70">
        <f>SUMPRODUCT((AtractivoAlternativas!$A$2:$A$931=$A70)*AtractivoAlternativas!$C$2:$C$931*COUNTIFS(Alternativas!$A$2:$A$51,AtractivoAlternativas!$B$2:$B$931,Alternativas!$B$2:$B$51,J$2))</f>
        <v>0</v>
      </c>
      <c r="K70">
        <f>SUMPRODUCT((AtractivoAlternativas!$A$2:$A$931=$A70)*AtractivoAlternativas!$C$2:$C$931*COUNTIFS(Alternativas!$A$2:$A$51,AtractivoAlternativas!$B$2:$B$931,Alternativas!$B$2:$B$51,K$2))</f>
        <v>0</v>
      </c>
      <c r="L70">
        <f>SUMPRODUCT((AtractivoAlternativas!$A$2:$A$931=$A70)*AtractivoAlternativas!$C$2:$C$931*COUNTIFS(Alternativas!$A$2:$A$51,AtractivoAlternativas!$B$2:$B$931,Alternativas!$B$2:$B$51,L$2))</f>
        <v>0</v>
      </c>
      <c r="M70">
        <f>SUMIFS(AtractivoSitios!$C:$C,AtractivoSitios!$A:$A,$A70,AtractivoSitios!$B:$B,M$2)</f>
        <v>0</v>
      </c>
      <c r="N70">
        <f>SUMIFS(AtractivoSitios!$C:$C,AtractivoSitios!$A:$A,$A70,AtractivoSitios!$B:$B,N$2)</f>
        <v>0.52195544252702641</v>
      </c>
      <c r="O70">
        <f>SUMIFS(AtractivoSitios!$C:$C,AtractivoSitios!$A:$A,$A70,AtractivoSitios!$B:$B,O$2)</f>
        <v>0</v>
      </c>
      <c r="P70">
        <f>SUMIFS(AtractivoSitios!$C:$C,AtractivoSitios!$A:$A,$A70,AtractivoSitios!$B:$B,P$2)</f>
        <v>0</v>
      </c>
      <c r="Q70">
        <f>SUMIFS(AtractivoSitios!$C:$C,AtractivoSitios!$A:$A,$A70,AtractivoSitios!$B:$B,Q$2)</f>
        <v>0.65954631922929463</v>
      </c>
      <c r="R70">
        <f>SUMIFS(AtractivoSitios!$C:$C,AtractivoSitios!$A:$A,$A70,AtractivoSitios!$B:$B,R$2)</f>
        <v>0</v>
      </c>
      <c r="S70">
        <f>SUMIFS(AtractivoSitios!$C:$C,AtractivoSitios!$A:$A,$A70,AtractivoSitios!$B:$B,S$2)</f>
        <v>0</v>
      </c>
      <c r="T70">
        <f>SUM(M70:S70)</f>
        <v>1.181501761756321</v>
      </c>
      <c r="U70">
        <f>C70/(AD$4+H70+$T70)</f>
        <v>1.9215662638275835E-4</v>
      </c>
      <c r="V70">
        <f>D70/(AE$4+I70+$T70)</f>
        <v>5.5522799733033955E-5</v>
      </c>
      <c r="W70">
        <f>E70/(AF$4+J70+$T70)</f>
        <v>3.1935497195410562E-4</v>
      </c>
      <c r="X70">
        <f>F70/(AG$4+K70+$T70)</f>
        <v>1.7367990345445816E-5</v>
      </c>
      <c r="Y70">
        <f>G70/(AH$4+L70+$T70)</f>
        <v>1.0777937328416239E-5</v>
      </c>
    </row>
    <row r="71" spans="1:25">
      <c r="A71" t="s">
        <v>117</v>
      </c>
      <c r="B71">
        <f>SUMIFS(Sectores!$C:$C,Sectores!$A:$A,$A71)</f>
        <v>2900</v>
      </c>
      <c r="C71">
        <f>SUMIFS(Generacion!$C:$C,Generacion!$A:$A,$A71,Generacion!$B:$B,C$2)</f>
        <v>4.3533876706587399E-2</v>
      </c>
      <c r="D71">
        <f>SUMIFS(Generacion!$C:$C,Generacion!$A:$A,$A71,Generacion!$B:$B,D$2)</f>
        <v>3.7870933395161399E-2</v>
      </c>
      <c r="E71">
        <f>SUMIFS(Generacion!$C:$C,Generacion!$A:$A,$A71,Generacion!$B:$B,E$2)</f>
        <v>1.34494903646368E-2</v>
      </c>
      <c r="F71">
        <f>SUMIFS(Generacion!$C:$C,Generacion!$A:$A,$A71,Generacion!$B:$B,F$2)</f>
        <v>3.5393395696412498E-3</v>
      </c>
      <c r="G71">
        <f>SUMIFS(Generacion!$C:$C,Generacion!$A:$A,$A71,Generacion!$B:$B,G$2)</f>
        <v>2.4775376987488701E-3</v>
      </c>
      <c r="H71">
        <f>SUMPRODUCT((AtractivoAlternativas!$A$2:$A$931=$A71)*AtractivoAlternativas!$C$2:$C$931*COUNTIFS(Alternativas!$A$2:$A$51,AtractivoAlternativas!$B$2:$B$931,Alternativas!$B$2:$B$51,H$2))</f>
        <v>0</v>
      </c>
      <c r="I71">
        <f>SUMPRODUCT((AtractivoAlternativas!$A$2:$A$931=$A71)*AtractivoAlternativas!$C$2:$C$931*COUNTIFS(Alternativas!$A$2:$A$51,AtractivoAlternativas!$B$2:$B$931,Alternativas!$B$2:$B$51,I$2))</f>
        <v>2.6527876812809845</v>
      </c>
      <c r="J71">
        <f>SUMPRODUCT((AtractivoAlternativas!$A$2:$A$931=$A71)*AtractivoAlternativas!$C$2:$C$931*COUNTIFS(Alternativas!$A$2:$A$51,AtractivoAlternativas!$B$2:$B$931,Alternativas!$B$2:$B$51,J$2))</f>
        <v>0</v>
      </c>
      <c r="K71">
        <f>SUMPRODUCT((AtractivoAlternativas!$A$2:$A$931=$A71)*AtractivoAlternativas!$C$2:$C$931*COUNTIFS(Alternativas!$A$2:$A$51,AtractivoAlternativas!$B$2:$B$931,Alternativas!$B$2:$B$51,K$2))</f>
        <v>0</v>
      </c>
      <c r="L71">
        <f>SUMPRODUCT((AtractivoAlternativas!$A$2:$A$931=$A71)*AtractivoAlternativas!$C$2:$C$931*COUNTIFS(Alternativas!$A$2:$A$51,AtractivoAlternativas!$B$2:$B$931,Alternativas!$B$2:$B$51,L$2))</f>
        <v>0</v>
      </c>
      <c r="M71">
        <f>SUMIFS(AtractivoSitios!$C:$C,AtractivoSitios!$A:$A,$A71,AtractivoSitios!$B:$B,M$2)</f>
        <v>0</v>
      </c>
      <c r="N71">
        <f>SUMIFS(AtractivoSitios!$C:$C,AtractivoSitios!$A:$A,$A71,AtractivoSitios!$B:$B,N$2)</f>
        <v>0.43395243834518205</v>
      </c>
      <c r="O71">
        <f>SUMIFS(AtractivoSitios!$C:$C,AtractivoSitios!$A:$A,$A71,AtractivoSitios!$B:$B,O$2)</f>
        <v>0</v>
      </c>
      <c r="P71">
        <f>SUMIFS(AtractivoSitios!$C:$C,AtractivoSitios!$A:$A,$A71,AtractivoSitios!$B:$B,P$2)</f>
        <v>0</v>
      </c>
      <c r="Q71">
        <f>SUMIFS(AtractivoSitios!$C:$C,AtractivoSitios!$A:$A,$A71,AtractivoSitios!$B:$B,Q$2)</f>
        <v>0.52989376534309129</v>
      </c>
      <c r="R71">
        <f>SUMIFS(AtractivoSitios!$C:$C,AtractivoSitios!$A:$A,$A71,AtractivoSitios!$B:$B,R$2)</f>
        <v>0</v>
      </c>
      <c r="S71">
        <f>SUMIFS(AtractivoSitios!$C:$C,AtractivoSitios!$A:$A,$A71,AtractivoSitios!$B:$B,S$2)</f>
        <v>0</v>
      </c>
      <c r="T71">
        <f>SUM(M71:S71)</f>
        <v>0.96384620368827334</v>
      </c>
      <c r="U71">
        <f>C71/(AD$4+H71+$T71)</f>
        <v>1.9234141303033225E-4</v>
      </c>
      <c r="V71">
        <f>D71/(AE$4+I71+$T71)</f>
        <v>5.5414788965904505E-5</v>
      </c>
      <c r="W71">
        <f>E71/(AF$4+J71+$T71)</f>
        <v>3.2101403018567086E-4</v>
      </c>
      <c r="X71">
        <f>F71/(AG$4+K71+$T71)</f>
        <v>1.7386560296983651E-5</v>
      </c>
      <c r="Y71">
        <f>G71/(AH$4+L71+$T71)</f>
        <v>1.0788152183468769E-5</v>
      </c>
    </row>
    <row r="72" spans="1:25">
      <c r="A72" t="s">
        <v>118</v>
      </c>
      <c r="B72">
        <f>SUMIFS(Sectores!$C:$C,Sectores!$A:$A,$A72)</f>
        <v>3344</v>
      </c>
      <c r="C72">
        <f>SUMIFS(Generacion!$C:$C,Generacion!$A:$A,$A72,Generacion!$B:$B,C$2)</f>
        <v>4.3533876706587399E-2</v>
      </c>
      <c r="D72">
        <f>SUMIFS(Generacion!$C:$C,Generacion!$A:$A,$A72,Generacion!$B:$B,D$2)</f>
        <v>3.7870933395161399E-2</v>
      </c>
      <c r="E72">
        <f>SUMIFS(Generacion!$C:$C,Generacion!$A:$A,$A72,Generacion!$B:$B,E$2)</f>
        <v>1.34494903646368E-2</v>
      </c>
      <c r="F72">
        <f>SUMIFS(Generacion!$C:$C,Generacion!$A:$A,$A72,Generacion!$B:$B,F$2)</f>
        <v>3.5393395696412498E-3</v>
      </c>
      <c r="G72">
        <f>SUMIFS(Generacion!$C:$C,Generacion!$A:$A,$A72,Generacion!$B:$B,G$2)</f>
        <v>2.4775376987488701E-3</v>
      </c>
      <c r="H72">
        <f>SUMPRODUCT((AtractivoAlternativas!$A$2:$A$931=$A72)*AtractivoAlternativas!$C$2:$C$931*COUNTIFS(Alternativas!$A$2:$A$51,AtractivoAlternativas!$B$2:$B$931,Alternativas!$B$2:$B$51,H$2))</f>
        <v>0</v>
      </c>
      <c r="I72">
        <f>SUMPRODUCT((AtractivoAlternativas!$A$2:$A$931=$A72)*AtractivoAlternativas!$C$2:$C$931*COUNTIFS(Alternativas!$A$2:$A$51,AtractivoAlternativas!$B$2:$B$931,Alternativas!$B$2:$B$51,I$2))</f>
        <v>0.9589703269973634</v>
      </c>
      <c r="J72">
        <f>SUMPRODUCT((AtractivoAlternativas!$A$2:$A$931=$A72)*AtractivoAlternativas!$C$2:$C$931*COUNTIFS(Alternativas!$A$2:$A$51,AtractivoAlternativas!$B$2:$B$931,Alternativas!$B$2:$B$51,J$2))</f>
        <v>0</v>
      </c>
      <c r="K72">
        <f>SUMPRODUCT((AtractivoAlternativas!$A$2:$A$931=$A72)*AtractivoAlternativas!$C$2:$C$931*COUNTIFS(Alternativas!$A$2:$A$51,AtractivoAlternativas!$B$2:$B$931,Alternativas!$B$2:$B$51,K$2))</f>
        <v>0</v>
      </c>
      <c r="L72">
        <f>SUMPRODUCT((AtractivoAlternativas!$A$2:$A$931=$A72)*AtractivoAlternativas!$C$2:$C$931*COUNTIFS(Alternativas!$A$2:$A$51,AtractivoAlternativas!$B$2:$B$931,Alternativas!$B$2:$B$51,L$2))</f>
        <v>0</v>
      </c>
      <c r="M72">
        <f>SUMIFS(AtractivoSitios!$C:$C,AtractivoSitios!$A:$A,$A72,AtractivoSitios!$B:$B,M$2)</f>
        <v>0</v>
      </c>
      <c r="N72">
        <f>SUMIFS(AtractivoSitios!$C:$C,AtractivoSitios!$A:$A,$A72,AtractivoSitios!$B:$B,N$2)</f>
        <v>0.54876590687184945</v>
      </c>
      <c r="O72">
        <f>SUMIFS(AtractivoSitios!$C:$C,AtractivoSitios!$A:$A,$A72,AtractivoSitios!$B:$B,O$2)</f>
        <v>0</v>
      </c>
      <c r="P72">
        <f>SUMIFS(AtractivoSitios!$C:$C,AtractivoSitios!$A:$A,$A72,AtractivoSitios!$B:$B,P$2)</f>
        <v>0</v>
      </c>
      <c r="Q72">
        <f>SUMIFS(AtractivoSitios!$C:$C,AtractivoSitios!$A:$A,$A72,AtractivoSitios!$B:$B,Q$2)</f>
        <v>0.71318895787379355</v>
      </c>
      <c r="R72">
        <f>SUMIFS(AtractivoSitios!$C:$C,AtractivoSitios!$A:$A,$A72,AtractivoSitios!$B:$B,R$2)</f>
        <v>0</v>
      </c>
      <c r="S72">
        <f>SUMIFS(AtractivoSitios!$C:$C,AtractivoSitios!$A:$A,$A72,AtractivoSitios!$B:$B,S$2)</f>
        <v>0</v>
      </c>
      <c r="T72">
        <f>SUM(M72:S72)</f>
        <v>1.2619548647456429</v>
      </c>
      <c r="U72">
        <f>C72/(AD$4+H72+$T72)</f>
        <v>1.9208841262272064E-4</v>
      </c>
      <c r="V72">
        <f>D72/(AE$4+I72+$T72)</f>
        <v>5.5528192867859718E-5</v>
      </c>
      <c r="W72">
        <f>E72/(AF$4+J72+$T72)</f>
        <v>3.1874605863155237E-4</v>
      </c>
      <c r="X72">
        <f>F72/(AG$4+K72+$T72)</f>
        <v>1.7361136279435692E-5</v>
      </c>
      <c r="Y72">
        <f>G72/(AH$4+L72+$T72)</f>
        <v>1.0774166455794993E-5</v>
      </c>
    </row>
    <row r="73" spans="1:25">
      <c r="A73" t="s">
        <v>119</v>
      </c>
      <c r="B73">
        <f>SUMIFS(Sectores!$C:$C,Sectores!$A:$A,$A73)</f>
        <v>2223</v>
      </c>
      <c r="C73">
        <f>SUMIFS(Generacion!$C:$C,Generacion!$A:$A,$A73,Generacion!$B:$B,C$2)</f>
        <v>4.3533876706587399E-2</v>
      </c>
      <c r="D73">
        <f>SUMIFS(Generacion!$C:$C,Generacion!$A:$A,$A73,Generacion!$B:$B,D$2)</f>
        <v>3.7870933395161399E-2</v>
      </c>
      <c r="E73">
        <f>SUMIFS(Generacion!$C:$C,Generacion!$A:$A,$A73,Generacion!$B:$B,E$2)</f>
        <v>1.34494903646368E-2</v>
      </c>
      <c r="F73">
        <f>SUMIFS(Generacion!$C:$C,Generacion!$A:$A,$A73,Generacion!$B:$B,F$2)</f>
        <v>3.5393395696412498E-3</v>
      </c>
      <c r="G73">
        <f>SUMIFS(Generacion!$C:$C,Generacion!$A:$A,$A73,Generacion!$B:$B,G$2)</f>
        <v>2.4775376987488701E-3</v>
      </c>
      <c r="H73">
        <f>SUMPRODUCT((AtractivoAlternativas!$A$2:$A$931=$A73)*AtractivoAlternativas!$C$2:$C$931*COUNTIFS(Alternativas!$A$2:$A$51,AtractivoAlternativas!$B$2:$B$931,Alternativas!$B$2:$B$51,H$2))</f>
        <v>0.43572776447986988</v>
      </c>
      <c r="I73">
        <f>SUMPRODUCT((AtractivoAlternativas!$A$2:$A$931=$A73)*AtractivoAlternativas!$C$2:$C$931*COUNTIFS(Alternativas!$A$2:$A$51,AtractivoAlternativas!$B$2:$B$931,Alternativas!$B$2:$B$51,I$2))</f>
        <v>2.8921958148108291</v>
      </c>
      <c r="J73">
        <f>SUMPRODUCT((AtractivoAlternativas!$A$2:$A$931=$A73)*AtractivoAlternativas!$C$2:$C$931*COUNTIFS(Alternativas!$A$2:$A$51,AtractivoAlternativas!$B$2:$B$931,Alternativas!$B$2:$B$51,J$2))</f>
        <v>0</v>
      </c>
      <c r="K73">
        <f>SUMPRODUCT((AtractivoAlternativas!$A$2:$A$931=$A73)*AtractivoAlternativas!$C$2:$C$931*COUNTIFS(Alternativas!$A$2:$A$51,AtractivoAlternativas!$B$2:$B$931,Alternativas!$B$2:$B$51,K$2))</f>
        <v>0</v>
      </c>
      <c r="L73">
        <f>SUMPRODUCT((AtractivoAlternativas!$A$2:$A$931=$A73)*AtractivoAlternativas!$C$2:$C$931*COUNTIFS(Alternativas!$A$2:$A$51,AtractivoAlternativas!$B$2:$B$931,Alternativas!$B$2:$B$51,L$2))</f>
        <v>0</v>
      </c>
      <c r="M73">
        <f>SUMIFS(AtractivoSitios!$C:$C,AtractivoSitios!$A:$A,$A73,AtractivoSitios!$B:$B,M$2)</f>
        <v>0</v>
      </c>
      <c r="N73">
        <f>SUMIFS(AtractivoSitios!$C:$C,AtractivoSitios!$A:$A,$A73,AtractivoSitios!$B:$B,N$2)</f>
        <v>0.47696889893470124</v>
      </c>
      <c r="O73">
        <f>SUMIFS(AtractivoSitios!$C:$C,AtractivoSitios!$A:$A,$A73,AtractivoSitios!$B:$B,O$2)</f>
        <v>0</v>
      </c>
      <c r="P73">
        <f>SUMIFS(AtractivoSitios!$C:$C,AtractivoSitios!$A:$A,$A73,AtractivoSitios!$B:$B,P$2)</f>
        <v>0</v>
      </c>
      <c r="Q73">
        <f>SUMIFS(AtractivoSitios!$C:$C,AtractivoSitios!$A:$A,$A73,AtractivoSitios!$B:$B,Q$2)</f>
        <v>0.36874599505977368</v>
      </c>
      <c r="R73">
        <f>SUMIFS(AtractivoSitios!$C:$C,AtractivoSitios!$A:$A,$A73,AtractivoSitios!$B:$B,R$2)</f>
        <v>0</v>
      </c>
      <c r="S73">
        <f>SUMIFS(AtractivoSitios!$C:$C,AtractivoSitios!$A:$A,$A73,AtractivoSitios!$B:$B,S$2)</f>
        <v>0</v>
      </c>
      <c r="T73">
        <f>SUM(M73:S73)</f>
        <v>0.84571489399447497</v>
      </c>
      <c r="U73">
        <f>C73/(AD$4+H73+$T73)</f>
        <v>1.9207189679575906E-4</v>
      </c>
      <c r="V73">
        <f>D73/(AE$4+I73+$T73)</f>
        <v>5.5404956869908646E-5</v>
      </c>
      <c r="W73">
        <f>E73/(AF$4+J73+$T73)</f>
        <v>3.2192171166284771E-4</v>
      </c>
      <c r="X73">
        <f>F73/(AG$4+K73+$T73)</f>
        <v>1.7396655666641749E-5</v>
      </c>
      <c r="Y73">
        <f>G73/(AH$4+L73+$T73)</f>
        <v>1.0793704348029047E-5</v>
      </c>
    </row>
    <row r="74" spans="1:25">
      <c r="A74" t="s">
        <v>120</v>
      </c>
      <c r="B74">
        <f>SUMIFS(Sectores!$C:$C,Sectores!$A:$A,$A74)</f>
        <v>3462</v>
      </c>
      <c r="C74">
        <f>SUMIFS(Generacion!$C:$C,Generacion!$A:$A,$A74,Generacion!$B:$B,C$2)</f>
        <v>4.3533876706587399E-2</v>
      </c>
      <c r="D74">
        <f>SUMIFS(Generacion!$C:$C,Generacion!$A:$A,$A74,Generacion!$B:$B,D$2)</f>
        <v>3.7870933395161399E-2</v>
      </c>
      <c r="E74">
        <f>SUMIFS(Generacion!$C:$C,Generacion!$A:$A,$A74,Generacion!$B:$B,E$2)</f>
        <v>1.34494903646368E-2</v>
      </c>
      <c r="F74">
        <f>SUMIFS(Generacion!$C:$C,Generacion!$A:$A,$A74,Generacion!$B:$B,F$2)</f>
        <v>3.5393395696412498E-3</v>
      </c>
      <c r="G74">
        <f>SUMIFS(Generacion!$C:$C,Generacion!$A:$A,$A74,Generacion!$B:$B,G$2)</f>
        <v>2.4775376987488701E-3</v>
      </c>
      <c r="H74">
        <f>SUMPRODUCT((AtractivoAlternativas!$A$2:$A$931=$A74)*AtractivoAlternativas!$C$2:$C$931*COUNTIFS(Alternativas!$A$2:$A$51,AtractivoAlternativas!$B$2:$B$931,Alternativas!$B$2:$B$51,H$2))</f>
        <v>0</v>
      </c>
      <c r="I74">
        <f>SUMPRODUCT((AtractivoAlternativas!$A$2:$A$931=$A74)*AtractivoAlternativas!$C$2:$C$931*COUNTIFS(Alternativas!$A$2:$A$51,AtractivoAlternativas!$B$2:$B$931,Alternativas!$B$2:$B$51,I$2))</f>
        <v>1.7626721479943912</v>
      </c>
      <c r="J74">
        <f>SUMPRODUCT((AtractivoAlternativas!$A$2:$A$931=$A74)*AtractivoAlternativas!$C$2:$C$931*COUNTIFS(Alternativas!$A$2:$A$51,AtractivoAlternativas!$B$2:$B$931,Alternativas!$B$2:$B$51,J$2))</f>
        <v>0</v>
      </c>
      <c r="K74">
        <f>SUMPRODUCT((AtractivoAlternativas!$A$2:$A$931=$A74)*AtractivoAlternativas!$C$2:$C$931*COUNTIFS(Alternativas!$A$2:$A$51,AtractivoAlternativas!$B$2:$B$931,Alternativas!$B$2:$B$51,K$2))</f>
        <v>0</v>
      </c>
      <c r="L74">
        <f>SUMPRODUCT((AtractivoAlternativas!$A$2:$A$931=$A74)*AtractivoAlternativas!$C$2:$C$931*COUNTIFS(Alternativas!$A$2:$A$51,AtractivoAlternativas!$B$2:$B$931,Alternativas!$B$2:$B$51,L$2))</f>
        <v>0</v>
      </c>
      <c r="M74">
        <f>SUMIFS(AtractivoSitios!$C:$C,AtractivoSitios!$A:$A,$A74,AtractivoSitios!$B:$B,M$2)</f>
        <v>0</v>
      </c>
      <c r="N74">
        <f>SUMIFS(AtractivoSitios!$C:$C,AtractivoSitios!$A:$A,$A74,AtractivoSitios!$B:$B,N$2)</f>
        <v>0.63152395288319829</v>
      </c>
      <c r="O74">
        <f>SUMIFS(AtractivoSitios!$C:$C,AtractivoSitios!$A:$A,$A74,AtractivoSitios!$B:$B,O$2)</f>
        <v>0</v>
      </c>
      <c r="P74">
        <f>SUMIFS(AtractivoSitios!$C:$C,AtractivoSitios!$A:$A,$A74,AtractivoSitios!$B:$B,P$2)</f>
        <v>0</v>
      </c>
      <c r="Q74">
        <f>SUMIFS(AtractivoSitios!$C:$C,AtractivoSitios!$A:$A,$A74,AtractivoSitios!$B:$B,Q$2)</f>
        <v>0.41132595844139092</v>
      </c>
      <c r="R74">
        <f>SUMIFS(AtractivoSitios!$C:$C,AtractivoSitios!$A:$A,$A74,AtractivoSitios!$B:$B,R$2)</f>
        <v>0</v>
      </c>
      <c r="S74">
        <f>SUMIFS(AtractivoSitios!$C:$C,AtractivoSitios!$A:$A,$A74,AtractivoSitios!$B:$B,S$2)</f>
        <v>0</v>
      </c>
      <c r="T74">
        <f>SUM(M74:S74)</f>
        <v>1.0428499113245893</v>
      </c>
      <c r="U74">
        <f>C74/(AD$4+H74+$T74)</f>
        <v>1.9227429886880181E-4</v>
      </c>
      <c r="V74">
        <f>D74/(AE$4+I74+$T74)</f>
        <v>5.5480636853202278E-5</v>
      </c>
      <c r="W74">
        <f>E74/(AF$4+J74+$T74)</f>
        <v>3.204098430024696E-4</v>
      </c>
      <c r="X74">
        <f>F74/(AG$4+K74+$T74)</f>
        <v>1.737981526414257E-5</v>
      </c>
      <c r="Y74">
        <f>G74/(AH$4+L74+$T74)</f>
        <v>1.078444220018314E-5</v>
      </c>
    </row>
    <row r="75" spans="1:25">
      <c r="A75" t="s">
        <v>121</v>
      </c>
      <c r="B75">
        <f>SUMIFS(Sectores!$C:$C,Sectores!$A:$A,$A75)</f>
        <v>4017</v>
      </c>
      <c r="C75">
        <f>SUMIFS(Generacion!$C:$C,Generacion!$A:$A,$A75,Generacion!$B:$B,C$2)</f>
        <v>4.3533876706587399E-2</v>
      </c>
      <c r="D75">
        <f>SUMIFS(Generacion!$C:$C,Generacion!$A:$A,$A75,Generacion!$B:$B,D$2)</f>
        <v>3.7870933395161399E-2</v>
      </c>
      <c r="E75">
        <f>SUMIFS(Generacion!$C:$C,Generacion!$A:$A,$A75,Generacion!$B:$B,E$2)</f>
        <v>1.34494903646368E-2</v>
      </c>
      <c r="F75">
        <f>SUMIFS(Generacion!$C:$C,Generacion!$A:$A,$A75,Generacion!$B:$B,F$2)</f>
        <v>3.5393395696412498E-3</v>
      </c>
      <c r="G75">
        <f>SUMIFS(Generacion!$C:$C,Generacion!$A:$A,$A75,Generacion!$B:$B,G$2)</f>
        <v>2.4775376987488701E-3</v>
      </c>
      <c r="H75">
        <f>SUMPRODUCT((AtractivoAlternativas!$A$2:$A$931=$A75)*AtractivoAlternativas!$C$2:$C$931*COUNTIFS(Alternativas!$A$2:$A$51,AtractivoAlternativas!$B$2:$B$931,Alternativas!$B$2:$B$51,H$2))</f>
        <v>0</v>
      </c>
      <c r="I75">
        <f>SUMPRODUCT((AtractivoAlternativas!$A$2:$A$931=$A75)*AtractivoAlternativas!$C$2:$C$931*COUNTIFS(Alternativas!$A$2:$A$51,AtractivoAlternativas!$B$2:$B$931,Alternativas!$B$2:$B$51,I$2))</f>
        <v>1.2198636495752402</v>
      </c>
      <c r="J75">
        <f>SUMPRODUCT((AtractivoAlternativas!$A$2:$A$931=$A75)*AtractivoAlternativas!$C$2:$C$931*COUNTIFS(Alternativas!$A$2:$A$51,AtractivoAlternativas!$B$2:$B$931,Alternativas!$B$2:$B$51,J$2))</f>
        <v>0</v>
      </c>
      <c r="K75">
        <f>SUMPRODUCT((AtractivoAlternativas!$A$2:$A$931=$A75)*AtractivoAlternativas!$C$2:$C$931*COUNTIFS(Alternativas!$A$2:$A$51,AtractivoAlternativas!$B$2:$B$931,Alternativas!$B$2:$B$51,K$2))</f>
        <v>0</v>
      </c>
      <c r="L75">
        <f>SUMPRODUCT((AtractivoAlternativas!$A$2:$A$931=$A75)*AtractivoAlternativas!$C$2:$C$931*COUNTIFS(Alternativas!$A$2:$A$51,AtractivoAlternativas!$B$2:$B$931,Alternativas!$B$2:$B$51,L$2))</f>
        <v>0</v>
      </c>
      <c r="M75">
        <f>SUMIFS(AtractivoSitios!$C:$C,AtractivoSitios!$A:$A,$A75,AtractivoSitios!$B:$B,M$2)</f>
        <v>0</v>
      </c>
      <c r="N75">
        <f>SUMIFS(AtractivoSitios!$C:$C,AtractivoSitios!$A:$A,$A75,AtractivoSitios!$B:$B,N$2)</f>
        <v>0.62059634423787591</v>
      </c>
      <c r="O75">
        <f>SUMIFS(AtractivoSitios!$C:$C,AtractivoSitios!$A:$A,$A75,AtractivoSitios!$B:$B,O$2)</f>
        <v>0</v>
      </c>
      <c r="P75">
        <f>SUMIFS(AtractivoSitios!$C:$C,AtractivoSitios!$A:$A,$A75,AtractivoSitios!$B:$B,P$2)</f>
        <v>0</v>
      </c>
      <c r="Q75">
        <f>SUMIFS(AtractivoSitios!$C:$C,AtractivoSitios!$A:$A,$A75,AtractivoSitios!$B:$B,Q$2)</f>
        <v>0.54283933013842089</v>
      </c>
      <c r="R75">
        <f>SUMIFS(AtractivoSitios!$C:$C,AtractivoSitios!$A:$A,$A75,AtractivoSitios!$B:$B,R$2)</f>
        <v>0</v>
      </c>
      <c r="S75">
        <f>SUMIFS(AtractivoSitios!$C:$C,AtractivoSitios!$A:$A,$A75,AtractivoSitios!$B:$B,S$2)</f>
        <v>0</v>
      </c>
      <c r="T75">
        <f>SUM(M75:S75)</f>
        <v>1.1634356743762968</v>
      </c>
      <c r="U75">
        <f>C75/(AD$4+H75+$T75)</f>
        <v>1.921719507350551E-4</v>
      </c>
      <c r="V75">
        <f>D75/(AE$4+I75+$T75)</f>
        <v>5.551497581798952E-5</v>
      </c>
      <c r="W75">
        <f>E75/(AF$4+J75+$T75)</f>
        <v>3.1949202603883488E-4</v>
      </c>
      <c r="X75">
        <f>F75/(AG$4+K75+$T75)</f>
        <v>1.7369530199341299E-5</v>
      </c>
      <c r="Y75">
        <f>G75/(AH$4+L75+$T75)</f>
        <v>1.0778784456883668E-5</v>
      </c>
    </row>
    <row r="76" spans="1:25">
      <c r="A76" t="s">
        <v>122</v>
      </c>
      <c r="B76">
        <f>SUMIFS(Sectores!$C:$C,Sectores!$A:$A,$A76)</f>
        <v>3473</v>
      </c>
      <c r="C76">
        <f>SUMIFS(Generacion!$C:$C,Generacion!$A:$A,$A76,Generacion!$B:$B,C$2)</f>
        <v>4.3533876706587399E-2</v>
      </c>
      <c r="D76">
        <f>SUMIFS(Generacion!$C:$C,Generacion!$A:$A,$A76,Generacion!$B:$B,D$2)</f>
        <v>3.7870933395161399E-2</v>
      </c>
      <c r="E76">
        <f>SUMIFS(Generacion!$C:$C,Generacion!$A:$A,$A76,Generacion!$B:$B,E$2)</f>
        <v>1.34494903646368E-2</v>
      </c>
      <c r="F76">
        <f>SUMIFS(Generacion!$C:$C,Generacion!$A:$A,$A76,Generacion!$B:$B,F$2)</f>
        <v>3.5393395696412498E-3</v>
      </c>
      <c r="G76">
        <f>SUMIFS(Generacion!$C:$C,Generacion!$A:$A,$A76,Generacion!$B:$B,G$2)</f>
        <v>2.4775376987488701E-3</v>
      </c>
      <c r="H76">
        <f>SUMPRODUCT((AtractivoAlternativas!$A$2:$A$931=$A76)*AtractivoAlternativas!$C$2:$C$931*COUNTIFS(Alternativas!$A$2:$A$51,AtractivoAlternativas!$B$2:$B$931,Alternativas!$B$2:$B$51,H$2))</f>
        <v>0.38221606958992749</v>
      </c>
      <c r="I76">
        <f>SUMPRODUCT((AtractivoAlternativas!$A$2:$A$931=$A76)*AtractivoAlternativas!$C$2:$C$931*COUNTIFS(Alternativas!$A$2:$A$51,AtractivoAlternativas!$B$2:$B$931,Alternativas!$B$2:$B$51,I$2))</f>
        <v>2.8540062611483887</v>
      </c>
      <c r="J76">
        <f>SUMPRODUCT((AtractivoAlternativas!$A$2:$A$931=$A76)*AtractivoAlternativas!$C$2:$C$931*COUNTIFS(Alternativas!$A$2:$A$51,AtractivoAlternativas!$B$2:$B$931,Alternativas!$B$2:$B$51,J$2))</f>
        <v>0</v>
      </c>
      <c r="K76">
        <f>SUMPRODUCT((AtractivoAlternativas!$A$2:$A$931=$A76)*AtractivoAlternativas!$C$2:$C$931*COUNTIFS(Alternativas!$A$2:$A$51,AtractivoAlternativas!$B$2:$B$931,Alternativas!$B$2:$B$51,K$2))</f>
        <v>0</v>
      </c>
      <c r="L76">
        <f>SUMPRODUCT((AtractivoAlternativas!$A$2:$A$931=$A76)*AtractivoAlternativas!$C$2:$C$931*COUNTIFS(Alternativas!$A$2:$A$51,AtractivoAlternativas!$B$2:$B$931,Alternativas!$B$2:$B$51,L$2))</f>
        <v>0</v>
      </c>
      <c r="M76">
        <f>SUMIFS(AtractivoSitios!$C:$C,AtractivoSitios!$A:$A,$A76,AtractivoSitios!$B:$B,M$2)</f>
        <v>0</v>
      </c>
      <c r="N76">
        <f>SUMIFS(AtractivoSitios!$C:$C,AtractivoSitios!$A:$A,$A76,AtractivoSitios!$B:$B,N$2)</f>
        <v>0.4847927305942844</v>
      </c>
      <c r="O76">
        <f>SUMIFS(AtractivoSitios!$C:$C,AtractivoSitios!$A:$A,$A76,AtractivoSitios!$B:$B,O$2)</f>
        <v>0</v>
      </c>
      <c r="P76">
        <f>SUMIFS(AtractivoSitios!$C:$C,AtractivoSitios!$A:$A,$A76,AtractivoSitios!$B:$B,P$2)</f>
        <v>0</v>
      </c>
      <c r="Q76">
        <f>SUMIFS(AtractivoSitios!$C:$C,AtractivoSitios!$A:$A,$A76,AtractivoSitios!$B:$B,Q$2)</f>
        <v>0.45585840216741574</v>
      </c>
      <c r="R76">
        <f>SUMIFS(AtractivoSitios!$C:$C,AtractivoSitios!$A:$A,$A76,AtractivoSitios!$B:$B,R$2)</f>
        <v>0</v>
      </c>
      <c r="S76">
        <f>SUMIFS(AtractivoSitios!$C:$C,AtractivoSitios!$A:$A,$A76,AtractivoSitios!$B:$B,S$2)</f>
        <v>0</v>
      </c>
      <c r="T76">
        <f>SUM(M76:S76)</f>
        <v>0.9406511327617002</v>
      </c>
      <c r="U76">
        <f>C76/(AD$4+H76+$T76)</f>
        <v>1.9203679909427247E-4</v>
      </c>
      <c r="V76">
        <f>D76/(AE$4+I76+$T76)</f>
        <v>5.5400357528203364E-5</v>
      </c>
      <c r="W76">
        <f>E76/(AF$4+J76+$T76)</f>
        <v>3.2119184928518951E-4</v>
      </c>
      <c r="X76">
        <f>F76/(AG$4+K76+$T76)</f>
        <v>1.7388541597273103E-5</v>
      </c>
      <c r="Y76">
        <f>G76/(AH$4+L76+$T76)</f>
        <v>1.078924189972034E-5</v>
      </c>
    </row>
    <row r="77" spans="1:25">
      <c r="A77" t="s">
        <v>123</v>
      </c>
      <c r="B77">
        <f>SUMIFS(Sectores!$C:$C,Sectores!$A:$A,$A77)</f>
        <v>2867</v>
      </c>
      <c r="C77">
        <f>SUMIFS(Generacion!$C:$C,Generacion!$A:$A,$A77,Generacion!$B:$B,C$2)</f>
        <v>4.3533876706587399E-2</v>
      </c>
      <c r="D77">
        <f>SUMIFS(Generacion!$C:$C,Generacion!$A:$A,$A77,Generacion!$B:$B,D$2)</f>
        <v>3.7870933395161399E-2</v>
      </c>
      <c r="E77">
        <f>SUMIFS(Generacion!$C:$C,Generacion!$A:$A,$A77,Generacion!$B:$B,E$2)</f>
        <v>1.34494903646368E-2</v>
      </c>
      <c r="F77">
        <f>SUMIFS(Generacion!$C:$C,Generacion!$A:$A,$A77,Generacion!$B:$B,F$2)</f>
        <v>3.5393395696412498E-3</v>
      </c>
      <c r="G77">
        <f>SUMIFS(Generacion!$C:$C,Generacion!$A:$A,$A77,Generacion!$B:$B,G$2)</f>
        <v>2.4775376987488701E-3</v>
      </c>
      <c r="H77">
        <f>SUMPRODUCT((AtractivoAlternativas!$A$2:$A$931=$A77)*AtractivoAlternativas!$C$2:$C$931*COUNTIFS(Alternativas!$A$2:$A$51,AtractivoAlternativas!$B$2:$B$931,Alternativas!$B$2:$B$51,H$2))</f>
        <v>0.38491290771704983</v>
      </c>
      <c r="I77">
        <f>SUMPRODUCT((AtractivoAlternativas!$A$2:$A$931=$A77)*AtractivoAlternativas!$C$2:$C$931*COUNTIFS(Alternativas!$A$2:$A$51,AtractivoAlternativas!$B$2:$B$931,Alternativas!$B$2:$B$51,I$2))</f>
        <v>2.7123499791020582</v>
      </c>
      <c r="J77">
        <f>SUMPRODUCT((AtractivoAlternativas!$A$2:$A$931=$A77)*AtractivoAlternativas!$C$2:$C$931*COUNTIFS(Alternativas!$A$2:$A$51,AtractivoAlternativas!$B$2:$B$931,Alternativas!$B$2:$B$51,J$2))</f>
        <v>0</v>
      </c>
      <c r="K77">
        <f>SUMPRODUCT((AtractivoAlternativas!$A$2:$A$931=$A77)*AtractivoAlternativas!$C$2:$C$931*COUNTIFS(Alternativas!$A$2:$A$51,AtractivoAlternativas!$B$2:$B$931,Alternativas!$B$2:$B$51,K$2))</f>
        <v>0</v>
      </c>
      <c r="L77">
        <f>SUMPRODUCT((AtractivoAlternativas!$A$2:$A$931=$A77)*AtractivoAlternativas!$C$2:$C$931*COUNTIFS(Alternativas!$A$2:$A$51,AtractivoAlternativas!$B$2:$B$931,Alternativas!$B$2:$B$51,L$2))</f>
        <v>0</v>
      </c>
      <c r="M77">
        <f>SUMIFS(AtractivoSitios!$C:$C,AtractivoSitios!$A:$A,$A77,AtractivoSitios!$B:$B,M$2)</f>
        <v>0</v>
      </c>
      <c r="N77">
        <f>SUMIFS(AtractivoSitios!$C:$C,AtractivoSitios!$A:$A,$A77,AtractivoSitios!$B:$B,N$2)</f>
        <v>0.5448931569700074</v>
      </c>
      <c r="O77">
        <f>SUMIFS(AtractivoSitios!$C:$C,AtractivoSitios!$A:$A,$A77,AtractivoSitios!$B:$B,O$2)</f>
        <v>0</v>
      </c>
      <c r="P77">
        <f>SUMIFS(AtractivoSitios!$C:$C,AtractivoSitios!$A:$A,$A77,AtractivoSitios!$B:$B,P$2)</f>
        <v>0</v>
      </c>
      <c r="Q77">
        <f>SUMIFS(AtractivoSitios!$C:$C,AtractivoSitios!$A:$A,$A77,AtractivoSitios!$B:$B,Q$2)</f>
        <v>0.38327217361966348</v>
      </c>
      <c r="R77">
        <f>SUMIFS(AtractivoSitios!$C:$C,AtractivoSitios!$A:$A,$A77,AtractivoSitios!$B:$B,R$2)</f>
        <v>0</v>
      </c>
      <c r="S77">
        <f>SUMIFS(AtractivoSitios!$C:$C,AtractivoSitios!$A:$A,$A77,AtractivoSitios!$B:$B,S$2)</f>
        <v>0</v>
      </c>
      <c r="T77">
        <f>SUM(M77:S77)</f>
        <v>0.92816533058967088</v>
      </c>
      <c r="U77">
        <f>C77/(AD$4+H77+$T77)</f>
        <v>1.9204509181540192E-4</v>
      </c>
      <c r="V77">
        <f>D77/(AE$4+I77+$T77)</f>
        <v>5.5412852586679192E-5</v>
      </c>
      <c r="W77">
        <f>E77/(AF$4+J77+$T77)</f>
        <v>3.2128765009262862E-4</v>
      </c>
      <c r="X77">
        <f>F77/(AG$4+K77+$T77)</f>
        <v>1.7389608309262892E-5</v>
      </c>
      <c r="Y77">
        <f>G77/(AH$4+L77+$T77)</f>
        <v>1.0789828580220255E-5</v>
      </c>
    </row>
    <row r="78" spans="1:25">
      <c r="A78" t="s">
        <v>124</v>
      </c>
      <c r="B78">
        <f>SUMIFS(Sectores!$C:$C,Sectores!$A:$A,$A78)</f>
        <v>2043</v>
      </c>
      <c r="C78">
        <f>SUMIFS(Generacion!$C:$C,Generacion!$A:$A,$A78,Generacion!$B:$B,C$2)</f>
        <v>4.3533876706587399E-2</v>
      </c>
      <c r="D78">
        <f>SUMIFS(Generacion!$C:$C,Generacion!$A:$A,$A78,Generacion!$B:$B,D$2)</f>
        <v>3.7870933395161399E-2</v>
      </c>
      <c r="E78">
        <f>SUMIFS(Generacion!$C:$C,Generacion!$A:$A,$A78,Generacion!$B:$B,E$2)</f>
        <v>1.34494903646368E-2</v>
      </c>
      <c r="F78">
        <f>SUMIFS(Generacion!$C:$C,Generacion!$A:$A,$A78,Generacion!$B:$B,F$2)</f>
        <v>3.5393395696412498E-3</v>
      </c>
      <c r="G78">
        <f>SUMIFS(Generacion!$C:$C,Generacion!$A:$A,$A78,Generacion!$B:$B,G$2)</f>
        <v>2.4775376987488701E-3</v>
      </c>
      <c r="H78">
        <f>SUMPRODUCT((AtractivoAlternativas!$A$2:$A$931=$A78)*AtractivoAlternativas!$C$2:$C$931*COUNTIFS(Alternativas!$A$2:$A$51,AtractivoAlternativas!$B$2:$B$931,Alternativas!$B$2:$B$51,H$2))</f>
        <v>0</v>
      </c>
      <c r="I78">
        <f>SUMPRODUCT((AtractivoAlternativas!$A$2:$A$931=$A78)*AtractivoAlternativas!$C$2:$C$931*COUNTIFS(Alternativas!$A$2:$A$51,AtractivoAlternativas!$B$2:$B$931,Alternativas!$B$2:$B$51,I$2))</f>
        <v>1.591069548830796</v>
      </c>
      <c r="J78">
        <f>SUMPRODUCT((AtractivoAlternativas!$A$2:$A$931=$A78)*AtractivoAlternativas!$C$2:$C$931*COUNTIFS(Alternativas!$A$2:$A$51,AtractivoAlternativas!$B$2:$B$931,Alternativas!$B$2:$B$51,J$2))</f>
        <v>0</v>
      </c>
      <c r="K78">
        <f>SUMPRODUCT((AtractivoAlternativas!$A$2:$A$931=$A78)*AtractivoAlternativas!$C$2:$C$931*COUNTIFS(Alternativas!$A$2:$A$51,AtractivoAlternativas!$B$2:$B$931,Alternativas!$B$2:$B$51,K$2))</f>
        <v>0</v>
      </c>
      <c r="L78">
        <f>SUMPRODUCT((AtractivoAlternativas!$A$2:$A$931=$A78)*AtractivoAlternativas!$C$2:$C$931*COUNTIFS(Alternativas!$A$2:$A$51,AtractivoAlternativas!$B$2:$B$931,Alternativas!$B$2:$B$51,L$2))</f>
        <v>0</v>
      </c>
      <c r="M78">
        <f>SUMIFS(AtractivoSitios!$C:$C,AtractivoSitios!$A:$A,$A78,AtractivoSitios!$B:$B,M$2)</f>
        <v>0</v>
      </c>
      <c r="N78">
        <f>SUMIFS(AtractivoSitios!$C:$C,AtractivoSitios!$A:$A,$A78,AtractivoSitios!$B:$B,N$2)</f>
        <v>0.70834869958778557</v>
      </c>
      <c r="O78">
        <f>SUMIFS(AtractivoSitios!$C:$C,AtractivoSitios!$A:$A,$A78,AtractivoSitios!$B:$B,O$2)</f>
        <v>0</v>
      </c>
      <c r="P78">
        <f>SUMIFS(AtractivoSitios!$C:$C,AtractivoSitios!$A:$A,$A78,AtractivoSitios!$B:$B,P$2)</f>
        <v>0</v>
      </c>
      <c r="Q78">
        <f>SUMIFS(AtractivoSitios!$C:$C,AtractivoSitios!$A:$A,$A78,AtractivoSitios!$B:$B,Q$2)</f>
        <v>0.43381603394268831</v>
      </c>
      <c r="R78">
        <f>SUMIFS(AtractivoSitios!$C:$C,AtractivoSitios!$A:$A,$A78,AtractivoSitios!$B:$B,R$2)</f>
        <v>0</v>
      </c>
      <c r="S78">
        <f>SUMIFS(AtractivoSitios!$C:$C,AtractivoSitios!$A:$A,$A78,AtractivoSitios!$B:$B,S$2)</f>
        <v>0</v>
      </c>
      <c r="T78">
        <f>SUM(M78:S78)</f>
        <v>1.1421647335304739</v>
      </c>
      <c r="U78">
        <f>C78/(AD$4+H78+$T78)</f>
        <v>1.9218999670105898E-4</v>
      </c>
      <c r="V78">
        <f>D78/(AE$4+I78+$T78)</f>
        <v>5.5486512933609571E-5</v>
      </c>
      <c r="W78">
        <f>E78/(AF$4+J78+$T78)</f>
        <v>3.1965354384931301E-4</v>
      </c>
      <c r="X78">
        <f>F78/(AG$4+K78+$T78)</f>
        <v>1.7371343567352028E-5</v>
      </c>
      <c r="Y78">
        <f>G78/(AH$4+L78+$T78)</f>
        <v>1.07797820333501E-5</v>
      </c>
    </row>
    <row r="79" spans="1:25">
      <c r="A79" t="s">
        <v>125</v>
      </c>
      <c r="B79">
        <f>SUMIFS(Sectores!$C:$C,Sectores!$A:$A,$A79)</f>
        <v>2931</v>
      </c>
      <c r="C79">
        <f>SUMIFS(Generacion!$C:$C,Generacion!$A:$A,$A79,Generacion!$B:$B,C$2)</f>
        <v>4.3533876706587399E-2</v>
      </c>
      <c r="D79">
        <f>SUMIFS(Generacion!$C:$C,Generacion!$A:$A,$A79,Generacion!$B:$B,D$2)</f>
        <v>3.7870933395161399E-2</v>
      </c>
      <c r="E79">
        <f>SUMIFS(Generacion!$C:$C,Generacion!$A:$A,$A79,Generacion!$B:$B,E$2)</f>
        <v>1.34494903646368E-2</v>
      </c>
      <c r="F79">
        <f>SUMIFS(Generacion!$C:$C,Generacion!$A:$A,$A79,Generacion!$B:$B,F$2)</f>
        <v>3.5393395696412498E-3</v>
      </c>
      <c r="G79">
        <f>SUMIFS(Generacion!$C:$C,Generacion!$A:$A,$A79,Generacion!$B:$B,G$2)</f>
        <v>2.4775376987488701E-3</v>
      </c>
      <c r="H79">
        <f>SUMPRODUCT((AtractivoAlternativas!$A$2:$A$931=$A79)*AtractivoAlternativas!$C$2:$C$931*COUNTIFS(Alternativas!$A$2:$A$51,AtractivoAlternativas!$B$2:$B$931,Alternativas!$B$2:$B$51,H$2))</f>
        <v>0.66625765753317745</v>
      </c>
      <c r="I79">
        <f>SUMPRODUCT((AtractivoAlternativas!$A$2:$A$931=$A79)*AtractivoAlternativas!$C$2:$C$931*COUNTIFS(Alternativas!$A$2:$A$51,AtractivoAlternativas!$B$2:$B$931,Alternativas!$B$2:$B$51,I$2))</f>
        <v>3.7338971549109274</v>
      </c>
      <c r="J79">
        <f>SUMPRODUCT((AtractivoAlternativas!$A$2:$A$931=$A79)*AtractivoAlternativas!$C$2:$C$931*COUNTIFS(Alternativas!$A$2:$A$51,AtractivoAlternativas!$B$2:$B$931,Alternativas!$B$2:$B$51,J$2))</f>
        <v>0</v>
      </c>
      <c r="K79">
        <f>SUMPRODUCT((AtractivoAlternativas!$A$2:$A$931=$A79)*AtractivoAlternativas!$C$2:$C$931*COUNTIFS(Alternativas!$A$2:$A$51,AtractivoAlternativas!$B$2:$B$931,Alternativas!$B$2:$B$51,K$2))</f>
        <v>0</v>
      </c>
      <c r="L79">
        <f>SUMPRODUCT((AtractivoAlternativas!$A$2:$A$931=$A79)*AtractivoAlternativas!$C$2:$C$931*COUNTIFS(Alternativas!$A$2:$A$51,AtractivoAlternativas!$B$2:$B$931,Alternativas!$B$2:$B$51,L$2))</f>
        <v>0</v>
      </c>
      <c r="M79">
        <f>SUMIFS(AtractivoSitios!$C:$C,AtractivoSitios!$A:$A,$A79,AtractivoSitios!$B:$B,M$2)</f>
        <v>0</v>
      </c>
      <c r="N79">
        <f>SUMIFS(AtractivoSitios!$C:$C,AtractivoSitios!$A:$A,$A79,AtractivoSitios!$B:$B,N$2)</f>
        <v>0</v>
      </c>
      <c r="O79">
        <f>SUMIFS(AtractivoSitios!$C:$C,AtractivoSitios!$A:$A,$A79,AtractivoSitios!$B:$B,O$2)</f>
        <v>0</v>
      </c>
      <c r="P79">
        <f>SUMIFS(AtractivoSitios!$C:$C,AtractivoSitios!$A:$A,$A79,AtractivoSitios!$B:$B,P$2)</f>
        <v>0</v>
      </c>
      <c r="Q79">
        <f>SUMIFS(AtractivoSitios!$C:$C,AtractivoSitios!$A:$A,$A79,AtractivoSitios!$B:$B,Q$2)</f>
        <v>0</v>
      </c>
      <c r="R79">
        <f>SUMIFS(AtractivoSitios!$C:$C,AtractivoSitios!$A:$A,$A79,AtractivoSitios!$B:$B,R$2)</f>
        <v>0</v>
      </c>
      <c r="S79">
        <f>SUMIFS(AtractivoSitios!$C:$C,AtractivoSitios!$A:$A,$A79,AtractivoSitios!$B:$B,S$2)</f>
        <v>0</v>
      </c>
      <c r="T79">
        <f>SUM(M79:S79)</f>
        <v>0</v>
      </c>
      <c r="U79">
        <f>C79/(AD$4+H79+$T79)</f>
        <v>1.9259463761176905E-4</v>
      </c>
      <c r="V79">
        <f>D79/(AE$4+I79+$T79)</f>
        <v>5.540528219898658E-5</v>
      </c>
      <c r="W79">
        <f>E79/(AF$4+J79+$T79)</f>
        <v>3.2857291429328134E-4</v>
      </c>
      <c r="X79">
        <f>F79/(AG$4+K79+$T79)</f>
        <v>1.7469273344224566E-5</v>
      </c>
      <c r="Y79">
        <f>G79/(AH$4+L79+$T79)</f>
        <v>1.0833620424026486E-5</v>
      </c>
    </row>
    <row r="80" spans="1:25">
      <c r="A80" t="s">
        <v>126</v>
      </c>
      <c r="B80">
        <f>SUMIFS(Sectores!$C:$C,Sectores!$A:$A,$A80)</f>
        <v>2771</v>
      </c>
      <c r="C80">
        <f>SUMIFS(Generacion!$C:$C,Generacion!$A:$A,$A80,Generacion!$B:$B,C$2)</f>
        <v>4.3533876706587399E-2</v>
      </c>
      <c r="D80">
        <f>SUMIFS(Generacion!$C:$C,Generacion!$A:$A,$A80,Generacion!$B:$B,D$2)</f>
        <v>3.7870933395161399E-2</v>
      </c>
      <c r="E80">
        <f>SUMIFS(Generacion!$C:$C,Generacion!$A:$A,$A80,Generacion!$B:$B,E$2)</f>
        <v>1.34494903646368E-2</v>
      </c>
      <c r="F80">
        <f>SUMIFS(Generacion!$C:$C,Generacion!$A:$A,$A80,Generacion!$B:$B,F$2)</f>
        <v>3.5393395696412498E-3</v>
      </c>
      <c r="G80">
        <f>SUMIFS(Generacion!$C:$C,Generacion!$A:$A,$A80,Generacion!$B:$B,G$2)</f>
        <v>2.4775376987488701E-3</v>
      </c>
      <c r="H80">
        <f>SUMPRODUCT((AtractivoAlternativas!$A$2:$A$931=$A80)*AtractivoAlternativas!$C$2:$C$931*COUNTIFS(Alternativas!$A$2:$A$51,AtractivoAlternativas!$B$2:$B$931,Alternativas!$B$2:$B$51,H$2))</f>
        <v>0.51333798247611406</v>
      </c>
      <c r="I80">
        <f>SUMPRODUCT((AtractivoAlternativas!$A$2:$A$931=$A80)*AtractivoAlternativas!$C$2:$C$931*COUNTIFS(Alternativas!$A$2:$A$51,AtractivoAlternativas!$B$2:$B$931,Alternativas!$B$2:$B$51,I$2))</f>
        <v>2.912319246816411</v>
      </c>
      <c r="J80">
        <f>SUMPRODUCT((AtractivoAlternativas!$A$2:$A$931=$A80)*AtractivoAlternativas!$C$2:$C$931*COUNTIFS(Alternativas!$A$2:$A$51,AtractivoAlternativas!$B$2:$B$931,Alternativas!$B$2:$B$51,J$2))</f>
        <v>0</v>
      </c>
      <c r="K80">
        <f>SUMPRODUCT((AtractivoAlternativas!$A$2:$A$931=$A80)*AtractivoAlternativas!$C$2:$C$931*COUNTIFS(Alternativas!$A$2:$A$51,AtractivoAlternativas!$B$2:$B$931,Alternativas!$B$2:$B$51,K$2))</f>
        <v>0</v>
      </c>
      <c r="L80">
        <f>SUMPRODUCT((AtractivoAlternativas!$A$2:$A$931=$A80)*AtractivoAlternativas!$C$2:$C$931*COUNTIFS(Alternativas!$A$2:$A$51,AtractivoAlternativas!$B$2:$B$931,Alternativas!$B$2:$B$51,L$2))</f>
        <v>0</v>
      </c>
      <c r="M80">
        <f>SUMIFS(AtractivoSitios!$C:$C,AtractivoSitios!$A:$A,$A80,AtractivoSitios!$B:$B,M$2)</f>
        <v>0</v>
      </c>
      <c r="N80">
        <f>SUMIFS(AtractivoSitios!$C:$C,AtractivoSitios!$A:$A,$A80,AtractivoSitios!$B:$B,N$2)</f>
        <v>0.41250443217901439</v>
      </c>
      <c r="O80">
        <f>SUMIFS(AtractivoSitios!$C:$C,AtractivoSitios!$A:$A,$A80,AtractivoSitios!$B:$B,O$2)</f>
        <v>0</v>
      </c>
      <c r="P80">
        <f>SUMIFS(AtractivoSitios!$C:$C,AtractivoSitios!$A:$A,$A80,AtractivoSitios!$B:$B,P$2)</f>
        <v>0</v>
      </c>
      <c r="Q80">
        <f>SUMIFS(AtractivoSitios!$C:$C,AtractivoSitios!$A:$A,$A80,AtractivoSitios!$B:$B,Q$2)</f>
        <v>0</v>
      </c>
      <c r="R80">
        <f>SUMIFS(AtractivoSitios!$C:$C,AtractivoSitios!$A:$A,$A80,AtractivoSitios!$B:$B,R$2)</f>
        <v>0</v>
      </c>
      <c r="S80">
        <f>SUMIFS(AtractivoSitios!$C:$C,AtractivoSitios!$A:$A,$A80,AtractivoSitios!$B:$B,S$2)</f>
        <v>0</v>
      </c>
      <c r="T80">
        <f>SUM(M80:S80)</f>
        <v>0.41250443217901439</v>
      </c>
      <c r="U80">
        <f>C80/(AD$4+H80+$T80)</f>
        <v>1.9237371418802073E-4</v>
      </c>
      <c r="V80">
        <f>D80/(AE$4+I80+$T80)</f>
        <v>5.5438460767673514E-5</v>
      </c>
      <c r="W80">
        <f>E80/(AF$4+J80+$T80)</f>
        <v>3.2529474335272118E-4</v>
      </c>
      <c r="X80">
        <f>F80/(AG$4+K80+$T80)</f>
        <v>1.7433777890109898E-5</v>
      </c>
      <c r="Y80">
        <f>G80/(AH$4+L80+$T80)</f>
        <v>1.0814114213149723E-5</v>
      </c>
    </row>
    <row r="81" spans="1:25">
      <c r="A81" t="s">
        <v>127</v>
      </c>
      <c r="B81">
        <f>SUMIFS(Sectores!$C:$C,Sectores!$A:$A,$A81)</f>
        <v>3714</v>
      </c>
      <c r="C81">
        <f>SUMIFS(Generacion!$C:$C,Generacion!$A:$A,$A81,Generacion!$B:$B,C$2)</f>
        <v>4.3533876706587399E-2</v>
      </c>
      <c r="D81">
        <f>SUMIFS(Generacion!$C:$C,Generacion!$A:$A,$A81,Generacion!$B:$B,D$2)</f>
        <v>3.7870933395161399E-2</v>
      </c>
      <c r="E81">
        <f>SUMIFS(Generacion!$C:$C,Generacion!$A:$A,$A81,Generacion!$B:$B,E$2)</f>
        <v>1.34494903646368E-2</v>
      </c>
      <c r="F81">
        <f>SUMIFS(Generacion!$C:$C,Generacion!$A:$A,$A81,Generacion!$B:$B,F$2)</f>
        <v>3.5393395696412498E-3</v>
      </c>
      <c r="G81">
        <f>SUMIFS(Generacion!$C:$C,Generacion!$A:$A,$A81,Generacion!$B:$B,G$2)</f>
        <v>2.4775376987488701E-3</v>
      </c>
      <c r="H81">
        <f>SUMPRODUCT((AtractivoAlternativas!$A$2:$A$931=$A81)*AtractivoAlternativas!$C$2:$C$931*COUNTIFS(Alternativas!$A$2:$A$51,AtractivoAlternativas!$B$2:$B$931,Alternativas!$B$2:$B$51,H$2))</f>
        <v>0.50211287684435058</v>
      </c>
      <c r="I81">
        <f>SUMPRODUCT((AtractivoAlternativas!$A$2:$A$931=$A81)*AtractivoAlternativas!$C$2:$C$931*COUNTIFS(Alternativas!$A$2:$A$51,AtractivoAlternativas!$B$2:$B$931,Alternativas!$B$2:$B$51,I$2))</f>
        <v>3.6438972048157314</v>
      </c>
      <c r="J81">
        <f>SUMPRODUCT((AtractivoAlternativas!$A$2:$A$931=$A81)*AtractivoAlternativas!$C$2:$C$931*COUNTIFS(Alternativas!$A$2:$A$51,AtractivoAlternativas!$B$2:$B$931,Alternativas!$B$2:$B$51,J$2))</f>
        <v>0</v>
      </c>
      <c r="K81">
        <f>SUMPRODUCT((AtractivoAlternativas!$A$2:$A$931=$A81)*AtractivoAlternativas!$C$2:$C$931*COUNTIFS(Alternativas!$A$2:$A$51,AtractivoAlternativas!$B$2:$B$931,Alternativas!$B$2:$B$51,K$2))</f>
        <v>0</v>
      </c>
      <c r="L81">
        <f>SUMPRODUCT((AtractivoAlternativas!$A$2:$A$931=$A81)*AtractivoAlternativas!$C$2:$C$931*COUNTIFS(Alternativas!$A$2:$A$51,AtractivoAlternativas!$B$2:$B$931,Alternativas!$B$2:$B$51,L$2))</f>
        <v>0</v>
      </c>
      <c r="M81">
        <f>SUMIFS(AtractivoSitios!$C:$C,AtractivoSitios!$A:$A,$A81,AtractivoSitios!$B:$B,M$2)</f>
        <v>0</v>
      </c>
      <c r="N81">
        <f>SUMIFS(AtractivoSitios!$C:$C,AtractivoSitios!$A:$A,$A81,AtractivoSitios!$B:$B,N$2)</f>
        <v>0.37529195131282295</v>
      </c>
      <c r="O81">
        <f>SUMIFS(AtractivoSitios!$C:$C,AtractivoSitios!$A:$A,$A81,AtractivoSitios!$B:$B,O$2)</f>
        <v>0</v>
      </c>
      <c r="P81">
        <f>SUMIFS(AtractivoSitios!$C:$C,AtractivoSitios!$A:$A,$A81,AtractivoSitios!$B:$B,P$2)</f>
        <v>0</v>
      </c>
      <c r="Q81">
        <f>SUMIFS(AtractivoSitios!$C:$C,AtractivoSitios!$A:$A,$A81,AtractivoSitios!$B:$B,Q$2)</f>
        <v>0</v>
      </c>
      <c r="R81">
        <f>SUMIFS(AtractivoSitios!$C:$C,AtractivoSitios!$A:$A,$A81,AtractivoSitios!$B:$B,R$2)</f>
        <v>0</v>
      </c>
      <c r="S81">
        <f>SUMIFS(AtractivoSitios!$C:$C,AtractivoSitios!$A:$A,$A81,AtractivoSitios!$B:$B,S$2)</f>
        <v>0</v>
      </c>
      <c r="T81">
        <f>SUM(M81:S81)</f>
        <v>0.37529195131282295</v>
      </c>
      <c r="U81">
        <f>C81/(AD$4+H81+$T81)</f>
        <v>1.9241489923637093E-4</v>
      </c>
      <c r="V81">
        <f>D81/(AE$4+I81+$T81)</f>
        <v>5.5382166624071189E-5</v>
      </c>
      <c r="W81">
        <f>E81/(AF$4+J81+$T81)</f>
        <v>3.2558778405297409E-4</v>
      </c>
      <c r="X81">
        <f>F81/(AG$4+K81+$T81)</f>
        <v>1.7436974053869444E-5</v>
      </c>
      <c r="Y81">
        <f>G81/(AH$4+L81+$T81)</f>
        <v>1.0815871007006033E-5</v>
      </c>
    </row>
    <row r="82" spans="1:25">
      <c r="A82" t="s">
        <v>128</v>
      </c>
      <c r="B82">
        <f>SUMIFS(Sectores!$C:$C,Sectores!$A:$A,$A82)</f>
        <v>2125</v>
      </c>
      <c r="C82">
        <f>SUMIFS(Generacion!$C:$C,Generacion!$A:$A,$A82,Generacion!$B:$B,C$2)</f>
        <v>4.3533876706587399E-2</v>
      </c>
      <c r="D82">
        <f>SUMIFS(Generacion!$C:$C,Generacion!$A:$A,$A82,Generacion!$B:$B,D$2)</f>
        <v>3.7870933395161399E-2</v>
      </c>
      <c r="E82">
        <f>SUMIFS(Generacion!$C:$C,Generacion!$A:$A,$A82,Generacion!$B:$B,E$2)</f>
        <v>1.34494903646368E-2</v>
      </c>
      <c r="F82">
        <f>SUMIFS(Generacion!$C:$C,Generacion!$A:$A,$A82,Generacion!$B:$B,F$2)</f>
        <v>3.5393395696412498E-3</v>
      </c>
      <c r="G82">
        <f>SUMIFS(Generacion!$C:$C,Generacion!$A:$A,$A82,Generacion!$B:$B,G$2)</f>
        <v>2.4775376987488701E-3</v>
      </c>
      <c r="H82">
        <f>SUMPRODUCT((AtractivoAlternativas!$A$2:$A$931=$A82)*AtractivoAlternativas!$C$2:$C$931*COUNTIFS(Alternativas!$A$2:$A$51,AtractivoAlternativas!$B$2:$B$931,Alternativas!$B$2:$B$51,H$2))</f>
        <v>0.53499397161452944</v>
      </c>
      <c r="I82">
        <f>SUMPRODUCT((AtractivoAlternativas!$A$2:$A$931=$A82)*AtractivoAlternativas!$C$2:$C$931*COUNTIFS(Alternativas!$A$2:$A$51,AtractivoAlternativas!$B$2:$B$931,Alternativas!$B$2:$B$51,I$2))</f>
        <v>3.5306314365097733</v>
      </c>
      <c r="J82">
        <f>SUMPRODUCT((AtractivoAlternativas!$A$2:$A$931=$A82)*AtractivoAlternativas!$C$2:$C$931*COUNTIFS(Alternativas!$A$2:$A$51,AtractivoAlternativas!$B$2:$B$931,Alternativas!$B$2:$B$51,J$2))</f>
        <v>0</v>
      </c>
      <c r="K82">
        <f>SUMPRODUCT((AtractivoAlternativas!$A$2:$A$931=$A82)*AtractivoAlternativas!$C$2:$C$931*COUNTIFS(Alternativas!$A$2:$A$51,AtractivoAlternativas!$B$2:$B$931,Alternativas!$B$2:$B$51,K$2))</f>
        <v>0</v>
      </c>
      <c r="L82">
        <f>SUMPRODUCT((AtractivoAlternativas!$A$2:$A$931=$A82)*AtractivoAlternativas!$C$2:$C$931*COUNTIFS(Alternativas!$A$2:$A$51,AtractivoAlternativas!$B$2:$B$931,Alternativas!$B$2:$B$51,L$2))</f>
        <v>0</v>
      </c>
      <c r="M82">
        <f>SUMIFS(AtractivoSitios!$C:$C,AtractivoSitios!$A:$A,$A82,AtractivoSitios!$B:$B,M$2)</f>
        <v>0</v>
      </c>
      <c r="N82">
        <f>SUMIFS(AtractivoSitios!$C:$C,AtractivoSitios!$A:$A,$A82,AtractivoSitios!$B:$B,N$2)</f>
        <v>0.38537711504286598</v>
      </c>
      <c r="O82">
        <f>SUMIFS(AtractivoSitios!$C:$C,AtractivoSitios!$A:$A,$A82,AtractivoSitios!$B:$B,O$2)</f>
        <v>0</v>
      </c>
      <c r="P82">
        <f>SUMIFS(AtractivoSitios!$C:$C,AtractivoSitios!$A:$A,$A82,AtractivoSitios!$B:$B,P$2)</f>
        <v>0</v>
      </c>
      <c r="Q82">
        <f>SUMIFS(AtractivoSitios!$C:$C,AtractivoSitios!$A:$A,$A82,AtractivoSitios!$B:$B,Q$2)</f>
        <v>0</v>
      </c>
      <c r="R82">
        <f>SUMIFS(AtractivoSitios!$C:$C,AtractivoSitios!$A:$A,$A82,AtractivoSitios!$B:$B,R$2)</f>
        <v>0</v>
      </c>
      <c r="S82">
        <f>SUMIFS(AtractivoSitios!$C:$C,AtractivoSitios!$A:$A,$A82,AtractivoSitios!$B:$B,S$2)</f>
        <v>0</v>
      </c>
      <c r="T82">
        <f>SUM(M82:S82)</f>
        <v>0.38537711504286598</v>
      </c>
      <c r="U82">
        <f>C82/(AD$4+H82+$T82)</f>
        <v>1.923783654132301E-4</v>
      </c>
      <c r="V82">
        <f>D82/(AE$4+I82+$T82)</f>
        <v>5.5390524530001258E-5</v>
      </c>
      <c r="W82">
        <f>E82/(AF$4+J82+$T82)</f>
        <v>3.2550831330295613E-4</v>
      </c>
      <c r="X82">
        <f>F82/(AG$4+K82+$T82)</f>
        <v>1.7436107727793368E-5</v>
      </c>
      <c r="Y82">
        <f>G82/(AH$4+L82+$T82)</f>
        <v>1.0815394832040003E-5</v>
      </c>
    </row>
    <row r="83" spans="1:25">
      <c r="A83" t="s">
        <v>129</v>
      </c>
      <c r="B83">
        <f>SUMIFS(Sectores!$C:$C,Sectores!$A:$A,$A83)</f>
        <v>2961</v>
      </c>
      <c r="C83">
        <f>SUMIFS(Generacion!$C:$C,Generacion!$A:$A,$A83,Generacion!$B:$B,C$2)</f>
        <v>4.3533876706587399E-2</v>
      </c>
      <c r="D83">
        <f>SUMIFS(Generacion!$C:$C,Generacion!$A:$A,$A83,Generacion!$B:$B,D$2)</f>
        <v>3.7870933395161399E-2</v>
      </c>
      <c r="E83">
        <f>SUMIFS(Generacion!$C:$C,Generacion!$A:$A,$A83,Generacion!$B:$B,E$2)</f>
        <v>1.34494903646368E-2</v>
      </c>
      <c r="F83">
        <f>SUMIFS(Generacion!$C:$C,Generacion!$A:$A,$A83,Generacion!$B:$B,F$2)</f>
        <v>3.5393395696412498E-3</v>
      </c>
      <c r="G83">
        <f>SUMIFS(Generacion!$C:$C,Generacion!$A:$A,$A83,Generacion!$B:$B,G$2)</f>
        <v>2.4775376987488701E-3</v>
      </c>
      <c r="H83">
        <f>SUMPRODUCT((AtractivoAlternativas!$A$2:$A$931=$A83)*AtractivoAlternativas!$C$2:$C$931*COUNTIFS(Alternativas!$A$2:$A$51,AtractivoAlternativas!$B$2:$B$931,Alternativas!$B$2:$B$51,H$2))</f>
        <v>0.65363523190260264</v>
      </c>
      <c r="I83">
        <f>SUMPRODUCT((AtractivoAlternativas!$A$2:$A$931=$A83)*AtractivoAlternativas!$C$2:$C$931*COUNTIFS(Alternativas!$A$2:$A$51,AtractivoAlternativas!$B$2:$B$931,Alternativas!$B$2:$B$51,I$2))</f>
        <v>3.2369571475989574</v>
      </c>
      <c r="J83">
        <f>SUMPRODUCT((AtractivoAlternativas!$A$2:$A$931=$A83)*AtractivoAlternativas!$C$2:$C$931*COUNTIFS(Alternativas!$A$2:$A$51,AtractivoAlternativas!$B$2:$B$931,Alternativas!$B$2:$B$51,J$2))</f>
        <v>0</v>
      </c>
      <c r="K83">
        <f>SUMPRODUCT((AtractivoAlternativas!$A$2:$A$931=$A83)*AtractivoAlternativas!$C$2:$C$931*COUNTIFS(Alternativas!$A$2:$A$51,AtractivoAlternativas!$B$2:$B$931,Alternativas!$B$2:$B$51,K$2))</f>
        <v>0</v>
      </c>
      <c r="L83">
        <f>SUMPRODUCT((AtractivoAlternativas!$A$2:$A$931=$A83)*AtractivoAlternativas!$C$2:$C$931*COUNTIFS(Alternativas!$A$2:$A$51,AtractivoAlternativas!$B$2:$B$931,Alternativas!$B$2:$B$51,L$2))</f>
        <v>0</v>
      </c>
      <c r="M83">
        <f>SUMIFS(AtractivoSitios!$C:$C,AtractivoSitios!$A:$A,$A83,AtractivoSitios!$B:$B,M$2)</f>
        <v>0</v>
      </c>
      <c r="N83">
        <f>SUMIFS(AtractivoSitios!$C:$C,AtractivoSitios!$A:$A,$A83,AtractivoSitios!$B:$B,N$2)</f>
        <v>0</v>
      </c>
      <c r="O83">
        <f>SUMIFS(AtractivoSitios!$C:$C,AtractivoSitios!$A:$A,$A83,AtractivoSitios!$B:$B,O$2)</f>
        <v>0</v>
      </c>
      <c r="P83">
        <f>SUMIFS(AtractivoSitios!$C:$C,AtractivoSitios!$A:$A,$A83,AtractivoSitios!$B:$B,P$2)</f>
        <v>0</v>
      </c>
      <c r="Q83">
        <f>SUMIFS(AtractivoSitios!$C:$C,AtractivoSitios!$A:$A,$A83,AtractivoSitios!$B:$B,Q$2)</f>
        <v>0</v>
      </c>
      <c r="R83">
        <f>SUMIFS(AtractivoSitios!$C:$C,AtractivoSitios!$A:$A,$A83,AtractivoSitios!$B:$B,R$2)</f>
        <v>0</v>
      </c>
      <c r="S83">
        <f>SUMIFS(AtractivoSitios!$C:$C,AtractivoSitios!$A:$A,$A83,AtractivoSitios!$B:$B,S$2)</f>
        <v>0</v>
      </c>
      <c r="T83">
        <f>SUM(M83:S83)</f>
        <v>0</v>
      </c>
      <c r="U83">
        <f>C83/(AD$4+H83+$T83)</f>
        <v>1.9260539305003882E-4</v>
      </c>
      <c r="V83">
        <f>D83/(AE$4+I83+$T83)</f>
        <v>5.5445592510369072E-5</v>
      </c>
      <c r="W83">
        <f>E83/(AF$4+J83+$T83)</f>
        <v>3.2857291429328134E-4</v>
      </c>
      <c r="X83">
        <f>F83/(AG$4+K83+$T83)</f>
        <v>1.7469273344224566E-5</v>
      </c>
      <c r="Y83">
        <f>G83/(AH$4+L83+$T83)</f>
        <v>1.0833620424026486E-5</v>
      </c>
    </row>
    <row r="84" spans="1:25">
      <c r="A84" t="s">
        <v>130</v>
      </c>
      <c r="B84">
        <f>SUMIFS(Sectores!$C:$C,Sectores!$A:$A,$A84)</f>
        <v>4117</v>
      </c>
      <c r="C84">
        <f>SUMIFS(Generacion!$C:$C,Generacion!$A:$A,$A84,Generacion!$B:$B,C$2)</f>
        <v>4.3533876706587399E-2</v>
      </c>
      <c r="D84">
        <f>SUMIFS(Generacion!$C:$C,Generacion!$A:$A,$A84,Generacion!$B:$B,D$2)</f>
        <v>3.7870933395161399E-2</v>
      </c>
      <c r="E84">
        <f>SUMIFS(Generacion!$C:$C,Generacion!$A:$A,$A84,Generacion!$B:$B,E$2)</f>
        <v>1.34494903646368E-2</v>
      </c>
      <c r="F84">
        <f>SUMIFS(Generacion!$C:$C,Generacion!$A:$A,$A84,Generacion!$B:$B,F$2)</f>
        <v>3.5393395696412498E-3</v>
      </c>
      <c r="G84">
        <f>SUMIFS(Generacion!$C:$C,Generacion!$A:$A,$A84,Generacion!$B:$B,G$2)</f>
        <v>2.4775376987488701E-3</v>
      </c>
      <c r="H84">
        <f>SUMPRODUCT((AtractivoAlternativas!$A$2:$A$931=$A84)*AtractivoAlternativas!$C$2:$C$931*COUNTIFS(Alternativas!$A$2:$A$51,AtractivoAlternativas!$B$2:$B$931,Alternativas!$B$2:$B$51,H$2))</f>
        <v>0</v>
      </c>
      <c r="I84">
        <f>SUMPRODUCT((AtractivoAlternativas!$A$2:$A$931=$A84)*AtractivoAlternativas!$C$2:$C$931*COUNTIFS(Alternativas!$A$2:$A$51,AtractivoAlternativas!$B$2:$B$931,Alternativas!$B$2:$B$51,I$2))</f>
        <v>1.944691188223038</v>
      </c>
      <c r="J84">
        <f>SUMPRODUCT((AtractivoAlternativas!$A$2:$A$931=$A84)*AtractivoAlternativas!$C$2:$C$931*COUNTIFS(Alternativas!$A$2:$A$51,AtractivoAlternativas!$B$2:$B$931,Alternativas!$B$2:$B$51,J$2))</f>
        <v>0</v>
      </c>
      <c r="K84">
        <f>SUMPRODUCT((AtractivoAlternativas!$A$2:$A$931=$A84)*AtractivoAlternativas!$C$2:$C$931*COUNTIFS(Alternativas!$A$2:$A$51,AtractivoAlternativas!$B$2:$B$931,Alternativas!$B$2:$B$51,K$2))</f>
        <v>0</v>
      </c>
      <c r="L84">
        <f>SUMPRODUCT((AtractivoAlternativas!$A$2:$A$931=$A84)*AtractivoAlternativas!$C$2:$C$931*COUNTIFS(Alternativas!$A$2:$A$51,AtractivoAlternativas!$B$2:$B$931,Alternativas!$B$2:$B$51,L$2))</f>
        <v>0</v>
      </c>
      <c r="M84">
        <f>SUMIFS(AtractivoSitios!$C:$C,AtractivoSitios!$A:$A,$A84,AtractivoSitios!$B:$B,M$2)</f>
        <v>0</v>
      </c>
      <c r="N84">
        <f>SUMIFS(AtractivoSitios!$C:$C,AtractivoSitios!$A:$A,$A84,AtractivoSitios!$B:$B,N$2)</f>
        <v>0.63376936391682659</v>
      </c>
      <c r="O84">
        <f>SUMIFS(AtractivoSitios!$C:$C,AtractivoSitios!$A:$A,$A84,AtractivoSitios!$B:$B,O$2)</f>
        <v>0</v>
      </c>
      <c r="P84">
        <f>SUMIFS(AtractivoSitios!$C:$C,AtractivoSitios!$A:$A,$A84,AtractivoSitios!$B:$B,P$2)</f>
        <v>0</v>
      </c>
      <c r="Q84">
        <f>SUMIFS(AtractivoSitios!$C:$C,AtractivoSitios!$A:$A,$A84,AtractivoSitios!$B:$B,Q$2)</f>
        <v>0</v>
      </c>
      <c r="R84">
        <f>SUMIFS(AtractivoSitios!$C:$C,AtractivoSitios!$A:$A,$A84,AtractivoSitios!$B:$B,R$2)</f>
        <v>0</v>
      </c>
      <c r="S84">
        <f>SUMIFS(AtractivoSitios!$C:$C,AtractivoSitios!$A:$A,$A84,AtractivoSitios!$B:$B,S$2)</f>
        <v>0</v>
      </c>
      <c r="T84">
        <f>SUM(M84:S84)</f>
        <v>0.63376936391682659</v>
      </c>
      <c r="U84">
        <f>C84/(AD$4+H84+$T84)</f>
        <v>1.9262232298390697E-4</v>
      </c>
      <c r="V84">
        <f>D84/(AE$4+I84+$T84)</f>
        <v>5.5499098263377908E-5</v>
      </c>
      <c r="W84">
        <f>E84/(AF$4+J84+$T84)</f>
        <v>3.235631620957856E-4</v>
      </c>
      <c r="X84">
        <f>F84/(AG$4+K84+$T84)</f>
        <v>1.7414797711308375E-5</v>
      </c>
      <c r="Y84">
        <f>G84/(AH$4+L84+$T84)</f>
        <v>1.0803680113375311E-5</v>
      </c>
    </row>
    <row r="85" spans="1:25">
      <c r="A85" t="s">
        <v>131</v>
      </c>
      <c r="B85">
        <f>SUMIFS(Sectores!$C:$C,Sectores!$A:$A,$A85)</f>
        <v>3877</v>
      </c>
      <c r="C85">
        <f>SUMIFS(Generacion!$C:$C,Generacion!$A:$A,$A85,Generacion!$B:$B,C$2)</f>
        <v>4.3533876706587399E-2</v>
      </c>
      <c r="D85">
        <f>SUMIFS(Generacion!$C:$C,Generacion!$A:$A,$A85,Generacion!$B:$B,D$2)</f>
        <v>3.7870933395161399E-2</v>
      </c>
      <c r="E85">
        <f>SUMIFS(Generacion!$C:$C,Generacion!$A:$A,$A85,Generacion!$B:$B,E$2)</f>
        <v>1.34494903646368E-2</v>
      </c>
      <c r="F85">
        <f>SUMIFS(Generacion!$C:$C,Generacion!$A:$A,$A85,Generacion!$B:$B,F$2)</f>
        <v>3.5393395696412498E-3</v>
      </c>
      <c r="G85">
        <f>SUMIFS(Generacion!$C:$C,Generacion!$A:$A,$A85,Generacion!$B:$B,G$2)</f>
        <v>2.4775376987488701E-3</v>
      </c>
      <c r="H85">
        <f>SUMPRODUCT((AtractivoAlternativas!$A$2:$A$931=$A85)*AtractivoAlternativas!$C$2:$C$931*COUNTIFS(Alternativas!$A$2:$A$51,AtractivoAlternativas!$B$2:$B$931,Alternativas!$B$2:$B$51,H$2))</f>
        <v>0.40519114134832795</v>
      </c>
      <c r="I85">
        <f>SUMPRODUCT((AtractivoAlternativas!$A$2:$A$931=$A85)*AtractivoAlternativas!$C$2:$C$931*COUNTIFS(Alternativas!$A$2:$A$51,AtractivoAlternativas!$B$2:$B$931,Alternativas!$B$2:$B$51,I$2))</f>
        <v>2.1155160695476982</v>
      </c>
      <c r="J85">
        <f>SUMPRODUCT((AtractivoAlternativas!$A$2:$A$931=$A85)*AtractivoAlternativas!$C$2:$C$931*COUNTIFS(Alternativas!$A$2:$A$51,AtractivoAlternativas!$B$2:$B$931,Alternativas!$B$2:$B$51,J$2))</f>
        <v>0</v>
      </c>
      <c r="K85">
        <f>SUMPRODUCT((AtractivoAlternativas!$A$2:$A$931=$A85)*AtractivoAlternativas!$C$2:$C$931*COUNTIFS(Alternativas!$A$2:$A$51,AtractivoAlternativas!$B$2:$B$931,Alternativas!$B$2:$B$51,K$2))</f>
        <v>0</v>
      </c>
      <c r="L85">
        <f>SUMPRODUCT((AtractivoAlternativas!$A$2:$A$931=$A85)*AtractivoAlternativas!$C$2:$C$931*COUNTIFS(Alternativas!$A$2:$A$51,AtractivoAlternativas!$B$2:$B$931,Alternativas!$B$2:$B$51,L$2))</f>
        <v>0</v>
      </c>
      <c r="M85">
        <f>SUMIFS(AtractivoSitios!$C:$C,AtractivoSitios!$A:$A,$A85,AtractivoSitios!$B:$B,M$2)</f>
        <v>0</v>
      </c>
      <c r="N85">
        <f>SUMIFS(AtractivoSitios!$C:$C,AtractivoSitios!$A:$A,$A85,AtractivoSitios!$B:$B,N$2)</f>
        <v>0.48194200023442985</v>
      </c>
      <c r="O85">
        <f>SUMIFS(AtractivoSitios!$C:$C,AtractivoSitios!$A:$A,$A85,AtractivoSitios!$B:$B,O$2)</f>
        <v>0</v>
      </c>
      <c r="P85">
        <f>SUMIFS(AtractivoSitios!$C:$C,AtractivoSitios!$A:$A,$A85,AtractivoSitios!$B:$B,P$2)</f>
        <v>0</v>
      </c>
      <c r="Q85">
        <f>SUMIFS(AtractivoSitios!$C:$C,AtractivoSitios!$A:$A,$A85,AtractivoSitios!$B:$B,Q$2)</f>
        <v>0</v>
      </c>
      <c r="R85">
        <f>SUMIFS(AtractivoSitios!$C:$C,AtractivoSitios!$A:$A,$A85,AtractivoSitios!$B:$B,R$2)</f>
        <v>0</v>
      </c>
      <c r="S85">
        <f>SUMIFS(AtractivoSitios!$C:$C,AtractivoSitios!$A:$A,$A85,AtractivoSitios!$B:$B,S$2)</f>
        <v>0</v>
      </c>
      <c r="T85">
        <f>SUM(M85:S85)</f>
        <v>0.48194200023442985</v>
      </c>
      <c r="U85">
        <f>C85/(AD$4+H85+$T85)</f>
        <v>1.9240662612381106E-4</v>
      </c>
      <c r="V85">
        <f>D85/(AE$4+I85+$T85)</f>
        <v>5.5497553184661145E-5</v>
      </c>
      <c r="W85">
        <f>E85/(AF$4+J85+$T85)</f>
        <v>3.2474934477307374E-4</v>
      </c>
      <c r="X85">
        <f>F85/(AG$4+K85+$T85)</f>
        <v>1.7427817059623268E-5</v>
      </c>
      <c r="Y85">
        <f>G85/(AH$4+L85+$T85)</f>
        <v>1.0810837604856735E-5</v>
      </c>
    </row>
    <row r="86" spans="1:25">
      <c r="A86" t="s">
        <v>132</v>
      </c>
      <c r="B86">
        <f>SUMIFS(Sectores!$C:$C,Sectores!$A:$A,$A86)</f>
        <v>3710</v>
      </c>
      <c r="C86">
        <f>SUMIFS(Generacion!$C:$C,Generacion!$A:$A,$A86,Generacion!$B:$B,C$2)</f>
        <v>4.3533876706587399E-2</v>
      </c>
      <c r="D86">
        <f>SUMIFS(Generacion!$C:$C,Generacion!$A:$A,$A86,Generacion!$B:$B,D$2)</f>
        <v>3.7870933395161399E-2</v>
      </c>
      <c r="E86">
        <f>SUMIFS(Generacion!$C:$C,Generacion!$A:$A,$A86,Generacion!$B:$B,E$2)</f>
        <v>1.34494903646368E-2</v>
      </c>
      <c r="F86">
        <f>SUMIFS(Generacion!$C:$C,Generacion!$A:$A,$A86,Generacion!$B:$B,F$2)</f>
        <v>3.5393395696412498E-3</v>
      </c>
      <c r="G86">
        <f>SUMIFS(Generacion!$C:$C,Generacion!$A:$A,$A86,Generacion!$B:$B,G$2)</f>
        <v>2.4775376987488701E-3</v>
      </c>
      <c r="H86">
        <f>SUMPRODUCT((AtractivoAlternativas!$A$2:$A$931=$A86)*AtractivoAlternativas!$C$2:$C$931*COUNTIFS(Alternativas!$A$2:$A$51,AtractivoAlternativas!$B$2:$B$931,Alternativas!$B$2:$B$51,H$2))</f>
        <v>0.52725123344536984</v>
      </c>
      <c r="I86">
        <f>SUMPRODUCT((AtractivoAlternativas!$A$2:$A$931=$A86)*AtractivoAlternativas!$C$2:$C$931*COUNTIFS(Alternativas!$A$2:$A$51,AtractivoAlternativas!$B$2:$B$931,Alternativas!$B$2:$B$51,I$2))</f>
        <v>2.7023069609341155</v>
      </c>
      <c r="J86">
        <f>SUMPRODUCT((AtractivoAlternativas!$A$2:$A$931=$A86)*AtractivoAlternativas!$C$2:$C$931*COUNTIFS(Alternativas!$A$2:$A$51,AtractivoAlternativas!$B$2:$B$931,Alternativas!$B$2:$B$51,J$2))</f>
        <v>0</v>
      </c>
      <c r="K86">
        <f>SUMPRODUCT((AtractivoAlternativas!$A$2:$A$931=$A86)*AtractivoAlternativas!$C$2:$C$931*COUNTIFS(Alternativas!$A$2:$A$51,AtractivoAlternativas!$B$2:$B$931,Alternativas!$B$2:$B$51,K$2))</f>
        <v>0</v>
      </c>
      <c r="L86">
        <f>SUMPRODUCT((AtractivoAlternativas!$A$2:$A$931=$A86)*AtractivoAlternativas!$C$2:$C$931*COUNTIFS(Alternativas!$A$2:$A$51,AtractivoAlternativas!$B$2:$B$931,Alternativas!$B$2:$B$51,L$2))</f>
        <v>0</v>
      </c>
      <c r="M86">
        <f>SUMIFS(AtractivoSitios!$C:$C,AtractivoSitios!$A:$A,$A86,AtractivoSitios!$B:$B,M$2)</f>
        <v>0</v>
      </c>
      <c r="N86">
        <f>SUMIFS(AtractivoSitios!$C:$C,AtractivoSitios!$A:$A,$A86,AtractivoSitios!$B:$B,N$2)</f>
        <v>0.38090425614813378</v>
      </c>
      <c r="O86">
        <f>SUMIFS(AtractivoSitios!$C:$C,AtractivoSitios!$A:$A,$A86,AtractivoSitios!$B:$B,O$2)</f>
        <v>0</v>
      </c>
      <c r="P86">
        <f>SUMIFS(AtractivoSitios!$C:$C,AtractivoSitios!$A:$A,$A86,AtractivoSitios!$B:$B,P$2)</f>
        <v>0</v>
      </c>
      <c r="Q86">
        <f>SUMIFS(AtractivoSitios!$C:$C,AtractivoSitios!$A:$A,$A86,AtractivoSitios!$B:$B,Q$2)</f>
        <v>0</v>
      </c>
      <c r="R86">
        <f>SUMIFS(AtractivoSitios!$C:$C,AtractivoSitios!$A:$A,$A86,AtractivoSitios!$B:$B,R$2)</f>
        <v>0</v>
      </c>
      <c r="S86">
        <f>SUMIFS(AtractivoSitios!$C:$C,AtractivoSitios!$A:$A,$A86,AtractivoSitios!$B:$B,S$2)</f>
        <v>0</v>
      </c>
      <c r="T86">
        <f>SUM(M86:S86)</f>
        <v>0.38090425614813378</v>
      </c>
      <c r="U86">
        <f>C86/(AD$4+H86+$T86)</f>
        <v>1.9238875081401316E-4</v>
      </c>
      <c r="V86">
        <f>D86/(AE$4+I86+$T86)</f>
        <v>5.5458075811473368E-5</v>
      </c>
      <c r="W86">
        <f>E86/(AF$4+J86+$T86)</f>
        <v>3.2554355449217681E-4</v>
      </c>
      <c r="X86">
        <f>F86/(AG$4+K86+$T86)</f>
        <v>1.7436491940411083E-5</v>
      </c>
      <c r="Y86">
        <f>G86/(AH$4+L86+$T86)</f>
        <v>1.0815606014655071E-5</v>
      </c>
    </row>
    <row r="87" spans="1:25">
      <c r="A87" t="s">
        <v>133</v>
      </c>
      <c r="B87">
        <f>SUMIFS(Sectores!$C:$C,Sectores!$A:$A,$A87)</f>
        <v>4212</v>
      </c>
      <c r="C87">
        <f>SUMIFS(Generacion!$C:$C,Generacion!$A:$A,$A87,Generacion!$B:$B,C$2)</f>
        <v>4.3533876706587399E-2</v>
      </c>
      <c r="D87">
        <f>SUMIFS(Generacion!$C:$C,Generacion!$A:$A,$A87,Generacion!$B:$B,D$2)</f>
        <v>3.7870933395161399E-2</v>
      </c>
      <c r="E87">
        <f>SUMIFS(Generacion!$C:$C,Generacion!$A:$A,$A87,Generacion!$B:$B,E$2)</f>
        <v>1.34494903646368E-2</v>
      </c>
      <c r="F87">
        <f>SUMIFS(Generacion!$C:$C,Generacion!$A:$A,$A87,Generacion!$B:$B,F$2)</f>
        <v>3.5393395696412498E-3</v>
      </c>
      <c r="G87">
        <f>SUMIFS(Generacion!$C:$C,Generacion!$A:$A,$A87,Generacion!$B:$B,G$2)</f>
        <v>2.4775376987488701E-3</v>
      </c>
      <c r="H87">
        <f>SUMPRODUCT((AtractivoAlternativas!$A$2:$A$931=$A87)*AtractivoAlternativas!$C$2:$C$931*COUNTIFS(Alternativas!$A$2:$A$51,AtractivoAlternativas!$B$2:$B$931,Alternativas!$B$2:$B$51,H$2))</f>
        <v>0</v>
      </c>
      <c r="I87">
        <f>SUMPRODUCT((AtractivoAlternativas!$A$2:$A$931=$A87)*AtractivoAlternativas!$C$2:$C$931*COUNTIFS(Alternativas!$A$2:$A$51,AtractivoAlternativas!$B$2:$B$931,Alternativas!$B$2:$B$51,I$2))</f>
        <v>1.0053478472600275</v>
      </c>
      <c r="J87">
        <f>SUMPRODUCT((AtractivoAlternativas!$A$2:$A$931=$A87)*AtractivoAlternativas!$C$2:$C$931*COUNTIFS(Alternativas!$A$2:$A$51,AtractivoAlternativas!$B$2:$B$931,Alternativas!$B$2:$B$51,J$2))</f>
        <v>0</v>
      </c>
      <c r="K87">
        <f>SUMPRODUCT((AtractivoAlternativas!$A$2:$A$931=$A87)*AtractivoAlternativas!$C$2:$C$931*COUNTIFS(Alternativas!$A$2:$A$51,AtractivoAlternativas!$B$2:$B$931,Alternativas!$B$2:$B$51,K$2))</f>
        <v>0</v>
      </c>
      <c r="L87">
        <f>SUMPRODUCT((AtractivoAlternativas!$A$2:$A$931=$A87)*AtractivoAlternativas!$C$2:$C$931*COUNTIFS(Alternativas!$A$2:$A$51,AtractivoAlternativas!$B$2:$B$931,Alternativas!$B$2:$B$51,L$2))</f>
        <v>0</v>
      </c>
      <c r="M87">
        <f>SUMIFS(AtractivoSitios!$C:$C,AtractivoSitios!$A:$A,$A87,AtractivoSitios!$B:$B,M$2)</f>
        <v>0</v>
      </c>
      <c r="N87">
        <f>SUMIFS(AtractivoSitios!$C:$C,AtractivoSitios!$A:$A,$A87,AtractivoSitios!$B:$B,N$2)</f>
        <v>0.79294441438085184</v>
      </c>
      <c r="O87">
        <f>SUMIFS(AtractivoSitios!$C:$C,AtractivoSitios!$A:$A,$A87,AtractivoSitios!$B:$B,O$2)</f>
        <v>0</v>
      </c>
      <c r="P87">
        <f>SUMIFS(AtractivoSitios!$C:$C,AtractivoSitios!$A:$A,$A87,AtractivoSitios!$B:$B,P$2)</f>
        <v>0</v>
      </c>
      <c r="Q87">
        <f>SUMIFS(AtractivoSitios!$C:$C,AtractivoSitios!$A:$A,$A87,AtractivoSitios!$B:$B,Q$2)</f>
        <v>0</v>
      </c>
      <c r="R87">
        <f>SUMIFS(AtractivoSitios!$C:$C,AtractivoSitios!$A:$A,$A87,AtractivoSitios!$B:$B,R$2)</f>
        <v>0</v>
      </c>
      <c r="S87">
        <f>SUMIFS(AtractivoSitios!$C:$C,AtractivoSitios!$A:$A,$A87,AtractivoSitios!$B:$B,S$2)</f>
        <v>0</v>
      </c>
      <c r="T87">
        <f>SUM(M87:S87)</f>
        <v>0.79294441438085184</v>
      </c>
      <c r="U87">
        <f>C87/(AD$4+H87+$T87)</f>
        <v>1.9248675562920175E-4</v>
      </c>
      <c r="V87">
        <f>D87/(AE$4+I87+$T87)</f>
        <v>5.5562624183081348E-5</v>
      </c>
      <c r="W87">
        <f>E87/(AF$4+J87+$T87)</f>
        <v>3.223288431118203E-4</v>
      </c>
      <c r="X87">
        <f>F87/(AG$4+K87+$T87)</f>
        <v>1.740116916206401E-5</v>
      </c>
      <c r="Y87">
        <f>G87/(AH$4+L87+$T87)</f>
        <v>1.0796186404523273E-5</v>
      </c>
    </row>
    <row r="88" spans="1:25">
      <c r="A88" t="s">
        <v>134</v>
      </c>
      <c r="B88">
        <f>SUMIFS(Sectores!$C:$C,Sectores!$A:$A,$A88)</f>
        <v>1912</v>
      </c>
      <c r="C88">
        <f>SUMIFS(Generacion!$C:$C,Generacion!$A:$A,$A88,Generacion!$B:$B,C$2)</f>
        <v>4.3533876706587399E-2</v>
      </c>
      <c r="D88">
        <f>SUMIFS(Generacion!$C:$C,Generacion!$A:$A,$A88,Generacion!$B:$B,D$2)</f>
        <v>3.7870933395161399E-2</v>
      </c>
      <c r="E88">
        <f>SUMIFS(Generacion!$C:$C,Generacion!$A:$A,$A88,Generacion!$B:$B,E$2)</f>
        <v>1.34494903646368E-2</v>
      </c>
      <c r="F88">
        <f>SUMIFS(Generacion!$C:$C,Generacion!$A:$A,$A88,Generacion!$B:$B,F$2)</f>
        <v>3.5393395696412498E-3</v>
      </c>
      <c r="G88">
        <f>SUMIFS(Generacion!$C:$C,Generacion!$A:$A,$A88,Generacion!$B:$B,G$2)</f>
        <v>2.4775376987488701E-3</v>
      </c>
      <c r="H88">
        <f>SUMPRODUCT((AtractivoAlternativas!$A$2:$A$931=$A88)*AtractivoAlternativas!$C$2:$C$931*COUNTIFS(Alternativas!$A$2:$A$51,AtractivoAlternativas!$B$2:$B$931,Alternativas!$B$2:$B$51,H$2))</f>
        <v>0.40669957997064998</v>
      </c>
      <c r="I88">
        <f>SUMPRODUCT((AtractivoAlternativas!$A$2:$A$931=$A88)*AtractivoAlternativas!$C$2:$C$931*COUNTIFS(Alternativas!$A$2:$A$51,AtractivoAlternativas!$B$2:$B$931,Alternativas!$B$2:$B$51,I$2))</f>
        <v>2.5557352417424792</v>
      </c>
      <c r="J88">
        <f>SUMPRODUCT((AtractivoAlternativas!$A$2:$A$931=$A88)*AtractivoAlternativas!$C$2:$C$931*COUNTIFS(Alternativas!$A$2:$A$51,AtractivoAlternativas!$B$2:$B$931,Alternativas!$B$2:$B$51,J$2))</f>
        <v>0</v>
      </c>
      <c r="K88">
        <f>SUMPRODUCT((AtractivoAlternativas!$A$2:$A$931=$A88)*AtractivoAlternativas!$C$2:$C$931*COUNTIFS(Alternativas!$A$2:$A$51,AtractivoAlternativas!$B$2:$B$931,Alternativas!$B$2:$B$51,K$2))</f>
        <v>0</v>
      </c>
      <c r="L88">
        <f>SUMPRODUCT((AtractivoAlternativas!$A$2:$A$931=$A88)*AtractivoAlternativas!$C$2:$C$931*COUNTIFS(Alternativas!$A$2:$A$51,AtractivoAlternativas!$B$2:$B$931,Alternativas!$B$2:$B$51,L$2))</f>
        <v>0</v>
      </c>
      <c r="M88">
        <f>SUMIFS(AtractivoSitios!$C:$C,AtractivoSitios!$A:$A,$A88,AtractivoSitios!$B:$B,M$2)</f>
        <v>0</v>
      </c>
      <c r="N88">
        <f>SUMIFS(AtractivoSitios!$C:$C,AtractivoSitios!$A:$A,$A88,AtractivoSitios!$B:$B,N$2)</f>
        <v>0.51167039413041993</v>
      </c>
      <c r="O88">
        <f>SUMIFS(AtractivoSitios!$C:$C,AtractivoSitios!$A:$A,$A88,AtractivoSitios!$B:$B,O$2)</f>
        <v>0</v>
      </c>
      <c r="P88">
        <f>SUMIFS(AtractivoSitios!$C:$C,AtractivoSitios!$A:$A,$A88,AtractivoSitios!$B:$B,P$2)</f>
        <v>0</v>
      </c>
      <c r="Q88">
        <f>SUMIFS(AtractivoSitios!$C:$C,AtractivoSitios!$A:$A,$A88,AtractivoSitios!$B:$B,Q$2)</f>
        <v>0</v>
      </c>
      <c r="R88">
        <f>SUMIFS(AtractivoSitios!$C:$C,AtractivoSitios!$A:$A,$A88,AtractivoSitios!$B:$B,R$2)</f>
        <v>0</v>
      </c>
      <c r="S88">
        <f>SUMIFS(AtractivoSitios!$C:$C,AtractivoSitios!$A:$A,$A88,AtractivoSitios!$B:$B,S$2)</f>
        <v>0</v>
      </c>
      <c r="T88">
        <f>SUM(M88:S88)</f>
        <v>0.51167039413041993</v>
      </c>
      <c r="U88">
        <f>C88/(AD$4+H88+$T88)</f>
        <v>1.923800666332124E-4</v>
      </c>
      <c r="V88">
        <f>D88/(AE$4+I88+$T88)</f>
        <v>5.5459359454032483E-5</v>
      </c>
      <c r="W88">
        <f>E88/(AF$4+J88+$T88)</f>
        <v>3.2451640129624868E-4</v>
      </c>
      <c r="X88">
        <f>F88/(AG$4+K88+$T88)</f>
        <v>1.7425266287681023E-5</v>
      </c>
      <c r="Y88">
        <f>G88/(AH$4+L88+$T88)</f>
        <v>1.0809435393342691E-5</v>
      </c>
    </row>
    <row r="89" spans="1:25">
      <c r="A89" t="s">
        <v>135</v>
      </c>
      <c r="B89">
        <f>SUMIFS(Sectores!$C:$C,Sectores!$A:$A,$A89)</f>
        <v>1726</v>
      </c>
      <c r="C89">
        <f>SUMIFS(Generacion!$C:$C,Generacion!$A:$A,$A89,Generacion!$B:$B,C$2)</f>
        <v>4.3533876706587399E-2</v>
      </c>
      <c r="D89">
        <f>SUMIFS(Generacion!$C:$C,Generacion!$A:$A,$A89,Generacion!$B:$B,D$2)</f>
        <v>3.7870933395161399E-2</v>
      </c>
      <c r="E89">
        <f>SUMIFS(Generacion!$C:$C,Generacion!$A:$A,$A89,Generacion!$B:$B,E$2)</f>
        <v>1.34494903646368E-2</v>
      </c>
      <c r="F89">
        <f>SUMIFS(Generacion!$C:$C,Generacion!$A:$A,$A89,Generacion!$B:$B,F$2)</f>
        <v>3.5393395696412498E-3</v>
      </c>
      <c r="G89">
        <f>SUMIFS(Generacion!$C:$C,Generacion!$A:$A,$A89,Generacion!$B:$B,G$2)</f>
        <v>2.4775376987488701E-3</v>
      </c>
      <c r="H89">
        <f>SUMPRODUCT((AtractivoAlternativas!$A$2:$A$931=$A89)*AtractivoAlternativas!$C$2:$C$931*COUNTIFS(Alternativas!$A$2:$A$51,AtractivoAlternativas!$B$2:$B$931,Alternativas!$B$2:$B$51,H$2))</f>
        <v>1.6190679411218754</v>
      </c>
      <c r="I89">
        <f>SUMPRODUCT((AtractivoAlternativas!$A$2:$A$931=$A89)*AtractivoAlternativas!$C$2:$C$931*COUNTIFS(Alternativas!$A$2:$A$51,AtractivoAlternativas!$B$2:$B$931,Alternativas!$B$2:$B$51,I$2))</f>
        <v>2.9262770879177293</v>
      </c>
      <c r="J89">
        <f>SUMPRODUCT((AtractivoAlternativas!$A$2:$A$931=$A89)*AtractivoAlternativas!$C$2:$C$931*COUNTIFS(Alternativas!$A$2:$A$51,AtractivoAlternativas!$B$2:$B$931,Alternativas!$B$2:$B$51,J$2))</f>
        <v>1.0064925581973991</v>
      </c>
      <c r="K89">
        <f>SUMPRODUCT((AtractivoAlternativas!$A$2:$A$931=$A89)*AtractivoAlternativas!$C$2:$C$931*COUNTIFS(Alternativas!$A$2:$A$51,AtractivoAlternativas!$B$2:$B$931,Alternativas!$B$2:$B$51,K$2))</f>
        <v>0</v>
      </c>
      <c r="L89">
        <f>SUMPRODUCT((AtractivoAlternativas!$A$2:$A$931=$A89)*AtractivoAlternativas!$C$2:$C$931*COUNTIFS(Alternativas!$A$2:$A$51,AtractivoAlternativas!$B$2:$B$931,Alternativas!$B$2:$B$51,L$2))</f>
        <v>0</v>
      </c>
      <c r="M89">
        <f>SUMIFS(AtractivoSitios!$C:$C,AtractivoSitios!$A:$A,$A89,AtractivoSitios!$B:$B,M$2)</f>
        <v>0.39774091789409288</v>
      </c>
      <c r="N89">
        <f>SUMIFS(AtractivoSitios!$C:$C,AtractivoSitios!$A:$A,$A89,AtractivoSitios!$B:$B,N$2)</f>
        <v>0</v>
      </c>
      <c r="O89">
        <f>SUMIFS(AtractivoSitios!$C:$C,AtractivoSitios!$A:$A,$A89,AtractivoSitios!$B:$B,O$2)</f>
        <v>0</v>
      </c>
      <c r="P89">
        <f>SUMIFS(AtractivoSitios!$C:$C,AtractivoSitios!$A:$A,$A89,AtractivoSitios!$B:$B,P$2)</f>
        <v>0</v>
      </c>
      <c r="Q89">
        <f>SUMIFS(AtractivoSitios!$C:$C,AtractivoSitios!$A:$A,$A89,AtractivoSitios!$B:$B,Q$2)</f>
        <v>0</v>
      </c>
      <c r="R89">
        <f>SUMIFS(AtractivoSitios!$C:$C,AtractivoSitios!$A:$A,$A89,AtractivoSitios!$B:$B,R$2)</f>
        <v>0.70468808971871333</v>
      </c>
      <c r="S89">
        <f>SUMIFS(AtractivoSitios!$C:$C,AtractivoSitios!$A:$A,$A89,AtractivoSitios!$B:$B,S$2)</f>
        <v>0.55044164208280777</v>
      </c>
      <c r="T89">
        <f>SUM(M89:S89)</f>
        <v>1.652870649695614</v>
      </c>
      <c r="U89">
        <f>C89/(AD$4+H89+$T89)</f>
        <v>1.903997891228059E-4</v>
      </c>
      <c r="V89">
        <f>D89/(AE$4+I89+$T89)</f>
        <v>5.5336852426887655E-5</v>
      </c>
      <c r="W89">
        <f>E89/(AF$4+J89+$T89)</f>
        <v>3.0852826142508701E-4</v>
      </c>
      <c r="X89">
        <f>F89/(AG$4+K89+$T89)</f>
        <v>1.7327909725684183E-5</v>
      </c>
      <c r="Y89">
        <f>G89/(AH$4+L89+$T89)</f>
        <v>1.075588155418497E-5</v>
      </c>
    </row>
    <row r="90" spans="1:25">
      <c r="A90" t="s">
        <v>136</v>
      </c>
      <c r="B90">
        <f>SUMIFS(Sectores!$C:$C,Sectores!$A:$A,$A90)</f>
        <v>3573</v>
      </c>
      <c r="C90">
        <f>SUMIFS(Generacion!$C:$C,Generacion!$A:$A,$A90,Generacion!$B:$B,C$2)</f>
        <v>4.3533876706587399E-2</v>
      </c>
      <c r="D90">
        <f>SUMIFS(Generacion!$C:$C,Generacion!$A:$A,$A90,Generacion!$B:$B,D$2)</f>
        <v>3.7870933395161399E-2</v>
      </c>
      <c r="E90">
        <f>SUMIFS(Generacion!$C:$C,Generacion!$A:$A,$A90,Generacion!$B:$B,E$2)</f>
        <v>1.34494903646368E-2</v>
      </c>
      <c r="F90">
        <f>SUMIFS(Generacion!$C:$C,Generacion!$A:$A,$A90,Generacion!$B:$B,F$2)</f>
        <v>3.5393395696412498E-3</v>
      </c>
      <c r="G90">
        <f>SUMIFS(Generacion!$C:$C,Generacion!$A:$A,$A90,Generacion!$B:$B,G$2)</f>
        <v>2.4775376987488701E-3</v>
      </c>
      <c r="H90">
        <f>SUMPRODUCT((AtractivoAlternativas!$A$2:$A$931=$A90)*AtractivoAlternativas!$C$2:$C$931*COUNTIFS(Alternativas!$A$2:$A$51,AtractivoAlternativas!$B$2:$B$931,Alternativas!$B$2:$B$51,H$2))</f>
        <v>1.668941925547089</v>
      </c>
      <c r="I90">
        <f>SUMPRODUCT((AtractivoAlternativas!$A$2:$A$931=$A90)*AtractivoAlternativas!$C$2:$C$931*COUNTIFS(Alternativas!$A$2:$A$51,AtractivoAlternativas!$B$2:$B$931,Alternativas!$B$2:$B$51,I$2))</f>
        <v>3.5701677808303613</v>
      </c>
      <c r="J90">
        <f>SUMPRODUCT((AtractivoAlternativas!$A$2:$A$931=$A90)*AtractivoAlternativas!$C$2:$C$931*COUNTIFS(Alternativas!$A$2:$A$51,AtractivoAlternativas!$B$2:$B$931,Alternativas!$B$2:$B$51,J$2))</f>
        <v>1.5260287808712643</v>
      </c>
      <c r="K90">
        <f>SUMPRODUCT((AtractivoAlternativas!$A$2:$A$931=$A90)*AtractivoAlternativas!$C$2:$C$931*COUNTIFS(Alternativas!$A$2:$A$51,AtractivoAlternativas!$B$2:$B$931,Alternativas!$B$2:$B$51,K$2))</f>
        <v>0</v>
      </c>
      <c r="L90">
        <f>SUMPRODUCT((AtractivoAlternativas!$A$2:$A$931=$A90)*AtractivoAlternativas!$C$2:$C$931*COUNTIFS(Alternativas!$A$2:$A$51,AtractivoAlternativas!$B$2:$B$931,Alternativas!$B$2:$B$51,L$2))</f>
        <v>0</v>
      </c>
      <c r="M90">
        <f>SUMIFS(AtractivoSitios!$C:$C,AtractivoSitios!$A:$A,$A90,AtractivoSitios!$B:$B,M$2)</f>
        <v>0.39617273524340596</v>
      </c>
      <c r="N90">
        <f>SUMIFS(AtractivoSitios!$C:$C,AtractivoSitios!$A:$A,$A90,AtractivoSitios!$B:$B,N$2)</f>
        <v>0</v>
      </c>
      <c r="O90">
        <f>SUMIFS(AtractivoSitios!$C:$C,AtractivoSitios!$A:$A,$A90,AtractivoSitios!$B:$B,O$2)</f>
        <v>0</v>
      </c>
      <c r="P90">
        <f>SUMIFS(AtractivoSitios!$C:$C,AtractivoSitios!$A:$A,$A90,AtractivoSitios!$B:$B,P$2)</f>
        <v>0</v>
      </c>
      <c r="Q90">
        <f>SUMIFS(AtractivoSitios!$C:$C,AtractivoSitios!$A:$A,$A90,AtractivoSitios!$B:$B,Q$2)</f>
        <v>0</v>
      </c>
      <c r="R90">
        <f>SUMIFS(AtractivoSitios!$C:$C,AtractivoSitios!$A:$A,$A90,AtractivoSitios!$B:$B,R$2)</f>
        <v>0.4854046335077733</v>
      </c>
      <c r="S90">
        <f>SUMIFS(AtractivoSitios!$C:$C,AtractivoSitios!$A:$A,$A90,AtractivoSitios!$B:$B,S$2)</f>
        <v>0.37286668429940895</v>
      </c>
      <c r="T90">
        <f>SUM(M90:S90)</f>
        <v>1.2544440530505883</v>
      </c>
      <c r="U90">
        <f>C90/(AD$4+H90+$T90)</f>
        <v>1.9069048339975691E-4</v>
      </c>
      <c r="V90">
        <f>D90/(AE$4+I90+$T90)</f>
        <v>5.5317011811758358E-5</v>
      </c>
      <c r="W90">
        <f>E90/(AF$4+J90+$T90)</f>
        <v>3.0767347455438196E-4</v>
      </c>
      <c r="X90">
        <f>F90/(AG$4+K90+$T90)</f>
        <v>1.7361775921380738E-5</v>
      </c>
      <c r="Y90">
        <f>G90/(AH$4+L90+$T90)</f>
        <v>1.0774518379198831E-5</v>
      </c>
    </row>
    <row r="91" spans="1:25">
      <c r="A91" t="s">
        <v>137</v>
      </c>
      <c r="B91">
        <f>SUMIFS(Sectores!$C:$C,Sectores!$A:$A,$A91)</f>
        <v>4580</v>
      </c>
      <c r="C91">
        <f>SUMIFS(Generacion!$C:$C,Generacion!$A:$A,$A91,Generacion!$B:$B,C$2)</f>
        <v>4.3533876706587399E-2</v>
      </c>
      <c r="D91">
        <f>SUMIFS(Generacion!$C:$C,Generacion!$A:$A,$A91,Generacion!$B:$B,D$2)</f>
        <v>3.7870933395161399E-2</v>
      </c>
      <c r="E91">
        <f>SUMIFS(Generacion!$C:$C,Generacion!$A:$A,$A91,Generacion!$B:$B,E$2)</f>
        <v>1.34494903646368E-2</v>
      </c>
      <c r="F91">
        <f>SUMIFS(Generacion!$C:$C,Generacion!$A:$A,$A91,Generacion!$B:$B,F$2)</f>
        <v>3.5393395696412498E-3</v>
      </c>
      <c r="G91">
        <f>SUMIFS(Generacion!$C:$C,Generacion!$A:$A,$A91,Generacion!$B:$B,G$2)</f>
        <v>2.4775376987488701E-3</v>
      </c>
      <c r="H91">
        <f>SUMPRODUCT((AtractivoAlternativas!$A$2:$A$931=$A91)*AtractivoAlternativas!$C$2:$C$931*COUNTIFS(Alternativas!$A$2:$A$51,AtractivoAlternativas!$B$2:$B$931,Alternativas!$B$2:$B$51,H$2))</f>
        <v>2.0809555078818422</v>
      </c>
      <c r="I91">
        <f>SUMPRODUCT((AtractivoAlternativas!$A$2:$A$931=$A91)*AtractivoAlternativas!$C$2:$C$931*COUNTIFS(Alternativas!$A$2:$A$51,AtractivoAlternativas!$B$2:$B$931,Alternativas!$B$2:$B$51,I$2))</f>
        <v>3.3293881735207438</v>
      </c>
      <c r="J91">
        <f>SUMPRODUCT((AtractivoAlternativas!$A$2:$A$931=$A91)*AtractivoAlternativas!$C$2:$C$931*COUNTIFS(Alternativas!$A$2:$A$51,AtractivoAlternativas!$B$2:$B$931,Alternativas!$B$2:$B$51,J$2))</f>
        <v>0.91671211106224215</v>
      </c>
      <c r="K91">
        <f>SUMPRODUCT((AtractivoAlternativas!$A$2:$A$931=$A91)*AtractivoAlternativas!$C$2:$C$931*COUNTIFS(Alternativas!$A$2:$A$51,AtractivoAlternativas!$B$2:$B$931,Alternativas!$B$2:$B$51,K$2))</f>
        <v>0</v>
      </c>
      <c r="L91">
        <f>SUMPRODUCT((AtractivoAlternativas!$A$2:$A$931=$A91)*AtractivoAlternativas!$C$2:$C$931*COUNTIFS(Alternativas!$A$2:$A$51,AtractivoAlternativas!$B$2:$B$931,Alternativas!$B$2:$B$51,L$2))</f>
        <v>0</v>
      </c>
      <c r="M91">
        <f>SUMIFS(AtractivoSitios!$C:$C,AtractivoSitios!$A:$A,$A91,AtractivoSitios!$B:$B,M$2)</f>
        <v>0</v>
      </c>
      <c r="N91">
        <f>SUMIFS(AtractivoSitios!$C:$C,AtractivoSitios!$A:$A,$A91,AtractivoSitios!$B:$B,N$2)</f>
        <v>0</v>
      </c>
      <c r="O91">
        <f>SUMIFS(AtractivoSitios!$C:$C,AtractivoSitios!$A:$A,$A91,AtractivoSitios!$B:$B,O$2)</f>
        <v>0</v>
      </c>
      <c r="P91">
        <f>SUMIFS(AtractivoSitios!$C:$C,AtractivoSitios!$A:$A,$A91,AtractivoSitios!$B:$B,P$2)</f>
        <v>0</v>
      </c>
      <c r="Q91">
        <f>SUMIFS(AtractivoSitios!$C:$C,AtractivoSitios!$A:$A,$A91,AtractivoSitios!$B:$B,Q$2)</f>
        <v>0</v>
      </c>
      <c r="R91">
        <f>SUMIFS(AtractivoSitios!$C:$C,AtractivoSitios!$A:$A,$A91,AtractivoSitios!$B:$B,R$2)</f>
        <v>0.73115531963806679</v>
      </c>
      <c r="S91">
        <f>SUMIFS(AtractivoSitios!$C:$C,AtractivoSitios!$A:$A,$A91,AtractivoSitios!$B:$B,S$2)</f>
        <v>0.59309640859648749</v>
      </c>
      <c r="T91">
        <f>SUM(M91:S91)</f>
        <v>1.3242517282345543</v>
      </c>
      <c r="U91">
        <f>C91/(AD$4+H91+$T91)</f>
        <v>1.9028887662002995E-4</v>
      </c>
      <c r="V91">
        <f>D91/(AE$4+I91+$T91)</f>
        <v>5.5330829796397536E-5</v>
      </c>
      <c r="W91">
        <f>E91/(AF$4+J91+$T91)</f>
        <v>3.1151820905548489E-4</v>
      </c>
      <c r="X91">
        <f>F91/(AG$4+K91+$T91)</f>
        <v>1.7355832718639061E-5</v>
      </c>
      <c r="Y91">
        <f>G91/(AH$4+L91+$T91)</f>
        <v>1.0771248386292455E-5</v>
      </c>
    </row>
    <row r="92" spans="1:25">
      <c r="A92" t="s">
        <v>138</v>
      </c>
      <c r="B92">
        <f>SUMIFS(Sectores!$C:$C,Sectores!$A:$A,$A92)</f>
        <v>3112</v>
      </c>
      <c r="C92">
        <f>SUMIFS(Generacion!$C:$C,Generacion!$A:$A,$A92,Generacion!$B:$B,C$2)</f>
        <v>4.3533876706587399E-2</v>
      </c>
      <c r="D92">
        <f>SUMIFS(Generacion!$C:$C,Generacion!$A:$A,$A92,Generacion!$B:$B,D$2)</f>
        <v>3.7870933395161399E-2</v>
      </c>
      <c r="E92">
        <f>SUMIFS(Generacion!$C:$C,Generacion!$A:$A,$A92,Generacion!$B:$B,E$2)</f>
        <v>1.34494903646368E-2</v>
      </c>
      <c r="F92">
        <f>SUMIFS(Generacion!$C:$C,Generacion!$A:$A,$A92,Generacion!$B:$B,F$2)</f>
        <v>3.5393395696412498E-3</v>
      </c>
      <c r="G92">
        <f>SUMIFS(Generacion!$C:$C,Generacion!$A:$A,$A92,Generacion!$B:$B,G$2)</f>
        <v>2.4775376987488701E-3</v>
      </c>
      <c r="H92">
        <f>SUMPRODUCT((AtractivoAlternativas!$A$2:$A$931=$A92)*AtractivoAlternativas!$C$2:$C$931*COUNTIFS(Alternativas!$A$2:$A$51,AtractivoAlternativas!$B$2:$B$931,Alternativas!$B$2:$B$51,H$2))</f>
        <v>1.6667176736927152</v>
      </c>
      <c r="I92">
        <f>SUMPRODUCT((AtractivoAlternativas!$A$2:$A$931=$A92)*AtractivoAlternativas!$C$2:$C$931*COUNTIFS(Alternativas!$A$2:$A$51,AtractivoAlternativas!$B$2:$B$931,Alternativas!$B$2:$B$51,I$2))</f>
        <v>3.0258846187344433</v>
      </c>
      <c r="J92">
        <f>SUMPRODUCT((AtractivoAlternativas!$A$2:$A$931=$A92)*AtractivoAlternativas!$C$2:$C$931*COUNTIFS(Alternativas!$A$2:$A$51,AtractivoAlternativas!$B$2:$B$931,Alternativas!$B$2:$B$51,J$2))</f>
        <v>1.0271849095376839</v>
      </c>
      <c r="K92">
        <f>SUMPRODUCT((AtractivoAlternativas!$A$2:$A$931=$A92)*AtractivoAlternativas!$C$2:$C$931*COUNTIFS(Alternativas!$A$2:$A$51,AtractivoAlternativas!$B$2:$B$931,Alternativas!$B$2:$B$51,K$2))</f>
        <v>0</v>
      </c>
      <c r="L92">
        <f>SUMPRODUCT((AtractivoAlternativas!$A$2:$A$931=$A92)*AtractivoAlternativas!$C$2:$C$931*COUNTIFS(Alternativas!$A$2:$A$51,AtractivoAlternativas!$B$2:$B$931,Alternativas!$B$2:$B$51,L$2))</f>
        <v>0</v>
      </c>
      <c r="M92">
        <f>SUMIFS(AtractivoSitios!$C:$C,AtractivoSitios!$A:$A,$A92,AtractivoSitios!$B:$B,M$2)</f>
        <v>0.42428470710489191</v>
      </c>
      <c r="N92">
        <f>SUMIFS(AtractivoSitios!$C:$C,AtractivoSitios!$A:$A,$A92,AtractivoSitios!$B:$B,N$2)</f>
        <v>0</v>
      </c>
      <c r="O92">
        <f>SUMIFS(AtractivoSitios!$C:$C,AtractivoSitios!$A:$A,$A92,AtractivoSitios!$B:$B,O$2)</f>
        <v>0</v>
      </c>
      <c r="P92">
        <f>SUMIFS(AtractivoSitios!$C:$C,AtractivoSitios!$A:$A,$A92,AtractivoSitios!$B:$B,P$2)</f>
        <v>0</v>
      </c>
      <c r="Q92">
        <f>SUMIFS(AtractivoSitios!$C:$C,AtractivoSitios!$A:$A,$A92,AtractivoSitios!$B:$B,Q$2)</f>
        <v>0</v>
      </c>
      <c r="R92">
        <f>SUMIFS(AtractivoSitios!$C:$C,AtractivoSitios!$A:$A,$A92,AtractivoSitios!$B:$B,R$2)</f>
        <v>0.62947353200546341</v>
      </c>
      <c r="S92">
        <f>SUMIFS(AtractivoSitios!$C:$C,AtractivoSitios!$A:$A,$A92,AtractivoSitios!$B:$B,S$2)</f>
        <v>0.46298300477126558</v>
      </c>
      <c r="T92">
        <f>SUM(M92:S92)</f>
        <v>1.5167412438816208</v>
      </c>
      <c r="U92">
        <f>C92/(AD$4+H92+$T92)</f>
        <v>1.9047349755722012E-4</v>
      </c>
      <c r="V92">
        <f>D92/(AE$4+I92+$T92)</f>
        <v>5.5339805669586628E-5</v>
      </c>
      <c r="W92">
        <f>E92/(AF$4+J92+$T92)</f>
        <v>3.0934744435306012E-4</v>
      </c>
      <c r="X92">
        <f>F92/(AG$4+K92+$T92)</f>
        <v>1.733946583412118E-5</v>
      </c>
      <c r="Y92">
        <f>G92/(AH$4+L92+$T92)</f>
        <v>1.0762241895730681E-5</v>
      </c>
    </row>
    <row r="93" spans="1:25">
      <c r="A93" t="s">
        <v>139</v>
      </c>
      <c r="B93">
        <f>SUMIFS(Sectores!$C:$C,Sectores!$A:$A,$A93)</f>
        <v>2961</v>
      </c>
      <c r="C93">
        <f>SUMIFS(Generacion!$C:$C,Generacion!$A:$A,$A93,Generacion!$B:$B,C$2)</f>
        <v>4.3533876706587399E-2</v>
      </c>
      <c r="D93">
        <f>SUMIFS(Generacion!$C:$C,Generacion!$A:$A,$A93,Generacion!$B:$B,D$2)</f>
        <v>3.7870933395161399E-2</v>
      </c>
      <c r="E93">
        <f>SUMIFS(Generacion!$C:$C,Generacion!$A:$A,$A93,Generacion!$B:$B,E$2)</f>
        <v>1.34494903646368E-2</v>
      </c>
      <c r="F93">
        <f>SUMIFS(Generacion!$C:$C,Generacion!$A:$A,$A93,Generacion!$B:$B,F$2)</f>
        <v>3.5393395696412498E-3</v>
      </c>
      <c r="G93">
        <f>SUMIFS(Generacion!$C:$C,Generacion!$A:$A,$A93,Generacion!$B:$B,G$2)</f>
        <v>2.4775376987488701E-3</v>
      </c>
      <c r="H93">
        <f>SUMPRODUCT((AtractivoAlternativas!$A$2:$A$931=$A93)*AtractivoAlternativas!$C$2:$C$931*COUNTIFS(Alternativas!$A$2:$A$51,AtractivoAlternativas!$B$2:$B$931,Alternativas!$B$2:$B$51,H$2))</f>
        <v>1.6190525204700266</v>
      </c>
      <c r="I93">
        <f>SUMPRODUCT((AtractivoAlternativas!$A$2:$A$931=$A93)*AtractivoAlternativas!$C$2:$C$931*COUNTIFS(Alternativas!$A$2:$A$51,AtractivoAlternativas!$B$2:$B$931,Alternativas!$B$2:$B$51,I$2))</f>
        <v>2.5079805055680557</v>
      </c>
      <c r="J93">
        <f>SUMPRODUCT((AtractivoAlternativas!$A$2:$A$931=$A93)*AtractivoAlternativas!$C$2:$C$931*COUNTIFS(Alternativas!$A$2:$A$51,AtractivoAlternativas!$B$2:$B$931,Alternativas!$B$2:$B$51,J$2))</f>
        <v>0.92831048086256529</v>
      </c>
      <c r="K93">
        <f>SUMPRODUCT((AtractivoAlternativas!$A$2:$A$931=$A93)*AtractivoAlternativas!$C$2:$C$931*COUNTIFS(Alternativas!$A$2:$A$51,AtractivoAlternativas!$B$2:$B$931,Alternativas!$B$2:$B$51,K$2))</f>
        <v>0</v>
      </c>
      <c r="L93">
        <f>SUMPRODUCT((AtractivoAlternativas!$A$2:$A$931=$A93)*AtractivoAlternativas!$C$2:$C$931*COUNTIFS(Alternativas!$A$2:$A$51,AtractivoAlternativas!$B$2:$B$931,Alternativas!$B$2:$B$51,L$2))</f>
        <v>0</v>
      </c>
      <c r="M93">
        <f>SUMIFS(AtractivoSitios!$C:$C,AtractivoSitios!$A:$A,$A93,AtractivoSitios!$B:$B,M$2)</f>
        <v>0.39195709209785373</v>
      </c>
      <c r="N93">
        <f>SUMIFS(AtractivoSitios!$C:$C,AtractivoSitios!$A:$A,$A93,AtractivoSitios!$B:$B,N$2)</f>
        <v>0</v>
      </c>
      <c r="O93">
        <f>SUMIFS(AtractivoSitios!$C:$C,AtractivoSitios!$A:$A,$A93,AtractivoSitios!$B:$B,O$2)</f>
        <v>0</v>
      </c>
      <c r="P93">
        <f>SUMIFS(AtractivoSitios!$C:$C,AtractivoSitios!$A:$A,$A93,AtractivoSitios!$B:$B,P$2)</f>
        <v>0</v>
      </c>
      <c r="Q93">
        <f>SUMIFS(AtractivoSitios!$C:$C,AtractivoSitios!$A:$A,$A93,AtractivoSitios!$B:$B,Q$2)</f>
        <v>0</v>
      </c>
      <c r="R93">
        <f>SUMIFS(AtractivoSitios!$C:$C,AtractivoSitios!$A:$A,$A93,AtractivoSitios!$B:$B,R$2)</f>
        <v>0.75294034873072535</v>
      </c>
      <c r="S93">
        <f>SUMIFS(AtractivoSitios!$C:$C,AtractivoSitios!$A:$A,$A93,AtractivoSitios!$B:$B,S$2)</f>
        <v>0.57448642529138449</v>
      </c>
      <c r="T93">
        <f>SUM(M93:S93)</f>
        <v>1.7193838661199634</v>
      </c>
      <c r="U93">
        <f>C93/(AD$4+H93+$T93)</f>
        <v>1.9034443033862138E-4</v>
      </c>
      <c r="V93">
        <f>D93/(AE$4+I93+$T93)</f>
        <v>5.5365311548508152E-5</v>
      </c>
      <c r="W93">
        <f>E93/(AF$4+J93+$T93)</f>
        <v>3.0861087069935058E-4</v>
      </c>
      <c r="X93">
        <f>F93/(AG$4+K93+$T93)</f>
        <v>1.7322268978009961E-5</v>
      </c>
      <c r="Y93">
        <f>G93/(AH$4+L93+$T93)</f>
        <v>1.0752776606318488E-5</v>
      </c>
    </row>
    <row r="94" spans="1:25">
      <c r="A94" t="s">
        <v>140</v>
      </c>
      <c r="B94">
        <f>SUMIFS(Sectores!$C:$C,Sectores!$A:$A,$A94)</f>
        <v>3926</v>
      </c>
      <c r="C94">
        <f>SUMIFS(Generacion!$C:$C,Generacion!$A:$A,$A94,Generacion!$B:$B,C$2)</f>
        <v>4.3533876706587399E-2</v>
      </c>
      <c r="D94">
        <f>SUMIFS(Generacion!$C:$C,Generacion!$A:$A,$A94,Generacion!$B:$B,D$2)</f>
        <v>3.7870933395161399E-2</v>
      </c>
      <c r="E94">
        <f>SUMIFS(Generacion!$C:$C,Generacion!$A:$A,$A94,Generacion!$B:$B,E$2)</f>
        <v>1.34494903646368E-2</v>
      </c>
      <c r="F94">
        <f>SUMIFS(Generacion!$C:$C,Generacion!$A:$A,$A94,Generacion!$B:$B,F$2)</f>
        <v>3.5393395696412498E-3</v>
      </c>
      <c r="G94">
        <f>SUMIFS(Generacion!$C:$C,Generacion!$A:$A,$A94,Generacion!$B:$B,G$2)</f>
        <v>2.4775376987488701E-3</v>
      </c>
      <c r="H94">
        <f>SUMPRODUCT((AtractivoAlternativas!$A$2:$A$931=$A94)*AtractivoAlternativas!$C$2:$C$931*COUNTIFS(Alternativas!$A$2:$A$51,AtractivoAlternativas!$B$2:$B$931,Alternativas!$B$2:$B$51,H$2))</f>
        <v>1.6197806026484423</v>
      </c>
      <c r="I94">
        <f>SUMPRODUCT((AtractivoAlternativas!$A$2:$A$931=$A94)*AtractivoAlternativas!$C$2:$C$931*COUNTIFS(Alternativas!$A$2:$A$51,AtractivoAlternativas!$B$2:$B$931,Alternativas!$B$2:$B$51,I$2))</f>
        <v>2.7206679597807768</v>
      </c>
      <c r="J94">
        <f>SUMPRODUCT((AtractivoAlternativas!$A$2:$A$931=$A94)*AtractivoAlternativas!$C$2:$C$931*COUNTIFS(Alternativas!$A$2:$A$51,AtractivoAlternativas!$B$2:$B$931,Alternativas!$B$2:$B$51,J$2))</f>
        <v>1.7214649635947687</v>
      </c>
      <c r="K94">
        <f>SUMPRODUCT((AtractivoAlternativas!$A$2:$A$931=$A94)*AtractivoAlternativas!$C$2:$C$931*COUNTIFS(Alternativas!$A$2:$A$51,AtractivoAlternativas!$B$2:$B$931,Alternativas!$B$2:$B$51,K$2))</f>
        <v>0</v>
      </c>
      <c r="L94">
        <f>SUMPRODUCT((AtractivoAlternativas!$A$2:$A$931=$A94)*AtractivoAlternativas!$C$2:$C$931*COUNTIFS(Alternativas!$A$2:$A$51,AtractivoAlternativas!$B$2:$B$931,Alternativas!$B$2:$B$51,L$2))</f>
        <v>0</v>
      </c>
      <c r="M94">
        <f>SUMIFS(AtractivoSitios!$C:$C,AtractivoSitios!$A:$A,$A94,AtractivoSitios!$B:$B,M$2)</f>
        <v>0</v>
      </c>
      <c r="N94">
        <f>SUMIFS(AtractivoSitios!$C:$C,AtractivoSitios!$A:$A,$A94,AtractivoSitios!$B:$B,N$2)</f>
        <v>0</v>
      </c>
      <c r="O94">
        <f>SUMIFS(AtractivoSitios!$C:$C,AtractivoSitios!$A:$A,$A94,AtractivoSitios!$B:$B,O$2)</f>
        <v>0</v>
      </c>
      <c r="P94">
        <f>SUMIFS(AtractivoSitios!$C:$C,AtractivoSitios!$A:$A,$A94,AtractivoSitios!$B:$B,P$2)</f>
        <v>0</v>
      </c>
      <c r="Q94">
        <f>SUMIFS(AtractivoSitios!$C:$C,AtractivoSitios!$A:$A,$A94,AtractivoSitios!$B:$B,Q$2)</f>
        <v>0</v>
      </c>
      <c r="R94">
        <f>SUMIFS(AtractivoSitios!$C:$C,AtractivoSitios!$A:$A,$A94,AtractivoSitios!$B:$B,R$2)</f>
        <v>0.44394709666006776</v>
      </c>
      <c r="S94">
        <f>SUMIFS(AtractivoSitios!$C:$C,AtractivoSitios!$A:$A,$A94,AtractivoSitios!$B:$B,S$2)</f>
        <v>0.4284168795774565</v>
      </c>
      <c r="T94">
        <f>SUM(M94:S94)</f>
        <v>0.87236397623752426</v>
      </c>
      <c r="U94">
        <f>C94/(AD$4+H94+$T94)</f>
        <v>1.9105137126801711E-4</v>
      </c>
      <c r="V94">
        <f>D94/(AE$4+I94+$T94)</f>
        <v>5.5416702817346536E-5</v>
      </c>
      <c r="W94">
        <f>E94/(AF$4+J94+$T94)</f>
        <v>3.0899278302479091E-4</v>
      </c>
      <c r="X94">
        <f>F94/(AG$4+K94+$T94)</f>
        <v>1.7394377241953868E-5</v>
      </c>
      <c r="Y94">
        <f>G94/(AH$4+L94+$T94)</f>
        <v>1.0792451343608872E-5</v>
      </c>
    </row>
    <row r="95" spans="1:25">
      <c r="A95" t="s">
        <v>141</v>
      </c>
      <c r="B95">
        <f>SUMIFS(Sectores!$C:$C,Sectores!$A:$A,$A95)</f>
        <v>4352</v>
      </c>
      <c r="C95">
        <f>SUMIFS(Generacion!$C:$C,Generacion!$A:$A,$A95,Generacion!$B:$B,C$2)</f>
        <v>4.3533876706587399E-2</v>
      </c>
      <c r="D95">
        <f>SUMIFS(Generacion!$C:$C,Generacion!$A:$A,$A95,Generacion!$B:$B,D$2)</f>
        <v>3.7870933395161399E-2</v>
      </c>
      <c r="E95">
        <f>SUMIFS(Generacion!$C:$C,Generacion!$A:$A,$A95,Generacion!$B:$B,E$2)</f>
        <v>1.34494903646368E-2</v>
      </c>
      <c r="F95">
        <f>SUMIFS(Generacion!$C:$C,Generacion!$A:$A,$A95,Generacion!$B:$B,F$2)</f>
        <v>3.5393395696412498E-3</v>
      </c>
      <c r="G95">
        <f>SUMIFS(Generacion!$C:$C,Generacion!$A:$A,$A95,Generacion!$B:$B,G$2)</f>
        <v>2.4775376987488701E-3</v>
      </c>
      <c r="H95">
        <f>SUMPRODUCT((AtractivoAlternativas!$A$2:$A$931=$A95)*AtractivoAlternativas!$C$2:$C$931*COUNTIFS(Alternativas!$A$2:$A$51,AtractivoAlternativas!$B$2:$B$931,Alternativas!$B$2:$B$51,H$2))</f>
        <v>1.4350691786129479</v>
      </c>
      <c r="I95">
        <f>SUMPRODUCT((AtractivoAlternativas!$A$2:$A$931=$A95)*AtractivoAlternativas!$C$2:$C$931*COUNTIFS(Alternativas!$A$2:$A$51,AtractivoAlternativas!$B$2:$B$931,Alternativas!$B$2:$B$51,I$2))</f>
        <v>2.9235257963645251</v>
      </c>
      <c r="J95">
        <f>SUMPRODUCT((AtractivoAlternativas!$A$2:$A$931=$A95)*AtractivoAlternativas!$C$2:$C$931*COUNTIFS(Alternativas!$A$2:$A$51,AtractivoAlternativas!$B$2:$B$931,Alternativas!$B$2:$B$51,J$2))</f>
        <v>1.3136313182305406</v>
      </c>
      <c r="K95">
        <f>SUMPRODUCT((AtractivoAlternativas!$A$2:$A$931=$A95)*AtractivoAlternativas!$C$2:$C$931*COUNTIFS(Alternativas!$A$2:$A$51,AtractivoAlternativas!$B$2:$B$931,Alternativas!$B$2:$B$51,K$2))</f>
        <v>0</v>
      </c>
      <c r="L95">
        <f>SUMPRODUCT((AtractivoAlternativas!$A$2:$A$931=$A95)*AtractivoAlternativas!$C$2:$C$931*COUNTIFS(Alternativas!$A$2:$A$51,AtractivoAlternativas!$B$2:$B$931,Alternativas!$B$2:$B$51,L$2))</f>
        <v>0</v>
      </c>
      <c r="M95">
        <f>SUMIFS(AtractivoSitios!$C:$C,AtractivoSitios!$A:$A,$A95,AtractivoSitios!$B:$B,M$2)</f>
        <v>0</v>
      </c>
      <c r="N95">
        <f>SUMIFS(AtractivoSitios!$C:$C,AtractivoSitios!$A:$A,$A95,AtractivoSitios!$B:$B,N$2)</f>
        <v>0</v>
      </c>
      <c r="O95">
        <f>SUMIFS(AtractivoSitios!$C:$C,AtractivoSitios!$A:$A,$A95,AtractivoSitios!$B:$B,O$2)</f>
        <v>0</v>
      </c>
      <c r="P95">
        <f>SUMIFS(AtractivoSitios!$C:$C,AtractivoSitios!$A:$A,$A95,AtractivoSitios!$B:$B,P$2)</f>
        <v>0</v>
      </c>
      <c r="Q95">
        <f>SUMIFS(AtractivoSitios!$C:$C,AtractivoSitios!$A:$A,$A95,AtractivoSitios!$B:$B,Q$2)</f>
        <v>0</v>
      </c>
      <c r="R95">
        <f>SUMIFS(AtractivoSitios!$C:$C,AtractivoSitios!$A:$A,$A95,AtractivoSitios!$B:$B,R$2)</f>
        <v>0.5109367396502984</v>
      </c>
      <c r="S95">
        <f>SUMIFS(AtractivoSitios!$C:$C,AtractivoSitios!$A:$A,$A95,AtractivoSitios!$B:$B,S$2)</f>
        <v>0.6202551648721929</v>
      </c>
      <c r="T95">
        <f>SUM(M95:S95)</f>
        <v>1.1311919045224914</v>
      </c>
      <c r="U95">
        <f>C95/(AD$4+H95+$T95)</f>
        <v>1.9098924909128395E-4</v>
      </c>
      <c r="V95">
        <f>D95/(AE$4+I95+$T95)</f>
        <v>5.537928930032452E-5</v>
      </c>
      <c r="W95">
        <f>E95/(AF$4+J95+$T95)</f>
        <v>3.1005419271477598E-4</v>
      </c>
      <c r="X95">
        <f>F95/(AG$4+K95+$T95)</f>
        <v>1.7372279159545322E-5</v>
      </c>
      <c r="Y95">
        <f>G95/(AH$4+L95+$T95)</f>
        <v>1.0780296715414227E-5</v>
      </c>
    </row>
    <row r="96" spans="1:25">
      <c r="A96" t="s">
        <v>142</v>
      </c>
      <c r="B96">
        <f>SUMIFS(Sectores!$C:$C,Sectores!$A:$A,$A96)</f>
        <v>3555</v>
      </c>
      <c r="C96">
        <f>SUMIFS(Generacion!$C:$C,Generacion!$A:$A,$A96,Generacion!$B:$B,C$2)</f>
        <v>4.3533876706587399E-2</v>
      </c>
      <c r="D96">
        <f>SUMIFS(Generacion!$C:$C,Generacion!$A:$A,$A96,Generacion!$B:$B,D$2)</f>
        <v>3.7870933395161399E-2</v>
      </c>
      <c r="E96">
        <f>SUMIFS(Generacion!$C:$C,Generacion!$A:$A,$A96,Generacion!$B:$B,E$2)</f>
        <v>1.34494903646368E-2</v>
      </c>
      <c r="F96">
        <f>SUMIFS(Generacion!$C:$C,Generacion!$A:$A,$A96,Generacion!$B:$B,F$2)</f>
        <v>3.5393395696412498E-3</v>
      </c>
      <c r="G96">
        <f>SUMIFS(Generacion!$C:$C,Generacion!$A:$A,$A96,Generacion!$B:$B,G$2)</f>
        <v>2.4775376987488701E-3</v>
      </c>
      <c r="H96">
        <f>SUMPRODUCT((AtractivoAlternativas!$A$2:$A$931=$A96)*AtractivoAlternativas!$C$2:$C$931*COUNTIFS(Alternativas!$A$2:$A$51,AtractivoAlternativas!$B$2:$B$931,Alternativas!$B$2:$B$51,H$2))</f>
        <v>1.2679756576752026</v>
      </c>
      <c r="I96">
        <f>SUMPRODUCT((AtractivoAlternativas!$A$2:$A$931=$A96)*AtractivoAlternativas!$C$2:$C$931*COUNTIFS(Alternativas!$A$2:$A$51,AtractivoAlternativas!$B$2:$B$931,Alternativas!$B$2:$B$51,I$2))</f>
        <v>2.557268125040792</v>
      </c>
      <c r="J96">
        <f>SUMPRODUCT((AtractivoAlternativas!$A$2:$A$931=$A96)*AtractivoAlternativas!$C$2:$C$931*COUNTIFS(Alternativas!$A$2:$A$51,AtractivoAlternativas!$B$2:$B$931,Alternativas!$B$2:$B$51,J$2))</f>
        <v>1.6717887703460075</v>
      </c>
      <c r="K96">
        <f>SUMPRODUCT((AtractivoAlternativas!$A$2:$A$931=$A96)*AtractivoAlternativas!$C$2:$C$931*COUNTIFS(Alternativas!$A$2:$A$51,AtractivoAlternativas!$B$2:$B$931,Alternativas!$B$2:$B$51,K$2))</f>
        <v>0</v>
      </c>
      <c r="L96">
        <f>SUMPRODUCT((AtractivoAlternativas!$A$2:$A$931=$A96)*AtractivoAlternativas!$C$2:$C$931*COUNTIFS(Alternativas!$A$2:$A$51,AtractivoAlternativas!$B$2:$B$931,Alternativas!$B$2:$B$51,L$2))</f>
        <v>0</v>
      </c>
      <c r="M96">
        <f>SUMIFS(AtractivoSitios!$C:$C,AtractivoSitios!$A:$A,$A96,AtractivoSitios!$B:$B,M$2)</f>
        <v>0</v>
      </c>
      <c r="N96">
        <f>SUMIFS(AtractivoSitios!$C:$C,AtractivoSitios!$A:$A,$A96,AtractivoSitios!$B:$B,N$2)</f>
        <v>0</v>
      </c>
      <c r="O96">
        <f>SUMIFS(AtractivoSitios!$C:$C,AtractivoSitios!$A:$A,$A96,AtractivoSitios!$B:$B,O$2)</f>
        <v>0</v>
      </c>
      <c r="P96">
        <f>SUMIFS(AtractivoSitios!$C:$C,AtractivoSitios!$A:$A,$A96,AtractivoSitios!$B:$B,P$2)</f>
        <v>0</v>
      </c>
      <c r="Q96">
        <f>SUMIFS(AtractivoSitios!$C:$C,AtractivoSitios!$A:$A,$A96,AtractivoSitios!$B:$B,Q$2)</f>
        <v>0</v>
      </c>
      <c r="R96">
        <f>SUMIFS(AtractivoSitios!$C:$C,AtractivoSitios!$A:$A,$A96,AtractivoSitios!$B:$B,R$2)</f>
        <v>0.40788419165268802</v>
      </c>
      <c r="S96">
        <f>SUMIFS(AtractivoSitios!$C:$C,AtractivoSitios!$A:$A,$A96,AtractivoSitios!$B:$B,S$2)</f>
        <v>0.83423037178562343</v>
      </c>
      <c r="T96">
        <f>SUM(M96:S96)</f>
        <v>1.2421145634383115</v>
      </c>
      <c r="U96">
        <f>C96/(AD$4+H96+$T96)</f>
        <v>1.9103632607447813E-4</v>
      </c>
      <c r="V96">
        <f>D96/(AE$4+I96+$T96)</f>
        <v>5.5399974575613654E-5</v>
      </c>
      <c r="W96">
        <f>E96/(AF$4+J96+$T96)</f>
        <v>3.067371944778447E-4</v>
      </c>
      <c r="X96">
        <f>F96/(AG$4+K96+$T96)</f>
        <v>1.7362826037749755E-5</v>
      </c>
      <c r="Y96">
        <f>G96/(AH$4+L96+$T96)</f>
        <v>1.0775096134378137E-5</v>
      </c>
    </row>
    <row r="97" spans="1:25">
      <c r="A97" t="s">
        <v>143</v>
      </c>
      <c r="B97">
        <f>SUMIFS(Sectores!$C:$C,Sectores!$A:$A,$A97)</f>
        <v>5192</v>
      </c>
      <c r="C97">
        <f>SUMIFS(Generacion!$C:$C,Generacion!$A:$A,$A97,Generacion!$B:$B,C$2)</f>
        <v>4.3533876706587399E-2</v>
      </c>
      <c r="D97">
        <f>SUMIFS(Generacion!$C:$C,Generacion!$A:$A,$A97,Generacion!$B:$B,D$2)</f>
        <v>3.7870933395161399E-2</v>
      </c>
      <c r="E97">
        <f>SUMIFS(Generacion!$C:$C,Generacion!$A:$A,$A97,Generacion!$B:$B,E$2)</f>
        <v>1.34494903646368E-2</v>
      </c>
      <c r="F97">
        <f>SUMIFS(Generacion!$C:$C,Generacion!$A:$A,$A97,Generacion!$B:$B,F$2)</f>
        <v>3.5393395696412498E-3</v>
      </c>
      <c r="G97">
        <f>SUMIFS(Generacion!$C:$C,Generacion!$A:$A,$A97,Generacion!$B:$B,G$2)</f>
        <v>2.4775376987488701E-3</v>
      </c>
      <c r="H97">
        <f>SUMPRODUCT((AtractivoAlternativas!$A$2:$A$931=$A97)*AtractivoAlternativas!$C$2:$C$931*COUNTIFS(Alternativas!$A$2:$A$51,AtractivoAlternativas!$B$2:$B$931,Alternativas!$B$2:$B$51,H$2))</f>
        <v>0.90944851777030233</v>
      </c>
      <c r="I97">
        <f>SUMPRODUCT((AtractivoAlternativas!$A$2:$A$931=$A97)*AtractivoAlternativas!$C$2:$C$931*COUNTIFS(Alternativas!$A$2:$A$51,AtractivoAlternativas!$B$2:$B$931,Alternativas!$B$2:$B$51,I$2))</f>
        <v>1.4527147702946308</v>
      </c>
      <c r="J97">
        <f>SUMPRODUCT((AtractivoAlternativas!$A$2:$A$931=$A97)*AtractivoAlternativas!$C$2:$C$931*COUNTIFS(Alternativas!$A$2:$A$51,AtractivoAlternativas!$B$2:$B$931,Alternativas!$B$2:$B$51,J$2))</f>
        <v>1.4533920187872935</v>
      </c>
      <c r="K97">
        <f>SUMPRODUCT((AtractivoAlternativas!$A$2:$A$931=$A97)*AtractivoAlternativas!$C$2:$C$931*COUNTIFS(Alternativas!$A$2:$A$51,AtractivoAlternativas!$B$2:$B$931,Alternativas!$B$2:$B$51,K$2))</f>
        <v>0</v>
      </c>
      <c r="L97">
        <f>SUMPRODUCT((AtractivoAlternativas!$A$2:$A$931=$A97)*AtractivoAlternativas!$C$2:$C$931*COUNTIFS(Alternativas!$A$2:$A$51,AtractivoAlternativas!$B$2:$B$931,Alternativas!$B$2:$B$51,L$2))</f>
        <v>0</v>
      </c>
      <c r="M97">
        <f>SUMIFS(AtractivoSitios!$C:$C,AtractivoSitios!$A:$A,$A97,AtractivoSitios!$B:$B,M$2)</f>
        <v>0</v>
      </c>
      <c r="N97">
        <f>SUMIFS(AtractivoSitios!$C:$C,AtractivoSitios!$A:$A,$A97,AtractivoSitios!$B:$B,N$2)</f>
        <v>0</v>
      </c>
      <c r="O97">
        <f>SUMIFS(AtractivoSitios!$C:$C,AtractivoSitios!$A:$A,$A97,AtractivoSitios!$B:$B,O$2)</f>
        <v>0</v>
      </c>
      <c r="P97">
        <f>SUMIFS(AtractivoSitios!$C:$C,AtractivoSitios!$A:$A,$A97,AtractivoSitios!$B:$B,P$2)</f>
        <v>0</v>
      </c>
      <c r="Q97">
        <f>SUMIFS(AtractivoSitios!$C:$C,AtractivoSitios!$A:$A,$A97,AtractivoSitios!$B:$B,Q$2)</f>
        <v>0</v>
      </c>
      <c r="R97">
        <f>SUMIFS(AtractivoSitios!$C:$C,AtractivoSitios!$A:$A,$A97,AtractivoSitios!$B:$B,R$2)</f>
        <v>0.37767656238610131</v>
      </c>
      <c r="S97">
        <f>SUMIFS(AtractivoSitios!$C:$C,AtractivoSitios!$A:$A,$A97,AtractivoSitios!$B:$B,S$2)</f>
        <v>0.58792587428964094</v>
      </c>
      <c r="T97">
        <f>SUM(M97:S97)</f>
        <v>0.9656024366757423</v>
      </c>
      <c r="U97">
        <f>C97/(AD$4+H97+$T97)</f>
        <v>1.9157017341908179E-4</v>
      </c>
      <c r="V97">
        <f>D97/(AE$4+I97+$T97)</f>
        <v>5.5512126231156482E-5</v>
      </c>
      <c r="W97">
        <f>E97/(AF$4+J97+$T97)</f>
        <v>3.1023892029444049E-4</v>
      </c>
      <c r="X97">
        <f>F97/(AG$4+K97+$T97)</f>
        <v>1.7386410299665556E-5</v>
      </c>
      <c r="Y97">
        <f>G97/(AH$4+L97+$T97)</f>
        <v>1.0788069683712404E-5</v>
      </c>
    </row>
    <row r="98" spans="1:25">
      <c r="A98" t="s">
        <v>144</v>
      </c>
      <c r="B98">
        <f>SUMIFS(Sectores!$C:$C,Sectores!$A:$A,$A98)</f>
        <v>4664</v>
      </c>
      <c r="C98">
        <f>SUMIFS(Generacion!$C:$C,Generacion!$A:$A,$A98,Generacion!$B:$B,C$2)</f>
        <v>4.3533876706587399E-2</v>
      </c>
      <c r="D98">
        <f>SUMIFS(Generacion!$C:$C,Generacion!$A:$A,$A98,Generacion!$B:$B,D$2)</f>
        <v>3.7870933395161399E-2</v>
      </c>
      <c r="E98">
        <f>SUMIFS(Generacion!$C:$C,Generacion!$A:$A,$A98,Generacion!$B:$B,E$2)</f>
        <v>1.34494903646368E-2</v>
      </c>
      <c r="F98">
        <f>SUMIFS(Generacion!$C:$C,Generacion!$A:$A,$A98,Generacion!$B:$B,F$2)</f>
        <v>3.5393395696412498E-3</v>
      </c>
      <c r="G98">
        <f>SUMIFS(Generacion!$C:$C,Generacion!$A:$A,$A98,Generacion!$B:$B,G$2)</f>
        <v>2.4775376987488701E-3</v>
      </c>
      <c r="H98">
        <f>SUMPRODUCT((AtractivoAlternativas!$A$2:$A$931=$A98)*AtractivoAlternativas!$C$2:$C$931*COUNTIFS(Alternativas!$A$2:$A$51,AtractivoAlternativas!$B$2:$B$931,Alternativas!$B$2:$B$51,H$2))</f>
        <v>1.6169298836688484</v>
      </c>
      <c r="I98">
        <f>SUMPRODUCT((AtractivoAlternativas!$A$2:$A$931=$A98)*AtractivoAlternativas!$C$2:$C$931*COUNTIFS(Alternativas!$A$2:$A$51,AtractivoAlternativas!$B$2:$B$931,Alternativas!$B$2:$B$51,I$2))</f>
        <v>3.4605416444986918</v>
      </c>
      <c r="J98">
        <f>SUMPRODUCT((AtractivoAlternativas!$A$2:$A$931=$A98)*AtractivoAlternativas!$C$2:$C$931*COUNTIFS(Alternativas!$A$2:$A$51,AtractivoAlternativas!$B$2:$B$931,Alternativas!$B$2:$B$51,J$2))</f>
        <v>1.0739899574794867</v>
      </c>
      <c r="K98">
        <f>SUMPRODUCT((AtractivoAlternativas!$A$2:$A$931=$A98)*AtractivoAlternativas!$C$2:$C$931*COUNTIFS(Alternativas!$A$2:$A$51,AtractivoAlternativas!$B$2:$B$931,Alternativas!$B$2:$B$51,K$2))</f>
        <v>0</v>
      </c>
      <c r="L98">
        <f>SUMPRODUCT((AtractivoAlternativas!$A$2:$A$931=$A98)*AtractivoAlternativas!$C$2:$C$931*COUNTIFS(Alternativas!$A$2:$A$51,AtractivoAlternativas!$B$2:$B$931,Alternativas!$B$2:$B$51,L$2))</f>
        <v>0</v>
      </c>
      <c r="M98">
        <f>SUMIFS(AtractivoSitios!$C:$C,AtractivoSitios!$A:$A,$A98,AtractivoSitios!$B:$B,M$2)</f>
        <v>0</v>
      </c>
      <c r="N98">
        <f>SUMIFS(AtractivoSitios!$C:$C,AtractivoSitios!$A:$A,$A98,AtractivoSitios!$B:$B,N$2)</f>
        <v>0</v>
      </c>
      <c r="O98">
        <f>SUMIFS(AtractivoSitios!$C:$C,AtractivoSitios!$A:$A,$A98,AtractivoSitios!$B:$B,O$2)</f>
        <v>0</v>
      </c>
      <c r="P98">
        <f>SUMIFS(AtractivoSitios!$C:$C,AtractivoSitios!$A:$A,$A98,AtractivoSitios!$B:$B,P$2)</f>
        <v>0</v>
      </c>
      <c r="Q98">
        <f>SUMIFS(AtractivoSitios!$C:$C,AtractivoSitios!$A:$A,$A98,AtractivoSitios!$B:$B,Q$2)</f>
        <v>0</v>
      </c>
      <c r="R98">
        <f>SUMIFS(AtractivoSitios!$C:$C,AtractivoSitios!$A:$A,$A98,AtractivoSitios!$B:$B,R$2)</f>
        <v>0.58139032981485195</v>
      </c>
      <c r="S98">
        <f>SUMIFS(AtractivoSitios!$C:$C,AtractivoSitios!$A:$A,$A98,AtractivoSitios!$B:$B,S$2)</f>
        <v>0.74733082710582421</v>
      </c>
      <c r="T98">
        <f>SUM(M98:S98)</f>
        <v>1.3287211569206763</v>
      </c>
      <c r="U98">
        <f>C98/(AD$4+H98+$T98)</f>
        <v>1.9067188771172732E-4</v>
      </c>
      <c r="V98">
        <f>D98/(AE$4+I98+$T98)</f>
        <v>5.5319868161416458E-5</v>
      </c>
      <c r="W98">
        <f>E98/(AF$4+J98+$T98)</f>
        <v>3.103554920687319E-4</v>
      </c>
      <c r="X98">
        <f>F98/(AG$4+K98+$T98)</f>
        <v>1.7355452344332536E-5</v>
      </c>
      <c r="Y98">
        <f>G98/(AH$4+L98+$T98)</f>
        <v>1.0771039092964555E-5</v>
      </c>
    </row>
    <row r="99" spans="1:25">
      <c r="A99" t="s">
        <v>145</v>
      </c>
      <c r="B99">
        <f>SUMIFS(Sectores!$C:$C,Sectores!$A:$A,$A99)</f>
        <v>3681</v>
      </c>
      <c r="C99">
        <f>SUMIFS(Generacion!$C:$C,Generacion!$A:$A,$A99,Generacion!$B:$B,C$2)</f>
        <v>4.3533876706587399E-2</v>
      </c>
      <c r="D99">
        <f>SUMIFS(Generacion!$C:$C,Generacion!$A:$A,$A99,Generacion!$B:$B,D$2)</f>
        <v>3.7870933395161399E-2</v>
      </c>
      <c r="E99">
        <f>SUMIFS(Generacion!$C:$C,Generacion!$A:$A,$A99,Generacion!$B:$B,E$2)</f>
        <v>1.34494903646368E-2</v>
      </c>
      <c r="F99">
        <f>SUMIFS(Generacion!$C:$C,Generacion!$A:$A,$A99,Generacion!$B:$B,F$2)</f>
        <v>3.5393395696412498E-3</v>
      </c>
      <c r="G99">
        <f>SUMIFS(Generacion!$C:$C,Generacion!$A:$A,$A99,Generacion!$B:$B,G$2)</f>
        <v>2.4775376987488701E-3</v>
      </c>
      <c r="H99">
        <f>SUMPRODUCT((AtractivoAlternativas!$A$2:$A$931=$A99)*AtractivoAlternativas!$C$2:$C$931*COUNTIFS(Alternativas!$A$2:$A$51,AtractivoAlternativas!$B$2:$B$931,Alternativas!$B$2:$B$51,H$2))</f>
        <v>1.8428756200431837</v>
      </c>
      <c r="I99">
        <f>SUMPRODUCT((AtractivoAlternativas!$A$2:$A$931=$A99)*AtractivoAlternativas!$C$2:$C$931*COUNTIFS(Alternativas!$A$2:$A$51,AtractivoAlternativas!$B$2:$B$931,Alternativas!$B$2:$B$51,I$2))</f>
        <v>3.3704247732247765</v>
      </c>
      <c r="J99">
        <f>SUMPRODUCT((AtractivoAlternativas!$A$2:$A$931=$A99)*AtractivoAlternativas!$C$2:$C$931*COUNTIFS(Alternativas!$A$2:$A$51,AtractivoAlternativas!$B$2:$B$931,Alternativas!$B$2:$B$51,J$2))</f>
        <v>1.534880079126121</v>
      </c>
      <c r="K99">
        <f>SUMPRODUCT((AtractivoAlternativas!$A$2:$A$931=$A99)*AtractivoAlternativas!$C$2:$C$931*COUNTIFS(Alternativas!$A$2:$A$51,AtractivoAlternativas!$B$2:$B$931,Alternativas!$B$2:$B$51,K$2))</f>
        <v>0</v>
      </c>
      <c r="L99">
        <f>SUMPRODUCT((AtractivoAlternativas!$A$2:$A$931=$A99)*AtractivoAlternativas!$C$2:$C$931*COUNTIFS(Alternativas!$A$2:$A$51,AtractivoAlternativas!$B$2:$B$931,Alternativas!$B$2:$B$51,L$2))</f>
        <v>0</v>
      </c>
      <c r="M99">
        <f>SUMIFS(AtractivoSitios!$C:$C,AtractivoSitios!$A:$A,$A99,AtractivoSitios!$B:$B,M$2)</f>
        <v>0</v>
      </c>
      <c r="N99">
        <f>SUMIFS(AtractivoSitios!$C:$C,AtractivoSitios!$A:$A,$A99,AtractivoSitios!$B:$B,N$2)</f>
        <v>0</v>
      </c>
      <c r="O99">
        <f>SUMIFS(AtractivoSitios!$C:$C,AtractivoSitios!$A:$A,$A99,AtractivoSitios!$B:$B,O$2)</f>
        <v>0</v>
      </c>
      <c r="P99">
        <f>SUMIFS(AtractivoSitios!$C:$C,AtractivoSitios!$A:$A,$A99,AtractivoSitios!$B:$B,P$2)</f>
        <v>0</v>
      </c>
      <c r="Q99">
        <f>SUMIFS(AtractivoSitios!$C:$C,AtractivoSitios!$A:$A,$A99,AtractivoSitios!$B:$B,Q$2)</f>
        <v>0</v>
      </c>
      <c r="R99">
        <f>SUMIFS(AtractivoSitios!$C:$C,AtractivoSitios!$A:$A,$A99,AtractivoSitios!$B:$B,R$2)</f>
        <v>0.54317279828487453</v>
      </c>
      <c r="S99">
        <f>SUMIFS(AtractivoSitios!$C:$C,AtractivoSitios!$A:$A,$A99,AtractivoSitios!$B:$B,S$2)</f>
        <v>0.803893244148284</v>
      </c>
      <c r="T99">
        <f>SUM(M99:S99)</f>
        <v>1.3470660424331586</v>
      </c>
      <c r="U99">
        <f>C99/(AD$4+H99+$T99)</f>
        <v>1.9046809513672378E-4</v>
      </c>
      <c r="V99">
        <f>D99/(AE$4+I99+$T99)</f>
        <v>5.5325668545606085E-5</v>
      </c>
      <c r="W99">
        <f>E99/(AF$4+J99+$T99)</f>
        <v>3.0696091848291229E-4</v>
      </c>
      <c r="X99">
        <f>F99/(AG$4+K99+$T99)</f>
        <v>1.7353891262809236E-5</v>
      </c>
      <c r="Y99">
        <f>G99/(AH$4+L99+$T99)</f>
        <v>1.07701801282908E-5</v>
      </c>
    </row>
    <row r="100" spans="1:25">
      <c r="A100" t="s">
        <v>146</v>
      </c>
      <c r="B100">
        <f>SUMIFS(Sectores!$C:$C,Sectores!$A:$A,$A100)</f>
        <v>3850</v>
      </c>
      <c r="C100">
        <f>SUMIFS(Generacion!$C:$C,Generacion!$A:$A,$A100,Generacion!$B:$B,C$2)</f>
        <v>4.3533876706587399E-2</v>
      </c>
      <c r="D100">
        <f>SUMIFS(Generacion!$C:$C,Generacion!$A:$A,$A100,Generacion!$B:$B,D$2)</f>
        <v>3.7870933395161399E-2</v>
      </c>
      <c r="E100">
        <f>SUMIFS(Generacion!$C:$C,Generacion!$A:$A,$A100,Generacion!$B:$B,E$2)</f>
        <v>1.34494903646368E-2</v>
      </c>
      <c r="F100">
        <f>SUMIFS(Generacion!$C:$C,Generacion!$A:$A,$A100,Generacion!$B:$B,F$2)</f>
        <v>3.5393395696412498E-3</v>
      </c>
      <c r="G100">
        <f>SUMIFS(Generacion!$C:$C,Generacion!$A:$A,$A100,Generacion!$B:$B,G$2)</f>
        <v>2.4775376987488701E-3</v>
      </c>
      <c r="H100">
        <f>SUMPRODUCT((AtractivoAlternativas!$A$2:$A$931=$A100)*AtractivoAlternativas!$C$2:$C$931*COUNTIFS(Alternativas!$A$2:$A$51,AtractivoAlternativas!$B$2:$B$931,Alternativas!$B$2:$B$51,H$2))</f>
        <v>1.3197550027378255</v>
      </c>
      <c r="I100">
        <f>SUMPRODUCT((AtractivoAlternativas!$A$2:$A$931=$A100)*AtractivoAlternativas!$C$2:$C$931*COUNTIFS(Alternativas!$A$2:$A$51,AtractivoAlternativas!$B$2:$B$931,Alternativas!$B$2:$B$51,I$2))</f>
        <v>2.9350680985709481</v>
      </c>
      <c r="J100">
        <f>SUMPRODUCT((AtractivoAlternativas!$A$2:$A$931=$A100)*AtractivoAlternativas!$C$2:$C$931*COUNTIFS(Alternativas!$A$2:$A$51,AtractivoAlternativas!$B$2:$B$931,Alternativas!$B$2:$B$51,J$2))</f>
        <v>1.1512222451825771</v>
      </c>
      <c r="K100">
        <f>SUMPRODUCT((AtractivoAlternativas!$A$2:$A$931=$A100)*AtractivoAlternativas!$C$2:$C$931*COUNTIFS(Alternativas!$A$2:$A$51,AtractivoAlternativas!$B$2:$B$931,Alternativas!$B$2:$B$51,K$2))</f>
        <v>0</v>
      </c>
      <c r="L100">
        <f>SUMPRODUCT((AtractivoAlternativas!$A$2:$A$931=$A100)*AtractivoAlternativas!$C$2:$C$931*COUNTIFS(Alternativas!$A$2:$A$51,AtractivoAlternativas!$B$2:$B$931,Alternativas!$B$2:$B$51,L$2))</f>
        <v>0</v>
      </c>
      <c r="M100">
        <f>SUMIFS(AtractivoSitios!$C:$C,AtractivoSitios!$A:$A,$A100,AtractivoSitios!$B:$B,M$2)</f>
        <v>0</v>
      </c>
      <c r="N100">
        <f>SUMIFS(AtractivoSitios!$C:$C,AtractivoSitios!$A:$A,$A100,AtractivoSitios!$B:$B,N$2)</f>
        <v>0</v>
      </c>
      <c r="O100">
        <f>SUMIFS(AtractivoSitios!$C:$C,AtractivoSitios!$A:$A,$A100,AtractivoSitios!$B:$B,O$2)</f>
        <v>0</v>
      </c>
      <c r="P100">
        <f>SUMIFS(AtractivoSitios!$C:$C,AtractivoSitios!$A:$A,$A100,AtractivoSitios!$B:$B,P$2)</f>
        <v>0</v>
      </c>
      <c r="Q100">
        <f>SUMIFS(AtractivoSitios!$C:$C,AtractivoSitios!$A:$A,$A100,AtractivoSitios!$B:$B,Q$2)</f>
        <v>0</v>
      </c>
      <c r="R100">
        <f>SUMIFS(AtractivoSitios!$C:$C,AtractivoSitios!$A:$A,$A100,AtractivoSitios!$B:$B,R$2)</f>
        <v>0</v>
      </c>
      <c r="S100">
        <f>SUMIFS(AtractivoSitios!$C:$C,AtractivoSitios!$A:$A,$A100,AtractivoSitios!$B:$B,S$2)</f>
        <v>0.77045957139537347</v>
      </c>
      <c r="T100">
        <f>SUM(M100:S100)</f>
        <v>0.77045957139537347</v>
      </c>
      <c r="U100">
        <f>C100/(AD$4+H100+$T100)</f>
        <v>1.9138896170115894E-4</v>
      </c>
      <c r="V100">
        <f>D100/(AE$4+I100+$T100)</f>
        <v>5.5407581870523721E-5</v>
      </c>
      <c r="W100">
        <f>E100/(AF$4+J100+$T100)</f>
        <v>3.1383912364093213E-4</v>
      </c>
      <c r="X100">
        <f>F100/(AG$4+K100+$T100)</f>
        <v>1.7403093017780296E-5</v>
      </c>
      <c r="Y100">
        <f>G100/(AH$4+L100+$T100)</f>
        <v>1.0797244324677626E-5</v>
      </c>
    </row>
    <row r="101" spans="1:25">
      <c r="A101" t="s">
        <v>147</v>
      </c>
      <c r="B101">
        <f>SUMIFS(Sectores!$C:$C,Sectores!$A:$A,$A101)</f>
        <v>5150</v>
      </c>
      <c r="C101">
        <f>SUMIFS(Generacion!$C:$C,Generacion!$A:$A,$A101,Generacion!$B:$B,C$2)</f>
        <v>4.3533876706587399E-2</v>
      </c>
      <c r="D101">
        <f>SUMIFS(Generacion!$C:$C,Generacion!$A:$A,$A101,Generacion!$B:$B,D$2)</f>
        <v>3.7870933395161399E-2</v>
      </c>
      <c r="E101">
        <f>SUMIFS(Generacion!$C:$C,Generacion!$A:$A,$A101,Generacion!$B:$B,E$2)</f>
        <v>1.34494903646368E-2</v>
      </c>
      <c r="F101">
        <f>SUMIFS(Generacion!$C:$C,Generacion!$A:$A,$A101,Generacion!$B:$B,F$2)</f>
        <v>3.5393395696412498E-3</v>
      </c>
      <c r="G101">
        <f>SUMIFS(Generacion!$C:$C,Generacion!$A:$A,$A101,Generacion!$B:$B,G$2)</f>
        <v>2.4775376987488701E-3</v>
      </c>
      <c r="H101">
        <f>SUMPRODUCT((AtractivoAlternativas!$A$2:$A$931=$A101)*AtractivoAlternativas!$C$2:$C$931*COUNTIFS(Alternativas!$A$2:$A$51,AtractivoAlternativas!$B$2:$B$931,Alternativas!$B$2:$B$51,H$2))</f>
        <v>1.4014730949393863</v>
      </c>
      <c r="I101">
        <f>SUMPRODUCT((AtractivoAlternativas!$A$2:$A$931=$A101)*AtractivoAlternativas!$C$2:$C$931*COUNTIFS(Alternativas!$A$2:$A$51,AtractivoAlternativas!$B$2:$B$931,Alternativas!$B$2:$B$51,I$2))</f>
        <v>3.4186107620957413</v>
      </c>
      <c r="J101">
        <f>SUMPRODUCT((AtractivoAlternativas!$A$2:$A$931=$A101)*AtractivoAlternativas!$C$2:$C$931*COUNTIFS(Alternativas!$A$2:$A$51,AtractivoAlternativas!$B$2:$B$931,Alternativas!$B$2:$B$51,J$2))</f>
        <v>1.2054664184619683</v>
      </c>
      <c r="K101">
        <f>SUMPRODUCT((AtractivoAlternativas!$A$2:$A$931=$A101)*AtractivoAlternativas!$C$2:$C$931*COUNTIFS(Alternativas!$A$2:$A$51,AtractivoAlternativas!$B$2:$B$931,Alternativas!$B$2:$B$51,K$2))</f>
        <v>0</v>
      </c>
      <c r="L101">
        <f>SUMPRODUCT((AtractivoAlternativas!$A$2:$A$931=$A101)*AtractivoAlternativas!$C$2:$C$931*COUNTIFS(Alternativas!$A$2:$A$51,AtractivoAlternativas!$B$2:$B$931,Alternativas!$B$2:$B$51,L$2))</f>
        <v>0</v>
      </c>
      <c r="M101">
        <f>SUMIFS(AtractivoSitios!$C:$C,AtractivoSitios!$A:$A,$A101,AtractivoSitios!$B:$B,M$2)</f>
        <v>0</v>
      </c>
      <c r="N101">
        <f>SUMIFS(AtractivoSitios!$C:$C,AtractivoSitios!$A:$A,$A101,AtractivoSitios!$B:$B,N$2)</f>
        <v>0</v>
      </c>
      <c r="O101">
        <f>SUMIFS(AtractivoSitios!$C:$C,AtractivoSitios!$A:$A,$A101,AtractivoSitios!$B:$B,O$2)</f>
        <v>0</v>
      </c>
      <c r="P101">
        <f>SUMIFS(AtractivoSitios!$C:$C,AtractivoSitios!$A:$A,$A101,AtractivoSitios!$B:$B,P$2)</f>
        <v>0</v>
      </c>
      <c r="Q101">
        <f>SUMIFS(AtractivoSitios!$C:$C,AtractivoSitios!$A:$A,$A101,AtractivoSitios!$B:$B,Q$2)</f>
        <v>0</v>
      </c>
      <c r="R101">
        <f>SUMIFS(AtractivoSitios!$C:$C,AtractivoSitios!$A:$A,$A101,AtractivoSitios!$B:$B,R$2)</f>
        <v>0.41018913766208637</v>
      </c>
      <c r="S101">
        <f>SUMIFS(AtractivoSitios!$C:$C,AtractivoSitios!$A:$A,$A101,AtractivoSitios!$B:$B,S$2)</f>
        <v>0.92712791968189956</v>
      </c>
      <c r="T101">
        <f>SUM(M101:S101)</f>
        <v>1.3373170573439859</v>
      </c>
      <c r="U101">
        <f>C101/(AD$4+H101+$T101)</f>
        <v>1.9084479688432298E-4</v>
      </c>
      <c r="V101">
        <f>D101/(AE$4+I101+$T101)</f>
        <v>5.5322562037635165E-5</v>
      </c>
      <c r="W101">
        <f>E101/(AF$4+J101+$T101)</f>
        <v>3.0935557494884101E-4</v>
      </c>
      <c r="X101">
        <f>F101/(AG$4+K101+$T101)</f>
        <v>1.7354720830212099E-5</v>
      </c>
      <c r="Y101">
        <f>G101/(AH$4+L101+$T101)</f>
        <v>1.0770636589077152E-5</v>
      </c>
    </row>
    <row r="102" spans="1:25">
      <c r="A102" t="s">
        <v>148</v>
      </c>
      <c r="B102">
        <f>SUMIFS(Sectores!$C:$C,Sectores!$A:$A,$A102)</f>
        <v>5165</v>
      </c>
      <c r="C102">
        <f>SUMIFS(Generacion!$C:$C,Generacion!$A:$A,$A102,Generacion!$B:$B,C$2)</f>
        <v>4.3533876706587399E-2</v>
      </c>
      <c r="D102">
        <f>SUMIFS(Generacion!$C:$C,Generacion!$A:$A,$A102,Generacion!$B:$B,D$2)</f>
        <v>3.7870933395161399E-2</v>
      </c>
      <c r="E102">
        <f>SUMIFS(Generacion!$C:$C,Generacion!$A:$A,$A102,Generacion!$B:$B,E$2)</f>
        <v>1.34494903646368E-2</v>
      </c>
      <c r="F102">
        <f>SUMIFS(Generacion!$C:$C,Generacion!$A:$A,$A102,Generacion!$B:$B,F$2)</f>
        <v>3.5393395696412498E-3</v>
      </c>
      <c r="G102">
        <f>SUMIFS(Generacion!$C:$C,Generacion!$A:$A,$A102,Generacion!$B:$B,G$2)</f>
        <v>2.4775376987488701E-3</v>
      </c>
      <c r="H102">
        <f>SUMPRODUCT((AtractivoAlternativas!$A$2:$A$931=$A102)*AtractivoAlternativas!$C$2:$C$931*COUNTIFS(Alternativas!$A$2:$A$51,AtractivoAlternativas!$B$2:$B$931,Alternativas!$B$2:$B$51,H$2))</f>
        <v>1.6521913351855297</v>
      </c>
      <c r="I102">
        <f>SUMPRODUCT((AtractivoAlternativas!$A$2:$A$931=$A102)*AtractivoAlternativas!$C$2:$C$931*COUNTIFS(Alternativas!$A$2:$A$51,AtractivoAlternativas!$B$2:$B$931,Alternativas!$B$2:$B$51,I$2))</f>
        <v>3.4296860346066111</v>
      </c>
      <c r="J102">
        <f>SUMPRODUCT((AtractivoAlternativas!$A$2:$A$931=$A102)*AtractivoAlternativas!$C$2:$C$931*COUNTIFS(Alternativas!$A$2:$A$51,AtractivoAlternativas!$B$2:$B$931,Alternativas!$B$2:$B$51,J$2))</f>
        <v>0.49636373401597528</v>
      </c>
      <c r="K102">
        <f>SUMPRODUCT((AtractivoAlternativas!$A$2:$A$931=$A102)*AtractivoAlternativas!$C$2:$C$931*COUNTIFS(Alternativas!$A$2:$A$51,AtractivoAlternativas!$B$2:$B$931,Alternativas!$B$2:$B$51,K$2))</f>
        <v>0</v>
      </c>
      <c r="L102">
        <f>SUMPRODUCT((AtractivoAlternativas!$A$2:$A$931=$A102)*AtractivoAlternativas!$C$2:$C$931*COUNTIFS(Alternativas!$A$2:$A$51,AtractivoAlternativas!$B$2:$B$931,Alternativas!$B$2:$B$51,L$2))</f>
        <v>0</v>
      </c>
      <c r="M102">
        <f>SUMIFS(AtractivoSitios!$C:$C,AtractivoSitios!$A:$A,$A102,AtractivoSitios!$B:$B,M$2)</f>
        <v>0.9020569344845073</v>
      </c>
      <c r="N102">
        <f>SUMIFS(AtractivoSitios!$C:$C,AtractivoSitios!$A:$A,$A102,AtractivoSitios!$B:$B,N$2)</f>
        <v>0</v>
      </c>
      <c r="O102">
        <f>SUMIFS(AtractivoSitios!$C:$C,AtractivoSitios!$A:$A,$A102,AtractivoSitios!$B:$B,O$2)</f>
        <v>0</v>
      </c>
      <c r="P102">
        <f>SUMIFS(AtractivoSitios!$C:$C,AtractivoSitios!$A:$A,$A102,AtractivoSitios!$B:$B,P$2)</f>
        <v>0</v>
      </c>
      <c r="Q102">
        <f>SUMIFS(AtractivoSitios!$C:$C,AtractivoSitios!$A:$A,$A102,AtractivoSitios!$B:$B,Q$2)</f>
        <v>0</v>
      </c>
      <c r="R102">
        <f>SUMIFS(AtractivoSitios!$C:$C,AtractivoSitios!$A:$A,$A102,AtractivoSitios!$B:$B,R$2)</f>
        <v>0.49544457234611183</v>
      </c>
      <c r="S102">
        <f>SUMIFS(AtractivoSitios!$C:$C,AtractivoSitios!$A:$A,$A102,AtractivoSitios!$B:$B,S$2)</f>
        <v>0</v>
      </c>
      <c r="T102">
        <f>SUM(M102:S102)</f>
        <v>1.3975015068306191</v>
      </c>
      <c r="U102">
        <f>C102/(AD$4+H102+$T102)</f>
        <v>1.9058504047692295E-4</v>
      </c>
      <c r="V102">
        <f>D102/(AE$4+I102+$T102)</f>
        <v>5.5316803695345135E-5</v>
      </c>
      <c r="W102">
        <f>E102/(AF$4+J102+$T102)</f>
        <v>3.1404296579075157E-4</v>
      </c>
      <c r="X102">
        <f>F102/(AG$4+K102+$T102)</f>
        <v>1.7349600839416106E-5</v>
      </c>
      <c r="Y102">
        <f>G102/(AH$4+L102+$T102)</f>
        <v>1.0767819288710086E-5</v>
      </c>
    </row>
    <row r="103" spans="1:25">
      <c r="A103" t="s">
        <v>149</v>
      </c>
      <c r="B103">
        <f>SUMIFS(Sectores!$C:$C,Sectores!$A:$A,$A103)</f>
        <v>3012</v>
      </c>
      <c r="C103">
        <f>SUMIFS(Generacion!$C:$C,Generacion!$A:$A,$A103,Generacion!$B:$B,C$2)</f>
        <v>4.3533876706587399E-2</v>
      </c>
      <c r="D103">
        <f>SUMIFS(Generacion!$C:$C,Generacion!$A:$A,$A103,Generacion!$B:$B,D$2)</f>
        <v>3.7870933395161399E-2</v>
      </c>
      <c r="E103">
        <f>SUMIFS(Generacion!$C:$C,Generacion!$A:$A,$A103,Generacion!$B:$B,E$2)</f>
        <v>1.34494903646368E-2</v>
      </c>
      <c r="F103">
        <f>SUMIFS(Generacion!$C:$C,Generacion!$A:$A,$A103,Generacion!$B:$B,F$2)</f>
        <v>3.5393395696412498E-3</v>
      </c>
      <c r="G103">
        <f>SUMIFS(Generacion!$C:$C,Generacion!$A:$A,$A103,Generacion!$B:$B,G$2)</f>
        <v>2.4775376987488701E-3</v>
      </c>
      <c r="H103">
        <f>SUMPRODUCT((AtractivoAlternativas!$A$2:$A$931=$A103)*AtractivoAlternativas!$C$2:$C$931*COUNTIFS(Alternativas!$A$2:$A$51,AtractivoAlternativas!$B$2:$B$931,Alternativas!$B$2:$B$51,H$2))</f>
        <v>2.1774580769383078</v>
      </c>
      <c r="I103">
        <f>SUMPRODUCT((AtractivoAlternativas!$A$2:$A$931=$A103)*AtractivoAlternativas!$C$2:$C$931*COUNTIFS(Alternativas!$A$2:$A$51,AtractivoAlternativas!$B$2:$B$931,Alternativas!$B$2:$B$51,I$2))</f>
        <v>3.1576469646887784</v>
      </c>
      <c r="J103">
        <f>SUMPRODUCT((AtractivoAlternativas!$A$2:$A$931=$A103)*AtractivoAlternativas!$C$2:$C$931*COUNTIFS(Alternativas!$A$2:$A$51,AtractivoAlternativas!$B$2:$B$931,Alternativas!$B$2:$B$51,J$2))</f>
        <v>0.37903907746438703</v>
      </c>
      <c r="K103">
        <f>SUMPRODUCT((AtractivoAlternativas!$A$2:$A$931=$A103)*AtractivoAlternativas!$C$2:$C$931*COUNTIFS(Alternativas!$A$2:$A$51,AtractivoAlternativas!$B$2:$B$931,Alternativas!$B$2:$B$51,K$2))</f>
        <v>0</v>
      </c>
      <c r="L103">
        <f>SUMPRODUCT((AtractivoAlternativas!$A$2:$A$931=$A103)*AtractivoAlternativas!$C$2:$C$931*COUNTIFS(Alternativas!$A$2:$A$51,AtractivoAlternativas!$B$2:$B$931,Alternativas!$B$2:$B$51,L$2))</f>
        <v>0</v>
      </c>
      <c r="M103">
        <f>SUMIFS(AtractivoSitios!$C:$C,AtractivoSitios!$A:$A,$A103,AtractivoSitios!$B:$B,M$2)</f>
        <v>0.69823434055330147</v>
      </c>
      <c r="N103">
        <f>SUMIFS(AtractivoSitios!$C:$C,AtractivoSitios!$A:$A,$A103,AtractivoSitios!$B:$B,N$2)</f>
        <v>0</v>
      </c>
      <c r="O103">
        <f>SUMIFS(AtractivoSitios!$C:$C,AtractivoSitios!$A:$A,$A103,AtractivoSitios!$B:$B,O$2)</f>
        <v>0</v>
      </c>
      <c r="P103">
        <f>SUMIFS(AtractivoSitios!$C:$C,AtractivoSitios!$A:$A,$A103,AtractivoSitios!$B:$B,P$2)</f>
        <v>0</v>
      </c>
      <c r="Q103">
        <f>SUMIFS(AtractivoSitios!$C:$C,AtractivoSitios!$A:$A,$A103,AtractivoSitios!$B:$B,Q$2)</f>
        <v>0</v>
      </c>
      <c r="R103">
        <f>SUMIFS(AtractivoSitios!$C:$C,AtractivoSitios!$A:$A,$A103,AtractivoSitios!$B:$B,R$2)</f>
        <v>0.54222937124056991</v>
      </c>
      <c r="S103">
        <f>SUMIFS(AtractivoSitios!$C:$C,AtractivoSitios!$A:$A,$A103,AtractivoSitios!$B:$B,S$2)</f>
        <v>0</v>
      </c>
      <c r="T103">
        <f>SUM(M103:S103)</f>
        <v>1.2404637117938715</v>
      </c>
      <c r="U103">
        <f>C103/(AD$4+H103+$T103)</f>
        <v>1.9027830171662106E-4</v>
      </c>
      <c r="V103">
        <f>D103/(AE$4+I103+$T103)</f>
        <v>5.535149459155042E-5</v>
      </c>
      <c r="W103">
        <f>E103/(AF$4+J103+$T103)</f>
        <v>3.1606779390395691E-4</v>
      </c>
      <c r="X103">
        <f>F103/(AG$4+K103+$T103)</f>
        <v>1.7362966652267025E-5</v>
      </c>
      <c r="Y103">
        <f>G103/(AH$4+L103+$T103)</f>
        <v>1.0775173497359946E-5</v>
      </c>
    </row>
    <row r="104" spans="1:25">
      <c r="A104" t="s">
        <v>150</v>
      </c>
      <c r="B104">
        <f>SUMIFS(Sectores!$C:$C,Sectores!$A:$A,$A104)</f>
        <v>4281</v>
      </c>
      <c r="C104">
        <f>SUMIFS(Generacion!$C:$C,Generacion!$A:$A,$A104,Generacion!$B:$B,C$2)</f>
        <v>4.3533876706587399E-2</v>
      </c>
      <c r="D104">
        <f>SUMIFS(Generacion!$C:$C,Generacion!$A:$A,$A104,Generacion!$B:$B,D$2)</f>
        <v>3.7870933395161399E-2</v>
      </c>
      <c r="E104">
        <f>SUMIFS(Generacion!$C:$C,Generacion!$A:$A,$A104,Generacion!$B:$B,E$2)</f>
        <v>1.34494903646368E-2</v>
      </c>
      <c r="F104">
        <f>SUMIFS(Generacion!$C:$C,Generacion!$A:$A,$A104,Generacion!$B:$B,F$2)</f>
        <v>3.5393395696412498E-3</v>
      </c>
      <c r="G104">
        <f>SUMIFS(Generacion!$C:$C,Generacion!$A:$A,$A104,Generacion!$B:$B,G$2)</f>
        <v>2.4775376987488701E-3</v>
      </c>
      <c r="H104">
        <f>SUMPRODUCT((AtractivoAlternativas!$A$2:$A$931=$A104)*AtractivoAlternativas!$C$2:$C$931*COUNTIFS(Alternativas!$A$2:$A$51,AtractivoAlternativas!$B$2:$B$931,Alternativas!$B$2:$B$51,H$2))</f>
        <v>1.7440332507442977</v>
      </c>
      <c r="I104">
        <f>SUMPRODUCT((AtractivoAlternativas!$A$2:$A$931=$A104)*AtractivoAlternativas!$C$2:$C$931*COUNTIFS(Alternativas!$A$2:$A$51,AtractivoAlternativas!$B$2:$B$931,Alternativas!$B$2:$B$51,I$2))</f>
        <v>3.6223807174786602</v>
      </c>
      <c r="J104">
        <f>SUMPRODUCT((AtractivoAlternativas!$A$2:$A$931=$A104)*AtractivoAlternativas!$C$2:$C$931*COUNTIFS(Alternativas!$A$2:$A$51,AtractivoAlternativas!$B$2:$B$931,Alternativas!$B$2:$B$51,J$2))</f>
        <v>1.1836392201063062</v>
      </c>
      <c r="K104">
        <f>SUMPRODUCT((AtractivoAlternativas!$A$2:$A$931=$A104)*AtractivoAlternativas!$C$2:$C$931*COUNTIFS(Alternativas!$A$2:$A$51,AtractivoAlternativas!$B$2:$B$931,Alternativas!$B$2:$B$51,K$2))</f>
        <v>0</v>
      </c>
      <c r="L104">
        <f>SUMPRODUCT((AtractivoAlternativas!$A$2:$A$931=$A104)*AtractivoAlternativas!$C$2:$C$931*COUNTIFS(Alternativas!$A$2:$A$51,AtractivoAlternativas!$B$2:$B$931,Alternativas!$B$2:$B$51,L$2))</f>
        <v>0</v>
      </c>
      <c r="M104">
        <f>SUMIFS(AtractivoSitios!$C:$C,AtractivoSitios!$A:$A,$A104,AtractivoSitios!$B:$B,M$2)</f>
        <v>0.55175964685515233</v>
      </c>
      <c r="N104">
        <f>SUMIFS(AtractivoSitios!$C:$C,AtractivoSitios!$A:$A,$A104,AtractivoSitios!$B:$B,N$2)</f>
        <v>0</v>
      </c>
      <c r="O104">
        <f>SUMIFS(AtractivoSitios!$C:$C,AtractivoSitios!$A:$A,$A104,AtractivoSitios!$B:$B,O$2)</f>
        <v>0</v>
      </c>
      <c r="P104">
        <f>SUMIFS(AtractivoSitios!$C:$C,AtractivoSitios!$A:$A,$A104,AtractivoSitios!$B:$B,P$2)</f>
        <v>0</v>
      </c>
      <c r="Q104">
        <f>SUMIFS(AtractivoSitios!$C:$C,AtractivoSitios!$A:$A,$A104,AtractivoSitios!$B:$B,Q$2)</f>
        <v>0</v>
      </c>
      <c r="R104">
        <f>SUMIFS(AtractivoSitios!$C:$C,AtractivoSitios!$A:$A,$A104,AtractivoSitios!$B:$B,R$2)</f>
        <v>0.62079156491912857</v>
      </c>
      <c r="S104">
        <f>SUMIFS(AtractivoSitios!$C:$C,AtractivoSitios!$A:$A,$A104,AtractivoSitios!$B:$B,S$2)</f>
        <v>0</v>
      </c>
      <c r="T104">
        <f>SUM(M104:S104)</f>
        <v>1.1725512117742809</v>
      </c>
      <c r="U104">
        <f>C104/(AD$4+H104+$T104)</f>
        <v>1.9069616472123323E-4</v>
      </c>
      <c r="V104">
        <f>D104/(AE$4+I104+$T104)</f>
        <v>5.53194100523181E-5</v>
      </c>
      <c r="W104">
        <f>E104/(AF$4+J104+$T104)</f>
        <v>3.1068901491073644E-4</v>
      </c>
      <c r="X104">
        <f>F104/(AG$4+K104+$T104)</f>
        <v>1.7368753206957078E-5</v>
      </c>
      <c r="Y104">
        <f>G104/(AH$4+L104+$T104)</f>
        <v>1.077835700783233E-5</v>
      </c>
    </row>
    <row r="105" spans="1:25">
      <c r="A105" t="s">
        <v>151</v>
      </c>
      <c r="B105">
        <f>SUMIFS(Sectores!$C:$C,Sectores!$A:$A,$A105)</f>
        <v>4591</v>
      </c>
      <c r="C105">
        <f>SUMIFS(Generacion!$C:$C,Generacion!$A:$A,$A105,Generacion!$B:$B,C$2)</f>
        <v>4.3533876706587399E-2</v>
      </c>
      <c r="D105">
        <f>SUMIFS(Generacion!$C:$C,Generacion!$A:$A,$A105,Generacion!$B:$B,D$2)</f>
        <v>3.7870933395161399E-2</v>
      </c>
      <c r="E105">
        <f>SUMIFS(Generacion!$C:$C,Generacion!$A:$A,$A105,Generacion!$B:$B,E$2)</f>
        <v>1.34494903646368E-2</v>
      </c>
      <c r="F105">
        <f>SUMIFS(Generacion!$C:$C,Generacion!$A:$A,$A105,Generacion!$B:$B,F$2)</f>
        <v>3.5393395696412498E-3</v>
      </c>
      <c r="G105">
        <f>SUMIFS(Generacion!$C:$C,Generacion!$A:$A,$A105,Generacion!$B:$B,G$2)</f>
        <v>2.4775376987488701E-3</v>
      </c>
      <c r="H105">
        <f>SUMPRODUCT((AtractivoAlternativas!$A$2:$A$931=$A105)*AtractivoAlternativas!$C$2:$C$931*COUNTIFS(Alternativas!$A$2:$A$51,AtractivoAlternativas!$B$2:$B$931,Alternativas!$B$2:$B$51,H$2))</f>
        <v>0.39258586553151842</v>
      </c>
      <c r="I105">
        <f>SUMPRODUCT((AtractivoAlternativas!$A$2:$A$931=$A105)*AtractivoAlternativas!$C$2:$C$931*COUNTIFS(Alternativas!$A$2:$A$51,AtractivoAlternativas!$B$2:$B$931,Alternativas!$B$2:$B$51,I$2))</f>
        <v>0.38570071889880392</v>
      </c>
      <c r="J105">
        <f>SUMPRODUCT((AtractivoAlternativas!$A$2:$A$931=$A105)*AtractivoAlternativas!$C$2:$C$931*COUNTIFS(Alternativas!$A$2:$A$51,AtractivoAlternativas!$B$2:$B$931,Alternativas!$B$2:$B$51,J$2))</f>
        <v>0</v>
      </c>
      <c r="K105">
        <f>SUMPRODUCT((AtractivoAlternativas!$A$2:$A$931=$A105)*AtractivoAlternativas!$C$2:$C$931*COUNTIFS(Alternativas!$A$2:$A$51,AtractivoAlternativas!$B$2:$B$931,Alternativas!$B$2:$B$51,K$2))</f>
        <v>0</v>
      </c>
      <c r="L105">
        <f>SUMPRODUCT((AtractivoAlternativas!$A$2:$A$931=$A105)*AtractivoAlternativas!$C$2:$C$931*COUNTIFS(Alternativas!$A$2:$A$51,AtractivoAlternativas!$B$2:$B$931,Alternativas!$B$2:$B$51,L$2))</f>
        <v>0</v>
      </c>
      <c r="M105">
        <f>SUMIFS(AtractivoSitios!$C:$C,AtractivoSitios!$A:$A,$A105,AtractivoSitios!$B:$B,M$2)</f>
        <v>0</v>
      </c>
      <c r="N105">
        <f>SUMIFS(AtractivoSitios!$C:$C,AtractivoSitios!$A:$A,$A105,AtractivoSitios!$B:$B,N$2)</f>
        <v>0</v>
      </c>
      <c r="O105">
        <f>SUMIFS(AtractivoSitios!$C:$C,AtractivoSitios!$A:$A,$A105,AtractivoSitios!$B:$B,O$2)</f>
        <v>0.81420097297146532</v>
      </c>
      <c r="P105">
        <f>SUMIFS(AtractivoSitios!$C:$C,AtractivoSitios!$A:$A,$A105,AtractivoSitios!$B:$B,P$2)</f>
        <v>0</v>
      </c>
      <c r="Q105">
        <f>SUMIFS(AtractivoSitios!$C:$C,AtractivoSitios!$A:$A,$A105,AtractivoSitios!$B:$B,Q$2)</f>
        <v>0</v>
      </c>
      <c r="R105">
        <f>SUMIFS(AtractivoSitios!$C:$C,AtractivoSitios!$A:$A,$A105,AtractivoSitios!$B:$B,R$2)</f>
        <v>0</v>
      </c>
      <c r="S105">
        <f>SUMIFS(AtractivoSitios!$C:$C,AtractivoSitios!$A:$A,$A105,AtractivoSitios!$B:$B,S$2)</f>
        <v>0</v>
      </c>
      <c r="T105">
        <f>SUM(M105:S105)</f>
        <v>0.81420097297146532</v>
      </c>
      <c r="U105">
        <f>C105/(AD$4+H105+$T105)</f>
        <v>1.9213518270875296E-4</v>
      </c>
      <c r="V105">
        <f>D105/(AE$4+I105+$T105)</f>
        <v>5.5611447319864967E-5</v>
      </c>
      <c r="W105">
        <f>E105/(AF$4+J105+$T105)</f>
        <v>3.2216472206525638E-4</v>
      </c>
      <c r="X105">
        <f>F105/(AG$4+K105+$T105)</f>
        <v>1.7399350792323385E-5</v>
      </c>
      <c r="Y105">
        <f>G105/(AH$4+L105+$T105)</f>
        <v>1.0795186466218313E-5</v>
      </c>
    </row>
    <row r="106" spans="1:25">
      <c r="A106" t="s">
        <v>152</v>
      </c>
      <c r="B106">
        <f>SUMIFS(Sectores!$C:$C,Sectores!$A:$A,$A106)</f>
        <v>3786</v>
      </c>
      <c r="C106">
        <f>SUMIFS(Generacion!$C:$C,Generacion!$A:$A,$A106,Generacion!$B:$B,C$2)</f>
        <v>4.3533876706587399E-2</v>
      </c>
      <c r="D106">
        <f>SUMIFS(Generacion!$C:$C,Generacion!$A:$A,$A106,Generacion!$B:$B,D$2)</f>
        <v>3.7870933395161399E-2</v>
      </c>
      <c r="E106">
        <f>SUMIFS(Generacion!$C:$C,Generacion!$A:$A,$A106,Generacion!$B:$B,E$2)</f>
        <v>1.34494903646368E-2</v>
      </c>
      <c r="F106">
        <f>SUMIFS(Generacion!$C:$C,Generacion!$A:$A,$A106,Generacion!$B:$B,F$2)</f>
        <v>3.5393395696412498E-3</v>
      </c>
      <c r="G106">
        <f>SUMIFS(Generacion!$C:$C,Generacion!$A:$A,$A106,Generacion!$B:$B,G$2)</f>
        <v>2.4775376987488701E-3</v>
      </c>
      <c r="H106">
        <f>SUMPRODUCT((AtractivoAlternativas!$A$2:$A$931=$A106)*AtractivoAlternativas!$C$2:$C$931*COUNTIFS(Alternativas!$A$2:$A$51,AtractivoAlternativas!$B$2:$B$931,Alternativas!$B$2:$B$51,H$2))</f>
        <v>0.83850129815059571</v>
      </c>
      <c r="I106">
        <f>SUMPRODUCT((AtractivoAlternativas!$A$2:$A$931=$A106)*AtractivoAlternativas!$C$2:$C$931*COUNTIFS(Alternativas!$A$2:$A$51,AtractivoAlternativas!$B$2:$B$931,Alternativas!$B$2:$B$51,I$2))</f>
        <v>3.1562491062108724</v>
      </c>
      <c r="J106">
        <f>SUMPRODUCT((AtractivoAlternativas!$A$2:$A$931=$A106)*AtractivoAlternativas!$C$2:$C$931*COUNTIFS(Alternativas!$A$2:$A$51,AtractivoAlternativas!$B$2:$B$931,Alternativas!$B$2:$B$51,J$2))</f>
        <v>0</v>
      </c>
      <c r="K106">
        <f>SUMPRODUCT((AtractivoAlternativas!$A$2:$A$931=$A106)*AtractivoAlternativas!$C$2:$C$931*COUNTIFS(Alternativas!$A$2:$A$51,AtractivoAlternativas!$B$2:$B$931,Alternativas!$B$2:$B$51,K$2))</f>
        <v>0</v>
      </c>
      <c r="L106">
        <f>SUMPRODUCT((AtractivoAlternativas!$A$2:$A$931=$A106)*AtractivoAlternativas!$C$2:$C$931*COUNTIFS(Alternativas!$A$2:$A$51,AtractivoAlternativas!$B$2:$B$931,Alternativas!$B$2:$B$51,L$2))</f>
        <v>0</v>
      </c>
      <c r="M106">
        <f>SUMIFS(AtractivoSitios!$C:$C,AtractivoSitios!$A:$A,$A106,AtractivoSitios!$B:$B,M$2)</f>
        <v>0</v>
      </c>
      <c r="N106">
        <f>SUMIFS(AtractivoSitios!$C:$C,AtractivoSitios!$A:$A,$A106,AtractivoSitios!$B:$B,N$2)</f>
        <v>0</v>
      </c>
      <c r="O106">
        <f>SUMIFS(AtractivoSitios!$C:$C,AtractivoSitios!$A:$A,$A106,AtractivoSitios!$B:$B,O$2)</f>
        <v>0.55099556282687723</v>
      </c>
      <c r="P106">
        <f>SUMIFS(AtractivoSitios!$C:$C,AtractivoSitios!$A:$A,$A106,AtractivoSitios!$B:$B,P$2)</f>
        <v>0</v>
      </c>
      <c r="Q106">
        <f>SUMIFS(AtractivoSitios!$C:$C,AtractivoSitios!$A:$A,$A106,AtractivoSitios!$B:$B,Q$2)</f>
        <v>0</v>
      </c>
      <c r="R106">
        <f>SUMIFS(AtractivoSitios!$C:$C,AtractivoSitios!$A:$A,$A106,AtractivoSitios!$B:$B,R$2)</f>
        <v>0</v>
      </c>
      <c r="S106">
        <f>SUMIFS(AtractivoSitios!$C:$C,AtractivoSitios!$A:$A,$A106,AtractivoSitios!$B:$B,S$2)</f>
        <v>0</v>
      </c>
      <c r="T106">
        <f>SUM(M106:S106)</f>
        <v>0.55099556282687723</v>
      </c>
      <c r="U106">
        <f>C106/(AD$4+H106+$T106)</f>
        <v>1.9198037279936111E-4</v>
      </c>
      <c r="V106">
        <f>D106/(AE$4+I106+$T106)</f>
        <v>5.5407442682664953E-5</v>
      </c>
      <c r="W106">
        <f>E106/(AF$4+J106+$T106)</f>
        <v>3.2420877307091217E-4</v>
      </c>
      <c r="X106">
        <f>F106/(AG$4+K106+$T106)</f>
        <v>1.7421893234920659E-5</v>
      </c>
      <c r="Y106">
        <f>G106/(AH$4+L106+$T106)</f>
        <v>1.0807581085498351E-5</v>
      </c>
    </row>
    <row r="107" spans="1:25">
      <c r="A107" t="s">
        <v>153</v>
      </c>
      <c r="B107">
        <f>SUMIFS(Sectores!$C:$C,Sectores!$A:$A,$A107)</f>
        <v>3885</v>
      </c>
      <c r="C107">
        <f>SUMIFS(Generacion!$C:$C,Generacion!$A:$A,$A107,Generacion!$B:$B,C$2)</f>
        <v>4.3533876706587399E-2</v>
      </c>
      <c r="D107">
        <f>SUMIFS(Generacion!$C:$C,Generacion!$A:$A,$A107,Generacion!$B:$B,D$2)</f>
        <v>3.7870933395161399E-2</v>
      </c>
      <c r="E107">
        <f>SUMIFS(Generacion!$C:$C,Generacion!$A:$A,$A107,Generacion!$B:$B,E$2)</f>
        <v>1.34494903646368E-2</v>
      </c>
      <c r="F107">
        <f>SUMIFS(Generacion!$C:$C,Generacion!$A:$A,$A107,Generacion!$B:$B,F$2)</f>
        <v>3.5393395696412498E-3</v>
      </c>
      <c r="G107">
        <f>SUMIFS(Generacion!$C:$C,Generacion!$A:$A,$A107,Generacion!$B:$B,G$2)</f>
        <v>2.4775376987488701E-3</v>
      </c>
      <c r="H107">
        <f>SUMPRODUCT((AtractivoAlternativas!$A$2:$A$931=$A107)*AtractivoAlternativas!$C$2:$C$931*COUNTIFS(Alternativas!$A$2:$A$51,AtractivoAlternativas!$B$2:$B$931,Alternativas!$B$2:$B$51,H$2))</f>
        <v>1.1362901327672552</v>
      </c>
      <c r="I107">
        <f>SUMPRODUCT((AtractivoAlternativas!$A$2:$A$931=$A107)*AtractivoAlternativas!$C$2:$C$931*COUNTIFS(Alternativas!$A$2:$A$51,AtractivoAlternativas!$B$2:$B$931,Alternativas!$B$2:$B$51,I$2))</f>
        <v>4.6288745923297281</v>
      </c>
      <c r="J107">
        <f>SUMPRODUCT((AtractivoAlternativas!$A$2:$A$931=$A107)*AtractivoAlternativas!$C$2:$C$931*COUNTIFS(Alternativas!$A$2:$A$51,AtractivoAlternativas!$B$2:$B$931,Alternativas!$B$2:$B$51,J$2))</f>
        <v>0.44564912126315792</v>
      </c>
      <c r="K107">
        <f>SUMPRODUCT((AtractivoAlternativas!$A$2:$A$931=$A107)*AtractivoAlternativas!$C$2:$C$931*COUNTIFS(Alternativas!$A$2:$A$51,AtractivoAlternativas!$B$2:$B$931,Alternativas!$B$2:$B$51,K$2))</f>
        <v>0</v>
      </c>
      <c r="L107">
        <f>SUMPRODUCT((AtractivoAlternativas!$A$2:$A$931=$A107)*AtractivoAlternativas!$C$2:$C$931*COUNTIFS(Alternativas!$A$2:$A$51,AtractivoAlternativas!$B$2:$B$931,Alternativas!$B$2:$B$51,L$2))</f>
        <v>0</v>
      </c>
      <c r="M107">
        <f>SUMIFS(AtractivoSitios!$C:$C,AtractivoSitios!$A:$A,$A107,AtractivoSitios!$B:$B,M$2)</f>
        <v>0</v>
      </c>
      <c r="N107">
        <f>SUMIFS(AtractivoSitios!$C:$C,AtractivoSitios!$A:$A,$A107,AtractivoSitios!$B:$B,N$2)</f>
        <v>0</v>
      </c>
      <c r="O107">
        <f>SUMIFS(AtractivoSitios!$C:$C,AtractivoSitios!$A:$A,$A107,AtractivoSitios!$B:$B,O$2)</f>
        <v>0.45332126068741035</v>
      </c>
      <c r="P107">
        <f>SUMIFS(AtractivoSitios!$C:$C,AtractivoSitios!$A:$A,$A107,AtractivoSitios!$B:$B,P$2)</f>
        <v>0</v>
      </c>
      <c r="Q107">
        <f>SUMIFS(AtractivoSitios!$C:$C,AtractivoSitios!$A:$A,$A107,AtractivoSitios!$B:$B,Q$2)</f>
        <v>0</v>
      </c>
      <c r="R107">
        <f>SUMIFS(AtractivoSitios!$C:$C,AtractivoSitios!$A:$A,$A107,AtractivoSitios!$B:$B,R$2)</f>
        <v>0</v>
      </c>
      <c r="S107">
        <f>SUMIFS(AtractivoSitios!$C:$C,AtractivoSitios!$A:$A,$A107,AtractivoSitios!$B:$B,S$2)</f>
        <v>0</v>
      </c>
      <c r="T107">
        <f>SUM(M107:S107)</f>
        <v>0.45332126068741035</v>
      </c>
      <c r="U107">
        <f>C107/(AD$4+H107+$T107)</f>
        <v>1.9181110207333704E-4</v>
      </c>
      <c r="V107">
        <f>D107/(AE$4+I107+$T107)</f>
        <v>5.5296206848224246E-5</v>
      </c>
      <c r="W107">
        <f>E107/(AF$4+J107+$T107)</f>
        <v>3.2151187969359148E-4</v>
      </c>
      <c r="X107">
        <f>F107/(AG$4+K107+$T107)</f>
        <v>1.7430273497663259E-5</v>
      </c>
      <c r="Y107">
        <f>G107/(AH$4+L107+$T107)</f>
        <v>1.0812187914933906E-5</v>
      </c>
    </row>
    <row r="108" spans="1:25">
      <c r="A108" t="s">
        <v>154</v>
      </c>
      <c r="B108">
        <f>SUMIFS(Sectores!$C:$C,Sectores!$A:$A,$A108)</f>
        <v>2967</v>
      </c>
      <c r="C108">
        <f>SUMIFS(Generacion!$C:$C,Generacion!$A:$A,$A108,Generacion!$B:$B,C$2)</f>
        <v>4.3533876706587399E-2</v>
      </c>
      <c r="D108">
        <f>SUMIFS(Generacion!$C:$C,Generacion!$A:$A,$A108,Generacion!$B:$B,D$2)</f>
        <v>3.7870933395161399E-2</v>
      </c>
      <c r="E108">
        <f>SUMIFS(Generacion!$C:$C,Generacion!$A:$A,$A108,Generacion!$B:$B,E$2)</f>
        <v>1.34494903646368E-2</v>
      </c>
      <c r="F108">
        <f>SUMIFS(Generacion!$C:$C,Generacion!$A:$A,$A108,Generacion!$B:$B,F$2)</f>
        <v>3.5393395696412498E-3</v>
      </c>
      <c r="G108">
        <f>SUMIFS(Generacion!$C:$C,Generacion!$A:$A,$A108,Generacion!$B:$B,G$2)</f>
        <v>2.4775376987488701E-3</v>
      </c>
      <c r="H108">
        <f>SUMPRODUCT((AtractivoAlternativas!$A$2:$A$931=$A108)*AtractivoAlternativas!$C$2:$C$931*COUNTIFS(Alternativas!$A$2:$A$51,AtractivoAlternativas!$B$2:$B$931,Alternativas!$B$2:$B$51,H$2))</f>
        <v>0.37626137636202411</v>
      </c>
      <c r="I108">
        <f>SUMPRODUCT((AtractivoAlternativas!$A$2:$A$931=$A108)*AtractivoAlternativas!$C$2:$C$931*COUNTIFS(Alternativas!$A$2:$A$51,AtractivoAlternativas!$B$2:$B$931,Alternativas!$B$2:$B$51,I$2))</f>
        <v>1.3014310682573484</v>
      </c>
      <c r="J108">
        <f>SUMPRODUCT((AtractivoAlternativas!$A$2:$A$931=$A108)*AtractivoAlternativas!$C$2:$C$931*COUNTIFS(Alternativas!$A$2:$A$51,AtractivoAlternativas!$B$2:$B$931,Alternativas!$B$2:$B$51,J$2))</f>
        <v>0</v>
      </c>
      <c r="K108">
        <f>SUMPRODUCT((AtractivoAlternativas!$A$2:$A$931=$A108)*AtractivoAlternativas!$C$2:$C$931*COUNTIFS(Alternativas!$A$2:$A$51,AtractivoAlternativas!$B$2:$B$931,Alternativas!$B$2:$B$51,K$2))</f>
        <v>0</v>
      </c>
      <c r="L108">
        <f>SUMPRODUCT((AtractivoAlternativas!$A$2:$A$931=$A108)*AtractivoAlternativas!$C$2:$C$931*COUNTIFS(Alternativas!$A$2:$A$51,AtractivoAlternativas!$B$2:$B$931,Alternativas!$B$2:$B$51,L$2))</f>
        <v>0</v>
      </c>
      <c r="M108">
        <f>SUMIFS(AtractivoSitios!$C:$C,AtractivoSitios!$A:$A,$A108,AtractivoSitios!$B:$B,M$2)</f>
        <v>0</v>
      </c>
      <c r="N108">
        <f>SUMIFS(AtractivoSitios!$C:$C,AtractivoSitios!$A:$A,$A108,AtractivoSitios!$B:$B,N$2)</f>
        <v>0</v>
      </c>
      <c r="O108">
        <f>SUMIFS(AtractivoSitios!$C:$C,AtractivoSitios!$A:$A,$A108,AtractivoSitios!$B:$B,O$2)</f>
        <v>0.74529043426460606</v>
      </c>
      <c r="P108">
        <f>SUMIFS(AtractivoSitios!$C:$C,AtractivoSitios!$A:$A,$A108,AtractivoSitios!$B:$B,P$2)</f>
        <v>0</v>
      </c>
      <c r="Q108">
        <f>SUMIFS(AtractivoSitios!$C:$C,AtractivoSitios!$A:$A,$A108,AtractivoSitios!$B:$B,Q$2)</f>
        <v>0</v>
      </c>
      <c r="R108">
        <f>SUMIFS(AtractivoSitios!$C:$C,AtractivoSitios!$A:$A,$A108,AtractivoSitios!$B:$B,R$2)</f>
        <v>0</v>
      </c>
      <c r="S108">
        <f>SUMIFS(AtractivoSitios!$C:$C,AtractivoSitios!$A:$A,$A108,AtractivoSitios!$B:$B,S$2)</f>
        <v>0</v>
      </c>
      <c r="T108">
        <f>SUM(M108:S108)</f>
        <v>0.74529043426460606</v>
      </c>
      <c r="U108">
        <f>C108/(AD$4+H108+$T108)</f>
        <v>1.9220748764779902E-4</v>
      </c>
      <c r="V108">
        <f>D108/(AE$4+I108+$T108)</f>
        <v>5.5542379828465966E-5</v>
      </c>
      <c r="W108">
        <f>E108/(AF$4+J108+$T108)</f>
        <v>3.2269738594310787E-4</v>
      </c>
      <c r="X108">
        <f>F108/(AG$4+K108+$T108)</f>
        <v>1.7405247052647966E-5</v>
      </c>
      <c r="Y108">
        <f>G108/(AH$4+L108+$T108)</f>
        <v>1.0798428787825019E-5</v>
      </c>
    </row>
    <row r="109" spans="1:25">
      <c r="A109" t="s">
        <v>155</v>
      </c>
      <c r="B109">
        <f>SUMIFS(Sectores!$C:$C,Sectores!$A:$A,$A109)</f>
        <v>3490</v>
      </c>
      <c r="C109">
        <f>SUMIFS(Generacion!$C:$C,Generacion!$A:$A,$A109,Generacion!$B:$B,C$2)</f>
        <v>4.3533876706587399E-2</v>
      </c>
      <c r="D109">
        <f>SUMIFS(Generacion!$C:$C,Generacion!$A:$A,$A109,Generacion!$B:$B,D$2)</f>
        <v>3.7870933395161399E-2</v>
      </c>
      <c r="E109">
        <f>SUMIFS(Generacion!$C:$C,Generacion!$A:$A,$A109,Generacion!$B:$B,E$2)</f>
        <v>1.34494903646368E-2</v>
      </c>
      <c r="F109">
        <f>SUMIFS(Generacion!$C:$C,Generacion!$A:$A,$A109,Generacion!$B:$B,F$2)</f>
        <v>3.5393395696412498E-3</v>
      </c>
      <c r="G109">
        <f>SUMIFS(Generacion!$C:$C,Generacion!$A:$A,$A109,Generacion!$B:$B,G$2)</f>
        <v>2.4775376987488701E-3</v>
      </c>
      <c r="H109">
        <f>SUMPRODUCT((AtractivoAlternativas!$A$2:$A$931=$A109)*AtractivoAlternativas!$C$2:$C$931*COUNTIFS(Alternativas!$A$2:$A$51,AtractivoAlternativas!$B$2:$B$931,Alternativas!$B$2:$B$51,H$2))</f>
        <v>0.89886076217310462</v>
      </c>
      <c r="I109">
        <f>SUMPRODUCT((AtractivoAlternativas!$A$2:$A$931=$A109)*AtractivoAlternativas!$C$2:$C$931*COUNTIFS(Alternativas!$A$2:$A$51,AtractivoAlternativas!$B$2:$B$931,Alternativas!$B$2:$B$51,I$2))</f>
        <v>2.1251552109647873</v>
      </c>
      <c r="J109">
        <f>SUMPRODUCT((AtractivoAlternativas!$A$2:$A$931=$A109)*AtractivoAlternativas!$C$2:$C$931*COUNTIFS(Alternativas!$A$2:$A$51,AtractivoAlternativas!$B$2:$B$931,Alternativas!$B$2:$B$51,J$2))</f>
        <v>0.36787944117144233</v>
      </c>
      <c r="K109">
        <f>SUMPRODUCT((AtractivoAlternativas!$A$2:$A$931=$A109)*AtractivoAlternativas!$C$2:$C$931*COUNTIFS(Alternativas!$A$2:$A$51,AtractivoAlternativas!$B$2:$B$931,Alternativas!$B$2:$B$51,K$2))</f>
        <v>0</v>
      </c>
      <c r="L109">
        <f>SUMPRODUCT((AtractivoAlternativas!$A$2:$A$931=$A109)*AtractivoAlternativas!$C$2:$C$931*COUNTIFS(Alternativas!$A$2:$A$51,AtractivoAlternativas!$B$2:$B$931,Alternativas!$B$2:$B$51,L$2))</f>
        <v>0</v>
      </c>
      <c r="M109">
        <f>SUMIFS(AtractivoSitios!$C:$C,AtractivoSitios!$A:$A,$A109,AtractivoSitios!$B:$B,M$2)</f>
        <v>0</v>
      </c>
      <c r="N109">
        <f>SUMIFS(AtractivoSitios!$C:$C,AtractivoSitios!$A:$A,$A109,AtractivoSitios!$B:$B,N$2)</f>
        <v>0</v>
      </c>
      <c r="O109">
        <f>SUMIFS(AtractivoSitios!$C:$C,AtractivoSitios!$A:$A,$A109,AtractivoSitios!$B:$B,O$2)</f>
        <v>0.85970827312498888</v>
      </c>
      <c r="P109">
        <f>SUMIFS(AtractivoSitios!$C:$C,AtractivoSitios!$A:$A,$A109,AtractivoSitios!$B:$B,P$2)</f>
        <v>0</v>
      </c>
      <c r="Q109">
        <f>SUMIFS(AtractivoSitios!$C:$C,AtractivoSitios!$A:$A,$A109,AtractivoSitios!$B:$B,Q$2)</f>
        <v>0</v>
      </c>
      <c r="R109">
        <f>SUMIFS(AtractivoSitios!$C:$C,AtractivoSitios!$A:$A,$A109,AtractivoSitios!$B:$B,R$2)</f>
        <v>0</v>
      </c>
      <c r="S109">
        <f>SUMIFS(AtractivoSitios!$C:$C,AtractivoSitios!$A:$A,$A109,AtractivoSitios!$B:$B,S$2)</f>
        <v>0</v>
      </c>
      <c r="T109">
        <f>SUM(M109:S109)</f>
        <v>0.85970827312498888</v>
      </c>
      <c r="U109">
        <f>C109/(AD$4+H109+$T109)</f>
        <v>1.9166841823102182E-4</v>
      </c>
      <c r="V109">
        <f>D109/(AE$4+I109+$T109)</f>
        <v>5.5466064040174551E-5</v>
      </c>
      <c r="W109">
        <f>E109/(AF$4+J109+$T109)</f>
        <v>3.1900588379708676E-4</v>
      </c>
      <c r="X109">
        <f>F109/(AG$4+K109+$T109)</f>
        <v>1.7395459196033694E-5</v>
      </c>
      <c r="Y109">
        <f>G109/(AH$4+L109+$T109)</f>
        <v>1.0793046361670289E-5</v>
      </c>
    </row>
    <row r="110" spans="1:25">
      <c r="A110" t="s">
        <v>156</v>
      </c>
      <c r="B110">
        <f>SUMIFS(Sectores!$C:$C,Sectores!$A:$A,$A110)</f>
        <v>4208</v>
      </c>
      <c r="C110">
        <f>SUMIFS(Generacion!$C:$C,Generacion!$A:$A,$A110,Generacion!$B:$B,C$2)</f>
        <v>4.3533876706587399E-2</v>
      </c>
      <c r="D110">
        <f>SUMIFS(Generacion!$C:$C,Generacion!$A:$A,$A110,Generacion!$B:$B,D$2)</f>
        <v>3.7870933395161399E-2</v>
      </c>
      <c r="E110">
        <f>SUMIFS(Generacion!$C:$C,Generacion!$A:$A,$A110,Generacion!$B:$B,E$2)</f>
        <v>1.34494903646368E-2</v>
      </c>
      <c r="F110">
        <f>SUMIFS(Generacion!$C:$C,Generacion!$A:$A,$A110,Generacion!$B:$B,F$2)</f>
        <v>3.5393395696412498E-3</v>
      </c>
      <c r="G110">
        <f>SUMIFS(Generacion!$C:$C,Generacion!$A:$A,$A110,Generacion!$B:$B,G$2)</f>
        <v>2.4775376987488701E-3</v>
      </c>
      <c r="H110">
        <f>SUMPRODUCT((AtractivoAlternativas!$A$2:$A$931=$A110)*AtractivoAlternativas!$C$2:$C$931*COUNTIFS(Alternativas!$A$2:$A$51,AtractivoAlternativas!$B$2:$B$931,Alternativas!$B$2:$B$51,H$2))</f>
        <v>0.95536543905322535</v>
      </c>
      <c r="I110">
        <f>SUMPRODUCT((AtractivoAlternativas!$A$2:$A$931=$A110)*AtractivoAlternativas!$C$2:$C$931*COUNTIFS(Alternativas!$A$2:$A$51,AtractivoAlternativas!$B$2:$B$931,Alternativas!$B$2:$B$51,I$2))</f>
        <v>2.8248749961338939</v>
      </c>
      <c r="J110">
        <f>SUMPRODUCT((AtractivoAlternativas!$A$2:$A$931=$A110)*AtractivoAlternativas!$C$2:$C$931*COUNTIFS(Alternativas!$A$2:$A$51,AtractivoAlternativas!$B$2:$B$931,Alternativas!$B$2:$B$51,J$2))</f>
        <v>0.43024483281606918</v>
      </c>
      <c r="K110">
        <f>SUMPRODUCT((AtractivoAlternativas!$A$2:$A$931=$A110)*AtractivoAlternativas!$C$2:$C$931*COUNTIFS(Alternativas!$A$2:$A$51,AtractivoAlternativas!$B$2:$B$931,Alternativas!$B$2:$B$51,K$2))</f>
        <v>0</v>
      </c>
      <c r="L110">
        <f>SUMPRODUCT((AtractivoAlternativas!$A$2:$A$931=$A110)*AtractivoAlternativas!$C$2:$C$931*COUNTIFS(Alternativas!$A$2:$A$51,AtractivoAlternativas!$B$2:$B$931,Alternativas!$B$2:$B$51,L$2))</f>
        <v>0</v>
      </c>
      <c r="M110">
        <f>SUMIFS(AtractivoSitios!$C:$C,AtractivoSitios!$A:$A,$A110,AtractivoSitios!$B:$B,M$2)</f>
        <v>0</v>
      </c>
      <c r="N110">
        <f>SUMIFS(AtractivoSitios!$C:$C,AtractivoSitios!$A:$A,$A110,AtractivoSitios!$B:$B,N$2)</f>
        <v>0</v>
      </c>
      <c r="O110">
        <f>SUMIFS(AtractivoSitios!$C:$C,AtractivoSitios!$A:$A,$A110,AtractivoSitios!$B:$B,O$2)</f>
        <v>0.7482313179301201</v>
      </c>
      <c r="P110">
        <f>SUMIFS(AtractivoSitios!$C:$C,AtractivoSitios!$A:$A,$A110,AtractivoSitios!$B:$B,P$2)</f>
        <v>0</v>
      </c>
      <c r="Q110">
        <f>SUMIFS(AtractivoSitios!$C:$C,AtractivoSitios!$A:$A,$A110,AtractivoSitios!$B:$B,Q$2)</f>
        <v>0</v>
      </c>
      <c r="R110">
        <f>SUMIFS(AtractivoSitios!$C:$C,AtractivoSitios!$A:$A,$A110,AtractivoSitios!$B:$B,R$2)</f>
        <v>0</v>
      </c>
      <c r="S110">
        <f>SUMIFS(AtractivoSitios!$C:$C,AtractivoSitios!$A:$A,$A110,AtractivoSitios!$B:$B,S$2)</f>
        <v>0</v>
      </c>
      <c r="T110">
        <f>SUM(M110:S110)</f>
        <v>0.7482313179301201</v>
      </c>
      <c r="U110">
        <f>C110/(AD$4+H110+$T110)</f>
        <v>1.9171481872837909E-4</v>
      </c>
      <c r="V110">
        <f>D110/(AE$4+I110+$T110)</f>
        <v>5.5418318663114807E-5</v>
      </c>
      <c r="W110">
        <f>E110/(AF$4+J110+$T110)</f>
        <v>3.1937791683615916E-4</v>
      </c>
      <c r="X110">
        <f>F110/(AG$4+K110+$T110)</f>
        <v>1.7404995337288276E-5</v>
      </c>
      <c r="Y110">
        <f>G110/(AH$4+L110+$T110)</f>
        <v>1.0798290376016232E-5</v>
      </c>
    </row>
    <row r="111" spans="1:25">
      <c r="A111" t="s">
        <v>157</v>
      </c>
      <c r="B111">
        <f>SUMIFS(Sectores!$C:$C,Sectores!$A:$A,$A111)</f>
        <v>5545</v>
      </c>
      <c r="C111">
        <f>SUMIFS(Generacion!$C:$C,Generacion!$A:$A,$A111,Generacion!$B:$B,C$2)</f>
        <v>4.3533876706587399E-2</v>
      </c>
      <c r="D111">
        <f>SUMIFS(Generacion!$C:$C,Generacion!$A:$A,$A111,Generacion!$B:$B,D$2)</f>
        <v>3.7870933395161399E-2</v>
      </c>
      <c r="E111">
        <f>SUMIFS(Generacion!$C:$C,Generacion!$A:$A,$A111,Generacion!$B:$B,E$2)</f>
        <v>1.34494903646368E-2</v>
      </c>
      <c r="F111">
        <f>SUMIFS(Generacion!$C:$C,Generacion!$A:$A,$A111,Generacion!$B:$B,F$2)</f>
        <v>3.5393395696412498E-3</v>
      </c>
      <c r="G111">
        <f>SUMIFS(Generacion!$C:$C,Generacion!$A:$A,$A111,Generacion!$B:$B,G$2)</f>
        <v>2.4775376987488701E-3</v>
      </c>
      <c r="H111">
        <f>SUMPRODUCT((AtractivoAlternativas!$A$2:$A$931=$A111)*AtractivoAlternativas!$C$2:$C$931*COUNTIFS(Alternativas!$A$2:$A$51,AtractivoAlternativas!$B$2:$B$931,Alternativas!$B$2:$B$51,H$2))</f>
        <v>0.93231443068363828</v>
      </c>
      <c r="I111">
        <f>SUMPRODUCT((AtractivoAlternativas!$A$2:$A$931=$A111)*AtractivoAlternativas!$C$2:$C$931*COUNTIFS(Alternativas!$A$2:$A$51,AtractivoAlternativas!$B$2:$B$931,Alternativas!$B$2:$B$51,I$2))</f>
        <v>3.0087015509096577</v>
      </c>
      <c r="J111">
        <f>SUMPRODUCT((AtractivoAlternativas!$A$2:$A$931=$A111)*AtractivoAlternativas!$C$2:$C$931*COUNTIFS(Alternativas!$A$2:$A$51,AtractivoAlternativas!$B$2:$B$931,Alternativas!$B$2:$B$51,J$2))</f>
        <v>0.49323436837700885</v>
      </c>
      <c r="K111">
        <f>SUMPRODUCT((AtractivoAlternativas!$A$2:$A$931=$A111)*AtractivoAlternativas!$C$2:$C$931*COUNTIFS(Alternativas!$A$2:$A$51,AtractivoAlternativas!$B$2:$B$931,Alternativas!$B$2:$B$51,K$2))</f>
        <v>0</v>
      </c>
      <c r="L111">
        <f>SUMPRODUCT((AtractivoAlternativas!$A$2:$A$931=$A111)*AtractivoAlternativas!$C$2:$C$931*COUNTIFS(Alternativas!$A$2:$A$51,AtractivoAlternativas!$B$2:$B$931,Alternativas!$B$2:$B$51,L$2))</f>
        <v>0</v>
      </c>
      <c r="M111">
        <f>SUMIFS(AtractivoSitios!$C:$C,AtractivoSitios!$A:$A,$A111,AtractivoSitios!$B:$B,M$2)</f>
        <v>0</v>
      </c>
      <c r="N111">
        <f>SUMIFS(AtractivoSitios!$C:$C,AtractivoSitios!$A:$A,$A111,AtractivoSitios!$B:$B,N$2)</f>
        <v>0</v>
      </c>
      <c r="O111">
        <f>SUMIFS(AtractivoSitios!$C:$C,AtractivoSitios!$A:$A,$A111,AtractivoSitios!$B:$B,O$2)</f>
        <v>0.65269594918740481</v>
      </c>
      <c r="P111">
        <f>SUMIFS(AtractivoSitios!$C:$C,AtractivoSitios!$A:$A,$A111,AtractivoSitios!$B:$B,P$2)</f>
        <v>0</v>
      </c>
      <c r="Q111">
        <f>SUMIFS(AtractivoSitios!$C:$C,AtractivoSitios!$A:$A,$A111,AtractivoSitios!$B:$B,Q$2)</f>
        <v>0</v>
      </c>
      <c r="R111">
        <f>SUMIFS(AtractivoSitios!$C:$C,AtractivoSitios!$A:$A,$A111,AtractivoSitios!$B:$B,R$2)</f>
        <v>0</v>
      </c>
      <c r="S111">
        <f>SUMIFS(AtractivoSitios!$C:$C,AtractivoSitios!$A:$A,$A111,AtractivoSitios!$B:$B,S$2)</f>
        <v>0</v>
      </c>
      <c r="T111">
        <f>SUM(M111:S111)</f>
        <v>0.65269594918740481</v>
      </c>
      <c r="U111">
        <f>C111/(AD$4+H111+$T111)</f>
        <v>1.9181499057651229E-4</v>
      </c>
      <c r="V111">
        <f>D111/(AE$4+I111+$T111)</f>
        <v>5.5411159505476781E-5</v>
      </c>
      <c r="W111">
        <f>E111/(AF$4+J111+$T111)</f>
        <v>3.1962493853679279E-4</v>
      </c>
      <c r="X111">
        <f>F111/(AG$4+K111+$T111)</f>
        <v>1.7413176101134496E-5</v>
      </c>
      <c r="Y111">
        <f>G111/(AH$4+L111+$T111)</f>
        <v>1.0802788534878212E-5</v>
      </c>
    </row>
    <row r="112" spans="1:25">
      <c r="A112" t="s">
        <v>158</v>
      </c>
      <c r="B112">
        <f>SUMIFS(Sectores!$C:$C,Sectores!$A:$A,$A112)</f>
        <v>1541</v>
      </c>
      <c r="C112">
        <f>SUMIFS(Generacion!$C:$C,Generacion!$A:$A,$A112,Generacion!$B:$B,C$2)</f>
        <v>4.3533876706587399E-2</v>
      </c>
      <c r="D112">
        <f>SUMIFS(Generacion!$C:$C,Generacion!$A:$A,$A112,Generacion!$B:$B,D$2)</f>
        <v>3.7870933395161399E-2</v>
      </c>
      <c r="E112">
        <f>SUMIFS(Generacion!$C:$C,Generacion!$A:$A,$A112,Generacion!$B:$B,E$2)</f>
        <v>1.34494903646368E-2</v>
      </c>
      <c r="F112">
        <f>SUMIFS(Generacion!$C:$C,Generacion!$A:$A,$A112,Generacion!$B:$B,F$2)</f>
        <v>3.5393395696412498E-3</v>
      </c>
      <c r="G112">
        <f>SUMIFS(Generacion!$C:$C,Generacion!$A:$A,$A112,Generacion!$B:$B,G$2)</f>
        <v>2.4775376987488701E-3</v>
      </c>
      <c r="H112">
        <f>SUMPRODUCT((AtractivoAlternativas!$A$2:$A$931=$A112)*AtractivoAlternativas!$C$2:$C$931*COUNTIFS(Alternativas!$A$2:$A$51,AtractivoAlternativas!$B$2:$B$931,Alternativas!$B$2:$B$51,H$2))</f>
        <v>1.1011016072098649</v>
      </c>
      <c r="I112">
        <f>SUMPRODUCT((AtractivoAlternativas!$A$2:$A$931=$A112)*AtractivoAlternativas!$C$2:$C$931*COUNTIFS(Alternativas!$A$2:$A$51,AtractivoAlternativas!$B$2:$B$931,Alternativas!$B$2:$B$51,I$2))</f>
        <v>4.2921428478369243</v>
      </c>
      <c r="J112">
        <f>SUMPRODUCT((AtractivoAlternativas!$A$2:$A$931=$A112)*AtractivoAlternativas!$C$2:$C$931*COUNTIFS(Alternativas!$A$2:$A$51,AtractivoAlternativas!$B$2:$B$931,Alternativas!$B$2:$B$51,J$2))</f>
        <v>0.50084138025905667</v>
      </c>
      <c r="K112">
        <f>SUMPRODUCT((AtractivoAlternativas!$A$2:$A$931=$A112)*AtractivoAlternativas!$C$2:$C$931*COUNTIFS(Alternativas!$A$2:$A$51,AtractivoAlternativas!$B$2:$B$931,Alternativas!$B$2:$B$51,K$2))</f>
        <v>0</v>
      </c>
      <c r="L112">
        <f>SUMPRODUCT((AtractivoAlternativas!$A$2:$A$931=$A112)*AtractivoAlternativas!$C$2:$C$931*COUNTIFS(Alternativas!$A$2:$A$51,AtractivoAlternativas!$B$2:$B$931,Alternativas!$B$2:$B$51,L$2))</f>
        <v>0</v>
      </c>
      <c r="M112">
        <f>SUMIFS(AtractivoSitios!$C:$C,AtractivoSitios!$A:$A,$A112,AtractivoSitios!$B:$B,M$2)</f>
        <v>0</v>
      </c>
      <c r="N112">
        <f>SUMIFS(AtractivoSitios!$C:$C,AtractivoSitios!$A:$A,$A112,AtractivoSitios!$B:$B,N$2)</f>
        <v>0</v>
      </c>
      <c r="O112">
        <f>SUMIFS(AtractivoSitios!$C:$C,AtractivoSitios!$A:$A,$A112,AtractivoSitios!$B:$B,O$2)</f>
        <v>0.56373499543745154</v>
      </c>
      <c r="P112">
        <f>SUMIFS(AtractivoSitios!$C:$C,AtractivoSitios!$A:$A,$A112,AtractivoSitios!$B:$B,P$2)</f>
        <v>0</v>
      </c>
      <c r="Q112">
        <f>SUMIFS(AtractivoSitios!$C:$C,AtractivoSitios!$A:$A,$A112,AtractivoSitios!$B:$B,Q$2)</f>
        <v>0</v>
      </c>
      <c r="R112">
        <f>SUMIFS(AtractivoSitios!$C:$C,AtractivoSitios!$A:$A,$A112,AtractivoSitios!$B:$B,R$2)</f>
        <v>0</v>
      </c>
      <c r="S112">
        <f>SUMIFS(AtractivoSitios!$C:$C,AtractivoSitios!$A:$A,$A112,AtractivoSitios!$B:$B,S$2)</f>
        <v>0</v>
      </c>
      <c r="T112">
        <f>SUM(M112:S112)</f>
        <v>0.56373499543745154</v>
      </c>
      <c r="U112">
        <f>C112/(AD$4+H112+$T112)</f>
        <v>1.917475485514991E-4</v>
      </c>
      <c r="V112">
        <f>D112/(AE$4+I112+$T112)</f>
        <v>5.5314485633256766E-5</v>
      </c>
      <c r="W112">
        <f>E112/(AF$4+J112+$T112)</f>
        <v>3.2024408664367619E-4</v>
      </c>
      <c r="X112">
        <f>F112/(AG$4+K112+$T112)</f>
        <v>1.7420800810708076E-5</v>
      </c>
      <c r="Y112">
        <f>G112/(AH$4+L112+$T112)</f>
        <v>1.0806980516810589E-5</v>
      </c>
    </row>
    <row r="113" spans="1:25">
      <c r="A113" t="s">
        <v>159</v>
      </c>
      <c r="B113">
        <f>SUMIFS(Sectores!$C:$C,Sectores!$A:$A,$A113)</f>
        <v>2388</v>
      </c>
      <c r="C113">
        <f>SUMIFS(Generacion!$C:$C,Generacion!$A:$A,$A113,Generacion!$B:$B,C$2)</f>
        <v>4.3533876706587399E-2</v>
      </c>
      <c r="D113">
        <f>SUMIFS(Generacion!$C:$C,Generacion!$A:$A,$A113,Generacion!$B:$B,D$2)</f>
        <v>3.7870933395161399E-2</v>
      </c>
      <c r="E113">
        <f>SUMIFS(Generacion!$C:$C,Generacion!$A:$A,$A113,Generacion!$B:$B,E$2)</f>
        <v>1.34494903646368E-2</v>
      </c>
      <c r="F113">
        <f>SUMIFS(Generacion!$C:$C,Generacion!$A:$A,$A113,Generacion!$B:$B,F$2)</f>
        <v>3.5393395696412498E-3</v>
      </c>
      <c r="G113">
        <f>SUMIFS(Generacion!$C:$C,Generacion!$A:$A,$A113,Generacion!$B:$B,G$2)</f>
        <v>2.4775376987488701E-3</v>
      </c>
      <c r="H113">
        <f>SUMPRODUCT((AtractivoAlternativas!$A$2:$A$931=$A113)*AtractivoAlternativas!$C$2:$C$931*COUNTIFS(Alternativas!$A$2:$A$51,AtractivoAlternativas!$B$2:$B$931,Alternativas!$B$2:$B$51,H$2))</f>
        <v>0.81462206844063545</v>
      </c>
      <c r="I113">
        <f>SUMPRODUCT((AtractivoAlternativas!$A$2:$A$931=$A113)*AtractivoAlternativas!$C$2:$C$931*COUNTIFS(Alternativas!$A$2:$A$51,AtractivoAlternativas!$B$2:$B$931,Alternativas!$B$2:$B$51,I$2))</f>
        <v>1.7601303946153601</v>
      </c>
      <c r="J113">
        <f>SUMPRODUCT((AtractivoAlternativas!$A$2:$A$931=$A113)*AtractivoAlternativas!$C$2:$C$931*COUNTIFS(Alternativas!$A$2:$A$51,AtractivoAlternativas!$B$2:$B$931,Alternativas!$B$2:$B$51,J$2))</f>
        <v>0.3779676928854146</v>
      </c>
      <c r="K113">
        <f>SUMPRODUCT((AtractivoAlternativas!$A$2:$A$931=$A113)*AtractivoAlternativas!$C$2:$C$931*COUNTIFS(Alternativas!$A$2:$A$51,AtractivoAlternativas!$B$2:$B$931,Alternativas!$B$2:$B$51,K$2))</f>
        <v>0</v>
      </c>
      <c r="L113">
        <f>SUMPRODUCT((AtractivoAlternativas!$A$2:$A$931=$A113)*AtractivoAlternativas!$C$2:$C$931*COUNTIFS(Alternativas!$A$2:$A$51,AtractivoAlternativas!$B$2:$B$931,Alternativas!$B$2:$B$51,L$2))</f>
        <v>0</v>
      </c>
      <c r="M113">
        <f>SUMIFS(AtractivoSitios!$C:$C,AtractivoSitios!$A:$A,$A113,AtractivoSitios!$B:$B,M$2)</f>
        <v>0</v>
      </c>
      <c r="N113">
        <f>SUMIFS(AtractivoSitios!$C:$C,AtractivoSitios!$A:$A,$A113,AtractivoSitios!$B:$B,N$2)</f>
        <v>0</v>
      </c>
      <c r="O113">
        <f>SUMIFS(AtractivoSitios!$C:$C,AtractivoSitios!$A:$A,$A113,AtractivoSitios!$B:$B,O$2)</f>
        <v>0.82560594870676718</v>
      </c>
      <c r="P113">
        <f>SUMIFS(AtractivoSitios!$C:$C,AtractivoSitios!$A:$A,$A113,AtractivoSitios!$B:$B,P$2)</f>
        <v>0</v>
      </c>
      <c r="Q113">
        <f>SUMIFS(AtractivoSitios!$C:$C,AtractivoSitios!$A:$A,$A113,AtractivoSitios!$B:$B,Q$2)</f>
        <v>0</v>
      </c>
      <c r="R113">
        <f>SUMIFS(AtractivoSitios!$C:$C,AtractivoSitios!$A:$A,$A113,AtractivoSitios!$B:$B,R$2)</f>
        <v>0</v>
      </c>
      <c r="S113">
        <f>SUMIFS(AtractivoSitios!$C:$C,AtractivoSitios!$A:$A,$A113,AtractivoSitios!$B:$B,S$2)</f>
        <v>0</v>
      </c>
      <c r="T113">
        <f>SUM(M113:S113)</f>
        <v>0.82560594870676718</v>
      </c>
      <c r="U113">
        <f>C113/(AD$4+H113+$T113)</f>
        <v>1.9176833431705642E-4</v>
      </c>
      <c r="V113">
        <f>D113/(AE$4+I113+$T113)</f>
        <v>5.5498506509053906E-5</v>
      </c>
      <c r="W113">
        <f>E113/(AF$4+J113+$T113)</f>
        <v>3.1918768837631062E-4</v>
      </c>
      <c r="X113">
        <f>F113/(AG$4+K113+$T113)</f>
        <v>1.7398375322422018E-5</v>
      </c>
      <c r="Y113">
        <f>G113/(AH$4+L113+$T113)</f>
        <v>1.0794650036525157E-5</v>
      </c>
    </row>
    <row r="114" spans="1:25">
      <c r="A114" t="s">
        <v>160</v>
      </c>
      <c r="B114">
        <f>SUMIFS(Sectores!$C:$C,Sectores!$A:$A,$A114)</f>
        <v>2515</v>
      </c>
      <c r="C114">
        <f>SUMIFS(Generacion!$C:$C,Generacion!$A:$A,$A114,Generacion!$B:$B,C$2)</f>
        <v>4.3533876706587399E-2</v>
      </c>
      <c r="D114">
        <f>SUMIFS(Generacion!$C:$C,Generacion!$A:$A,$A114,Generacion!$B:$B,D$2)</f>
        <v>3.7870933395161399E-2</v>
      </c>
      <c r="E114">
        <f>SUMIFS(Generacion!$C:$C,Generacion!$A:$A,$A114,Generacion!$B:$B,E$2)</f>
        <v>1.34494903646368E-2</v>
      </c>
      <c r="F114">
        <f>SUMIFS(Generacion!$C:$C,Generacion!$A:$A,$A114,Generacion!$B:$B,F$2)</f>
        <v>3.5393395696412498E-3</v>
      </c>
      <c r="G114">
        <f>SUMIFS(Generacion!$C:$C,Generacion!$A:$A,$A114,Generacion!$B:$B,G$2)</f>
        <v>2.4775376987488701E-3</v>
      </c>
      <c r="H114">
        <f>SUMPRODUCT((AtractivoAlternativas!$A$2:$A$931=$A114)*AtractivoAlternativas!$C$2:$C$931*COUNTIFS(Alternativas!$A$2:$A$51,AtractivoAlternativas!$B$2:$B$931,Alternativas!$B$2:$B$51,H$2))</f>
        <v>0.61748237067628076</v>
      </c>
      <c r="I114">
        <f>SUMPRODUCT((AtractivoAlternativas!$A$2:$A$931=$A114)*AtractivoAlternativas!$C$2:$C$931*COUNTIFS(Alternativas!$A$2:$A$51,AtractivoAlternativas!$B$2:$B$931,Alternativas!$B$2:$B$51,I$2))</f>
        <v>1.6957633071517657</v>
      </c>
      <c r="J114">
        <f>SUMPRODUCT((AtractivoAlternativas!$A$2:$A$931=$A114)*AtractivoAlternativas!$C$2:$C$931*COUNTIFS(Alternativas!$A$2:$A$51,AtractivoAlternativas!$B$2:$B$931,Alternativas!$B$2:$B$51,J$2))</f>
        <v>0</v>
      </c>
      <c r="K114">
        <f>SUMPRODUCT((AtractivoAlternativas!$A$2:$A$931=$A114)*AtractivoAlternativas!$C$2:$C$931*COUNTIFS(Alternativas!$A$2:$A$51,AtractivoAlternativas!$B$2:$B$931,Alternativas!$B$2:$B$51,K$2))</f>
        <v>0</v>
      </c>
      <c r="L114">
        <f>SUMPRODUCT((AtractivoAlternativas!$A$2:$A$931=$A114)*AtractivoAlternativas!$C$2:$C$931*COUNTIFS(Alternativas!$A$2:$A$51,AtractivoAlternativas!$B$2:$B$931,Alternativas!$B$2:$B$51,L$2))</f>
        <v>0</v>
      </c>
      <c r="M114">
        <f>SUMIFS(AtractivoSitios!$C:$C,AtractivoSitios!$A:$A,$A114,AtractivoSitios!$B:$B,M$2)</f>
        <v>0</v>
      </c>
      <c r="N114">
        <f>SUMIFS(AtractivoSitios!$C:$C,AtractivoSitios!$A:$A,$A114,AtractivoSitios!$B:$B,N$2)</f>
        <v>0</v>
      </c>
      <c r="O114">
        <f>SUMIFS(AtractivoSitios!$C:$C,AtractivoSitios!$A:$A,$A114,AtractivoSitios!$B:$B,O$2)</f>
        <v>0.75403847511667721</v>
      </c>
      <c r="P114">
        <f>SUMIFS(AtractivoSitios!$C:$C,AtractivoSitios!$A:$A,$A114,AtractivoSitios!$B:$B,P$2)</f>
        <v>0</v>
      </c>
      <c r="Q114">
        <f>SUMIFS(AtractivoSitios!$C:$C,AtractivoSitios!$A:$A,$A114,AtractivoSitios!$B:$B,Q$2)</f>
        <v>0</v>
      </c>
      <c r="R114">
        <f>SUMIFS(AtractivoSitios!$C:$C,AtractivoSitios!$A:$A,$A114,AtractivoSitios!$B:$B,R$2)</f>
        <v>0</v>
      </c>
      <c r="S114">
        <f>SUMIFS(AtractivoSitios!$C:$C,AtractivoSitios!$A:$A,$A114,AtractivoSitios!$B:$B,S$2)</f>
        <v>0</v>
      </c>
      <c r="T114">
        <f>SUM(M114:S114)</f>
        <v>0.75403847511667721</v>
      </c>
      <c r="U114">
        <f>C114/(AD$4+H114+$T114)</f>
        <v>1.9199559278258277E-4</v>
      </c>
      <c r="V114">
        <f>D114/(AE$4+I114+$T114)</f>
        <v>5.5509564417646132E-5</v>
      </c>
      <c r="W114">
        <f>E114/(AF$4+J114+$T114)</f>
        <v>3.2262966784960678E-4</v>
      </c>
      <c r="X114">
        <f>F114/(AG$4+K114+$T114)</f>
        <v>1.7404498313963089E-5</v>
      </c>
      <c r="Y114">
        <f>G114/(AH$4+L114+$T114)</f>
        <v>1.0798017074323371E-5</v>
      </c>
    </row>
    <row r="115" spans="1:25">
      <c r="A115" t="s">
        <v>161</v>
      </c>
      <c r="B115">
        <f>SUMIFS(Sectores!$C:$C,Sectores!$A:$A,$A115)</f>
        <v>3726</v>
      </c>
      <c r="C115">
        <f>SUMIFS(Generacion!$C:$C,Generacion!$A:$A,$A115,Generacion!$B:$B,C$2)</f>
        <v>4.3533876706587399E-2</v>
      </c>
      <c r="D115">
        <f>SUMIFS(Generacion!$C:$C,Generacion!$A:$A,$A115,Generacion!$B:$B,D$2)</f>
        <v>3.7870933395161399E-2</v>
      </c>
      <c r="E115">
        <f>SUMIFS(Generacion!$C:$C,Generacion!$A:$A,$A115,Generacion!$B:$B,E$2)</f>
        <v>1.34494903646368E-2</v>
      </c>
      <c r="F115">
        <f>SUMIFS(Generacion!$C:$C,Generacion!$A:$A,$A115,Generacion!$B:$B,F$2)</f>
        <v>3.5393395696412498E-3</v>
      </c>
      <c r="G115">
        <f>SUMIFS(Generacion!$C:$C,Generacion!$A:$A,$A115,Generacion!$B:$B,G$2)</f>
        <v>2.4775376987488701E-3</v>
      </c>
      <c r="H115">
        <f>SUMPRODUCT((AtractivoAlternativas!$A$2:$A$931=$A115)*AtractivoAlternativas!$C$2:$C$931*COUNTIFS(Alternativas!$A$2:$A$51,AtractivoAlternativas!$B$2:$B$931,Alternativas!$B$2:$B$51,H$2))</f>
        <v>1.134533870033315</v>
      </c>
      <c r="I115">
        <f>SUMPRODUCT((AtractivoAlternativas!$A$2:$A$931=$A115)*AtractivoAlternativas!$C$2:$C$931*COUNTIFS(Alternativas!$A$2:$A$51,AtractivoAlternativas!$B$2:$B$931,Alternativas!$B$2:$B$51,I$2))</f>
        <v>4.3799247102139045</v>
      </c>
      <c r="J115">
        <f>SUMPRODUCT((AtractivoAlternativas!$A$2:$A$931=$A115)*AtractivoAlternativas!$C$2:$C$931*COUNTIFS(Alternativas!$A$2:$A$51,AtractivoAlternativas!$B$2:$B$931,Alternativas!$B$2:$B$51,J$2))</f>
        <v>0.65891348346565537</v>
      </c>
      <c r="K115">
        <f>SUMPRODUCT((AtractivoAlternativas!$A$2:$A$931=$A115)*AtractivoAlternativas!$C$2:$C$931*COUNTIFS(Alternativas!$A$2:$A$51,AtractivoAlternativas!$B$2:$B$931,Alternativas!$B$2:$B$51,K$2))</f>
        <v>0</v>
      </c>
      <c r="L115">
        <f>SUMPRODUCT((AtractivoAlternativas!$A$2:$A$931=$A115)*AtractivoAlternativas!$C$2:$C$931*COUNTIFS(Alternativas!$A$2:$A$51,AtractivoAlternativas!$B$2:$B$931,Alternativas!$B$2:$B$51,L$2))</f>
        <v>0</v>
      </c>
      <c r="M115">
        <f>SUMIFS(AtractivoSitios!$C:$C,AtractivoSitios!$A:$A,$A115,AtractivoSitios!$B:$B,M$2)</f>
        <v>0.38968995576351173</v>
      </c>
      <c r="N115">
        <f>SUMIFS(AtractivoSitios!$C:$C,AtractivoSitios!$A:$A,$A115,AtractivoSitios!$B:$B,N$2)</f>
        <v>0</v>
      </c>
      <c r="O115">
        <f>SUMIFS(AtractivoSitios!$C:$C,AtractivoSitios!$A:$A,$A115,AtractivoSitios!$B:$B,O$2)</f>
        <v>0.44253073388486902</v>
      </c>
      <c r="P115">
        <f>SUMIFS(AtractivoSitios!$C:$C,AtractivoSitios!$A:$A,$A115,AtractivoSitios!$B:$B,P$2)</f>
        <v>0</v>
      </c>
      <c r="Q115">
        <f>SUMIFS(AtractivoSitios!$C:$C,AtractivoSitios!$A:$A,$A115,AtractivoSitios!$B:$B,Q$2)</f>
        <v>0</v>
      </c>
      <c r="R115">
        <f>SUMIFS(AtractivoSitios!$C:$C,AtractivoSitios!$A:$A,$A115,AtractivoSitios!$B:$B,R$2)</f>
        <v>0</v>
      </c>
      <c r="S115">
        <f>SUMIFS(AtractivoSitios!$C:$C,AtractivoSitios!$A:$A,$A115,AtractivoSitios!$B:$B,S$2)</f>
        <v>0</v>
      </c>
      <c r="T115">
        <f>SUM(M115:S115)</f>
        <v>0.83222068964838081</v>
      </c>
      <c r="U115">
        <f>C115/(AD$4+H115+$T115)</f>
        <v>1.9149289830912872E-4</v>
      </c>
      <c r="V115">
        <f>D115/(AE$4+I115+$T115)</f>
        <v>5.5285716810595008E-5</v>
      </c>
      <c r="W115">
        <f>E115/(AF$4+J115+$T115)</f>
        <v>3.1702416323650396E-4</v>
      </c>
      <c r="X115">
        <f>F115/(AG$4+K115+$T115)</f>
        <v>1.739780961239307E-5</v>
      </c>
      <c r="Y115">
        <f>G115/(AH$4+L115+$T115)</f>
        <v>1.0794338938548596E-5</v>
      </c>
    </row>
    <row r="116" spans="1:25">
      <c r="A116" t="s">
        <v>162</v>
      </c>
      <c r="B116">
        <f>SUMIFS(Sectores!$C:$C,Sectores!$A:$A,$A116)</f>
        <v>3481</v>
      </c>
      <c r="C116">
        <f>SUMIFS(Generacion!$C:$C,Generacion!$A:$A,$A116,Generacion!$B:$B,C$2)</f>
        <v>4.3533876706587399E-2</v>
      </c>
      <c r="D116">
        <f>SUMIFS(Generacion!$C:$C,Generacion!$A:$A,$A116,Generacion!$B:$B,D$2)</f>
        <v>3.7870933395161399E-2</v>
      </c>
      <c r="E116">
        <f>SUMIFS(Generacion!$C:$C,Generacion!$A:$A,$A116,Generacion!$B:$B,E$2)</f>
        <v>1.34494903646368E-2</v>
      </c>
      <c r="F116">
        <f>SUMIFS(Generacion!$C:$C,Generacion!$A:$A,$A116,Generacion!$B:$B,F$2)</f>
        <v>3.5393395696412498E-3</v>
      </c>
      <c r="G116">
        <f>SUMIFS(Generacion!$C:$C,Generacion!$A:$A,$A116,Generacion!$B:$B,G$2)</f>
        <v>2.4775376987488701E-3</v>
      </c>
      <c r="H116">
        <f>SUMPRODUCT((AtractivoAlternativas!$A$2:$A$931=$A116)*AtractivoAlternativas!$C$2:$C$931*COUNTIFS(Alternativas!$A$2:$A$51,AtractivoAlternativas!$B$2:$B$931,Alternativas!$B$2:$B$51,H$2))</f>
        <v>1.1076623271744275</v>
      </c>
      <c r="I116">
        <f>SUMPRODUCT((AtractivoAlternativas!$A$2:$A$931=$A116)*AtractivoAlternativas!$C$2:$C$931*COUNTIFS(Alternativas!$A$2:$A$51,AtractivoAlternativas!$B$2:$B$931,Alternativas!$B$2:$B$51,I$2))</f>
        <v>4.9244152301681217</v>
      </c>
      <c r="J116">
        <f>SUMPRODUCT((AtractivoAlternativas!$A$2:$A$931=$A116)*AtractivoAlternativas!$C$2:$C$931*COUNTIFS(Alternativas!$A$2:$A$51,AtractivoAlternativas!$B$2:$B$931,Alternativas!$B$2:$B$51,J$2))</f>
        <v>0.55776162484295833</v>
      </c>
      <c r="K116">
        <f>SUMPRODUCT((AtractivoAlternativas!$A$2:$A$931=$A116)*AtractivoAlternativas!$C$2:$C$931*COUNTIFS(Alternativas!$A$2:$A$51,AtractivoAlternativas!$B$2:$B$931,Alternativas!$B$2:$B$51,K$2))</f>
        <v>0</v>
      </c>
      <c r="L116">
        <f>SUMPRODUCT((AtractivoAlternativas!$A$2:$A$931=$A116)*AtractivoAlternativas!$C$2:$C$931*COUNTIFS(Alternativas!$A$2:$A$51,AtractivoAlternativas!$B$2:$B$931,Alternativas!$B$2:$B$51,L$2))</f>
        <v>0</v>
      </c>
      <c r="M116">
        <f>SUMIFS(AtractivoSitios!$C:$C,AtractivoSitios!$A:$A,$A116,AtractivoSitios!$B:$B,M$2)</f>
        <v>0</v>
      </c>
      <c r="N116">
        <f>SUMIFS(AtractivoSitios!$C:$C,AtractivoSitios!$A:$A,$A116,AtractivoSitios!$B:$B,N$2)</f>
        <v>0</v>
      </c>
      <c r="O116">
        <f>SUMIFS(AtractivoSitios!$C:$C,AtractivoSitios!$A:$A,$A116,AtractivoSitios!$B:$B,O$2)</f>
        <v>0.42225390338259122</v>
      </c>
      <c r="P116">
        <f>SUMIFS(AtractivoSitios!$C:$C,AtractivoSitios!$A:$A,$A116,AtractivoSitios!$B:$B,P$2)</f>
        <v>0</v>
      </c>
      <c r="Q116">
        <f>SUMIFS(AtractivoSitios!$C:$C,AtractivoSitios!$A:$A,$A116,AtractivoSitios!$B:$B,Q$2)</f>
        <v>0</v>
      </c>
      <c r="R116">
        <f>SUMIFS(AtractivoSitios!$C:$C,AtractivoSitios!$A:$A,$A116,AtractivoSitios!$B:$B,R$2)</f>
        <v>0</v>
      </c>
      <c r="S116">
        <f>SUMIFS(AtractivoSitios!$C:$C,AtractivoSitios!$A:$A,$A116,AtractivoSitios!$B:$B,S$2)</f>
        <v>0</v>
      </c>
      <c r="T116">
        <f>SUM(M116:S116)</f>
        <v>0.42225390338259122</v>
      </c>
      <c r="U116">
        <f>C116/(AD$4+H116+$T116)</f>
        <v>1.9186156512640738E-4</v>
      </c>
      <c r="V116">
        <f>D116/(AE$4+I116+$T116)</f>
        <v>5.5274861718484119E-5</v>
      </c>
      <c r="W116">
        <f>E116/(AF$4+J116+$T116)</f>
        <v>3.2089018860050668E-4</v>
      </c>
      <c r="X116">
        <f>F116/(AG$4+K116+$T116)</f>
        <v>1.7432940705972247E-5</v>
      </c>
      <c r="Y116">
        <f>G116/(AH$4+L116+$T116)</f>
        <v>1.0813654036887304E-5</v>
      </c>
    </row>
    <row r="117" spans="1:25">
      <c r="A117" t="s">
        <v>163</v>
      </c>
      <c r="B117">
        <f>SUMIFS(Sectores!$C:$C,Sectores!$A:$A,$A117)</f>
        <v>5054</v>
      </c>
      <c r="C117">
        <f>SUMIFS(Generacion!$C:$C,Generacion!$A:$A,$A117,Generacion!$B:$B,C$2)</f>
        <v>4.3533876706587399E-2</v>
      </c>
      <c r="D117">
        <f>SUMIFS(Generacion!$C:$C,Generacion!$A:$A,$A117,Generacion!$B:$B,D$2)</f>
        <v>3.7870933395161399E-2</v>
      </c>
      <c r="E117">
        <f>SUMIFS(Generacion!$C:$C,Generacion!$A:$A,$A117,Generacion!$B:$B,E$2)</f>
        <v>1.34494903646368E-2</v>
      </c>
      <c r="F117">
        <f>SUMIFS(Generacion!$C:$C,Generacion!$A:$A,$A117,Generacion!$B:$B,F$2)</f>
        <v>3.5393395696412498E-3</v>
      </c>
      <c r="G117">
        <f>SUMIFS(Generacion!$C:$C,Generacion!$A:$A,$A117,Generacion!$B:$B,G$2)</f>
        <v>2.4775376987488701E-3</v>
      </c>
      <c r="H117">
        <f>SUMPRODUCT((AtractivoAlternativas!$A$2:$A$931=$A117)*AtractivoAlternativas!$C$2:$C$931*COUNTIFS(Alternativas!$A$2:$A$51,AtractivoAlternativas!$B$2:$B$931,Alternativas!$B$2:$B$51,H$2))</f>
        <v>1.3073698509233884</v>
      </c>
      <c r="I117">
        <f>SUMPRODUCT((AtractivoAlternativas!$A$2:$A$931=$A117)*AtractivoAlternativas!$C$2:$C$931*COUNTIFS(Alternativas!$A$2:$A$51,AtractivoAlternativas!$B$2:$B$931,Alternativas!$B$2:$B$51,I$2))</f>
        <v>5.0733013710640247</v>
      </c>
      <c r="J117">
        <f>SUMPRODUCT((AtractivoAlternativas!$A$2:$A$931=$A117)*AtractivoAlternativas!$C$2:$C$931*COUNTIFS(Alternativas!$A$2:$A$51,AtractivoAlternativas!$B$2:$B$931,Alternativas!$B$2:$B$51,J$2))</f>
        <v>0.88794218664398361</v>
      </c>
      <c r="K117">
        <f>SUMPRODUCT((AtractivoAlternativas!$A$2:$A$931=$A117)*AtractivoAlternativas!$C$2:$C$931*COUNTIFS(Alternativas!$A$2:$A$51,AtractivoAlternativas!$B$2:$B$931,Alternativas!$B$2:$B$51,K$2))</f>
        <v>0</v>
      </c>
      <c r="L117">
        <f>SUMPRODUCT((AtractivoAlternativas!$A$2:$A$931=$A117)*AtractivoAlternativas!$C$2:$C$931*COUNTIFS(Alternativas!$A$2:$A$51,AtractivoAlternativas!$B$2:$B$931,Alternativas!$B$2:$B$51,L$2))</f>
        <v>0</v>
      </c>
      <c r="M117">
        <f>SUMIFS(AtractivoSitios!$C:$C,AtractivoSitios!$A:$A,$A117,AtractivoSitios!$B:$B,M$2)</f>
        <v>0.58992806227891914</v>
      </c>
      <c r="N117">
        <f>SUMIFS(AtractivoSitios!$C:$C,AtractivoSitios!$A:$A,$A117,AtractivoSitios!$B:$B,N$2)</f>
        <v>0</v>
      </c>
      <c r="O117">
        <f>SUMIFS(AtractivoSitios!$C:$C,AtractivoSitios!$A:$A,$A117,AtractivoSitios!$B:$B,O$2)</f>
        <v>0</v>
      </c>
      <c r="P117">
        <f>SUMIFS(AtractivoSitios!$C:$C,AtractivoSitios!$A:$A,$A117,AtractivoSitios!$B:$B,P$2)</f>
        <v>0</v>
      </c>
      <c r="Q117">
        <f>SUMIFS(AtractivoSitios!$C:$C,AtractivoSitios!$A:$A,$A117,AtractivoSitios!$B:$B,Q$2)</f>
        <v>0</v>
      </c>
      <c r="R117">
        <f>SUMIFS(AtractivoSitios!$C:$C,AtractivoSitios!$A:$A,$A117,AtractivoSitios!$B:$B,R$2)</f>
        <v>0</v>
      </c>
      <c r="S117">
        <f>SUMIFS(AtractivoSitios!$C:$C,AtractivoSitios!$A:$A,$A117,AtractivoSitios!$B:$B,S$2)</f>
        <v>0</v>
      </c>
      <c r="T117">
        <f>SUM(M117:S117)</f>
        <v>0.58992806227891914</v>
      </c>
      <c r="U117">
        <f>C117/(AD$4+H117+$T117)</f>
        <v>1.9155142103121237E-4</v>
      </c>
      <c r="V117">
        <f>D117/(AE$4+I117+$T117)</f>
        <v>5.524933440248392E-5</v>
      </c>
      <c r="W117">
        <f>E117/(AF$4+J117+$T117)</f>
        <v>3.1712331187074065E-4</v>
      </c>
      <c r="X117">
        <f>F117/(AG$4+K117+$T117)</f>
        <v>1.7418555148850228E-5</v>
      </c>
      <c r="Y117">
        <f>G117/(AH$4+L117+$T117)</f>
        <v>1.0805745919860515E-5</v>
      </c>
    </row>
    <row r="118" spans="1:25">
      <c r="A118" t="s">
        <v>164</v>
      </c>
      <c r="B118">
        <f>SUMIFS(Sectores!$C:$C,Sectores!$A:$A,$A118)</f>
        <v>4565</v>
      </c>
      <c r="C118">
        <f>SUMIFS(Generacion!$C:$C,Generacion!$A:$A,$A118,Generacion!$B:$B,C$2)</f>
        <v>4.3533876706587399E-2</v>
      </c>
      <c r="D118">
        <f>SUMIFS(Generacion!$C:$C,Generacion!$A:$A,$A118,Generacion!$B:$B,D$2)</f>
        <v>3.7870933395161399E-2</v>
      </c>
      <c r="E118">
        <f>SUMIFS(Generacion!$C:$C,Generacion!$A:$A,$A118,Generacion!$B:$B,E$2)</f>
        <v>1.34494903646368E-2</v>
      </c>
      <c r="F118">
        <f>SUMIFS(Generacion!$C:$C,Generacion!$A:$A,$A118,Generacion!$B:$B,F$2)</f>
        <v>3.5393395696412498E-3</v>
      </c>
      <c r="G118">
        <f>SUMIFS(Generacion!$C:$C,Generacion!$A:$A,$A118,Generacion!$B:$B,G$2)</f>
        <v>2.4775376987488701E-3</v>
      </c>
      <c r="H118">
        <f>SUMPRODUCT((AtractivoAlternativas!$A$2:$A$931=$A118)*AtractivoAlternativas!$C$2:$C$931*COUNTIFS(Alternativas!$A$2:$A$51,AtractivoAlternativas!$B$2:$B$931,Alternativas!$B$2:$B$51,H$2))</f>
        <v>1.011401011046984</v>
      </c>
      <c r="I118">
        <f>SUMPRODUCT((AtractivoAlternativas!$A$2:$A$931=$A118)*AtractivoAlternativas!$C$2:$C$931*COUNTIFS(Alternativas!$A$2:$A$51,AtractivoAlternativas!$B$2:$B$931,Alternativas!$B$2:$B$51,I$2))</f>
        <v>5.2860257098441013</v>
      </c>
      <c r="J118">
        <f>SUMPRODUCT((AtractivoAlternativas!$A$2:$A$931=$A118)*AtractivoAlternativas!$C$2:$C$931*COUNTIFS(Alternativas!$A$2:$A$51,AtractivoAlternativas!$B$2:$B$931,Alternativas!$B$2:$B$51,J$2))</f>
        <v>0.49278995991564672</v>
      </c>
      <c r="K118">
        <f>SUMPRODUCT((AtractivoAlternativas!$A$2:$A$931=$A118)*AtractivoAlternativas!$C$2:$C$931*COUNTIFS(Alternativas!$A$2:$A$51,AtractivoAlternativas!$B$2:$B$931,Alternativas!$B$2:$B$51,K$2))</f>
        <v>0</v>
      </c>
      <c r="L118">
        <f>SUMPRODUCT((AtractivoAlternativas!$A$2:$A$931=$A118)*AtractivoAlternativas!$C$2:$C$931*COUNTIFS(Alternativas!$A$2:$A$51,AtractivoAlternativas!$B$2:$B$931,Alternativas!$B$2:$B$51,L$2))</f>
        <v>0</v>
      </c>
      <c r="M118">
        <f>SUMIFS(AtractivoSitios!$C:$C,AtractivoSitios!$A:$A,$A118,AtractivoSitios!$B:$B,M$2)</f>
        <v>0</v>
      </c>
      <c r="N118">
        <f>SUMIFS(AtractivoSitios!$C:$C,AtractivoSitios!$A:$A,$A118,AtractivoSitios!$B:$B,N$2)</f>
        <v>0</v>
      </c>
      <c r="O118">
        <f>SUMIFS(AtractivoSitios!$C:$C,AtractivoSitios!$A:$A,$A118,AtractivoSitios!$B:$B,O$2)</f>
        <v>0</v>
      </c>
      <c r="P118">
        <f>SUMIFS(AtractivoSitios!$C:$C,AtractivoSitios!$A:$A,$A118,AtractivoSitios!$B:$B,P$2)</f>
        <v>0</v>
      </c>
      <c r="Q118">
        <f>SUMIFS(AtractivoSitios!$C:$C,AtractivoSitios!$A:$A,$A118,AtractivoSitios!$B:$B,Q$2)</f>
        <v>0</v>
      </c>
      <c r="R118">
        <f>SUMIFS(AtractivoSitios!$C:$C,AtractivoSitios!$A:$A,$A118,AtractivoSitios!$B:$B,R$2)</f>
        <v>0</v>
      </c>
      <c r="S118">
        <f>SUMIFS(AtractivoSitios!$C:$C,AtractivoSitios!$A:$A,$A118,AtractivoSitios!$B:$B,S$2)</f>
        <v>0</v>
      </c>
      <c r="T118">
        <f>SUM(M118:S118)</f>
        <v>0</v>
      </c>
      <c r="U118">
        <f>C118/(AD$4+H118+$T118)</f>
        <v>1.9230100930131574E-4</v>
      </c>
      <c r="V118">
        <f>D118/(AE$4+I118+$T118)</f>
        <v>5.5279754676334456E-5</v>
      </c>
      <c r="W118">
        <f>E118/(AF$4+J118+$T118)</f>
        <v>3.2466430441895002E-4</v>
      </c>
      <c r="X118">
        <f>F118/(AG$4+K118+$T118)</f>
        <v>1.7469273344224566E-5</v>
      </c>
      <c r="Y118">
        <f>G118/(AH$4+L118+$T118)</f>
        <v>1.0833620424026486E-5</v>
      </c>
    </row>
    <row r="119" spans="1:25">
      <c r="A119" t="s">
        <v>165</v>
      </c>
      <c r="B119">
        <f>SUMIFS(Sectores!$C:$C,Sectores!$A:$A,$A119)</f>
        <v>4302</v>
      </c>
      <c r="C119">
        <f>SUMIFS(Generacion!$C:$C,Generacion!$A:$A,$A119,Generacion!$B:$B,C$2)</f>
        <v>4.3533876706587399E-2</v>
      </c>
      <c r="D119">
        <f>SUMIFS(Generacion!$C:$C,Generacion!$A:$A,$A119,Generacion!$B:$B,D$2)</f>
        <v>3.7870933395161399E-2</v>
      </c>
      <c r="E119">
        <f>SUMIFS(Generacion!$C:$C,Generacion!$A:$A,$A119,Generacion!$B:$B,E$2)</f>
        <v>1.34494903646368E-2</v>
      </c>
      <c r="F119">
        <f>SUMIFS(Generacion!$C:$C,Generacion!$A:$A,$A119,Generacion!$B:$B,F$2)</f>
        <v>3.5393395696412498E-3</v>
      </c>
      <c r="G119">
        <f>SUMIFS(Generacion!$C:$C,Generacion!$A:$A,$A119,Generacion!$B:$B,G$2)</f>
        <v>2.4775376987488701E-3</v>
      </c>
      <c r="H119">
        <f>SUMPRODUCT((AtractivoAlternativas!$A$2:$A$931=$A119)*AtractivoAlternativas!$C$2:$C$931*COUNTIFS(Alternativas!$A$2:$A$51,AtractivoAlternativas!$B$2:$B$931,Alternativas!$B$2:$B$51,H$2))</f>
        <v>1.0991353683449359</v>
      </c>
      <c r="I119">
        <f>SUMPRODUCT((AtractivoAlternativas!$A$2:$A$931=$A119)*AtractivoAlternativas!$C$2:$C$931*COUNTIFS(Alternativas!$A$2:$A$51,AtractivoAlternativas!$B$2:$B$931,Alternativas!$B$2:$B$51,I$2))</f>
        <v>4.7984632170438957</v>
      </c>
      <c r="J119">
        <f>SUMPRODUCT((AtractivoAlternativas!$A$2:$A$931=$A119)*AtractivoAlternativas!$C$2:$C$931*COUNTIFS(Alternativas!$A$2:$A$51,AtractivoAlternativas!$B$2:$B$931,Alternativas!$B$2:$B$51,J$2))</f>
        <v>0.66340760386506592</v>
      </c>
      <c r="K119">
        <f>SUMPRODUCT((AtractivoAlternativas!$A$2:$A$931=$A119)*AtractivoAlternativas!$C$2:$C$931*COUNTIFS(Alternativas!$A$2:$A$51,AtractivoAlternativas!$B$2:$B$931,Alternativas!$B$2:$B$51,K$2))</f>
        <v>0</v>
      </c>
      <c r="L119">
        <f>SUMPRODUCT((AtractivoAlternativas!$A$2:$A$931=$A119)*AtractivoAlternativas!$C$2:$C$931*COUNTIFS(Alternativas!$A$2:$A$51,AtractivoAlternativas!$B$2:$B$931,Alternativas!$B$2:$B$51,L$2))</f>
        <v>0</v>
      </c>
      <c r="M119">
        <f>SUMIFS(AtractivoSitios!$C:$C,AtractivoSitios!$A:$A,$A119,AtractivoSitios!$B:$B,M$2)</f>
        <v>0.45553225566629429</v>
      </c>
      <c r="N119">
        <f>SUMIFS(AtractivoSitios!$C:$C,AtractivoSitios!$A:$A,$A119,AtractivoSitios!$B:$B,N$2)</f>
        <v>0</v>
      </c>
      <c r="O119">
        <f>SUMIFS(AtractivoSitios!$C:$C,AtractivoSitios!$A:$A,$A119,AtractivoSitios!$B:$B,O$2)</f>
        <v>0</v>
      </c>
      <c r="P119">
        <f>SUMIFS(AtractivoSitios!$C:$C,AtractivoSitios!$A:$A,$A119,AtractivoSitios!$B:$B,P$2)</f>
        <v>0</v>
      </c>
      <c r="Q119">
        <f>SUMIFS(AtractivoSitios!$C:$C,AtractivoSitios!$A:$A,$A119,AtractivoSitios!$B:$B,Q$2)</f>
        <v>0</v>
      </c>
      <c r="R119">
        <f>SUMIFS(AtractivoSitios!$C:$C,AtractivoSitios!$A:$A,$A119,AtractivoSitios!$B:$B,R$2)</f>
        <v>0</v>
      </c>
      <c r="S119">
        <f>SUMIFS(AtractivoSitios!$C:$C,AtractivoSitios!$A:$A,$A119,AtractivoSitios!$B:$B,S$2)</f>
        <v>0</v>
      </c>
      <c r="T119">
        <f>SUM(M119:S119)</f>
        <v>0.45553225566629429</v>
      </c>
      <c r="U119">
        <f>C119/(AD$4+H119+$T119)</f>
        <v>1.918406384188675E-4</v>
      </c>
      <c r="V119">
        <f>D119/(AE$4+I119+$T119)</f>
        <v>5.528233935563252E-5</v>
      </c>
      <c r="W119">
        <f>E119/(AF$4+J119+$T119)</f>
        <v>3.1983008517184972E-4</v>
      </c>
      <c r="X119">
        <f>F119/(AG$4+K119+$T119)</f>
        <v>1.7430083709466558E-5</v>
      </c>
      <c r="Y119">
        <f>G119/(AH$4+L119+$T119)</f>
        <v>1.0812083589436387E-5</v>
      </c>
    </row>
    <row r="120" spans="1:25">
      <c r="A120" t="s">
        <v>166</v>
      </c>
      <c r="B120">
        <f>SUMIFS(Sectores!$C:$C,Sectores!$A:$A,$A120)</f>
        <v>4114</v>
      </c>
      <c r="C120">
        <f>SUMIFS(Generacion!$C:$C,Generacion!$A:$A,$A120,Generacion!$B:$B,C$2)</f>
        <v>4.3533876706587399E-2</v>
      </c>
      <c r="D120">
        <f>SUMIFS(Generacion!$C:$C,Generacion!$A:$A,$A120,Generacion!$B:$B,D$2)</f>
        <v>3.7870933395161399E-2</v>
      </c>
      <c r="E120">
        <f>SUMIFS(Generacion!$C:$C,Generacion!$A:$A,$A120,Generacion!$B:$B,E$2)</f>
        <v>1.34494903646368E-2</v>
      </c>
      <c r="F120">
        <f>SUMIFS(Generacion!$C:$C,Generacion!$A:$A,$A120,Generacion!$B:$B,F$2)</f>
        <v>3.5393395696412498E-3</v>
      </c>
      <c r="G120">
        <f>SUMIFS(Generacion!$C:$C,Generacion!$A:$A,$A120,Generacion!$B:$B,G$2)</f>
        <v>2.4775376987488701E-3</v>
      </c>
      <c r="H120">
        <f>SUMPRODUCT((AtractivoAlternativas!$A$2:$A$931=$A120)*AtractivoAlternativas!$C$2:$C$931*COUNTIFS(Alternativas!$A$2:$A$51,AtractivoAlternativas!$B$2:$B$931,Alternativas!$B$2:$B$51,H$2))</f>
        <v>0.94937896847102698</v>
      </c>
      <c r="I120">
        <f>SUMPRODUCT((AtractivoAlternativas!$A$2:$A$931=$A120)*AtractivoAlternativas!$C$2:$C$931*COUNTIFS(Alternativas!$A$2:$A$51,AtractivoAlternativas!$B$2:$B$931,Alternativas!$B$2:$B$51,I$2))</f>
        <v>4.7762294276207173</v>
      </c>
      <c r="J120">
        <f>SUMPRODUCT((AtractivoAlternativas!$A$2:$A$931=$A120)*AtractivoAlternativas!$C$2:$C$931*COUNTIFS(Alternativas!$A$2:$A$51,AtractivoAlternativas!$B$2:$B$931,Alternativas!$B$2:$B$51,J$2))</f>
        <v>0.54921220081358657</v>
      </c>
      <c r="K120">
        <f>SUMPRODUCT((AtractivoAlternativas!$A$2:$A$931=$A120)*AtractivoAlternativas!$C$2:$C$931*COUNTIFS(Alternativas!$A$2:$A$51,AtractivoAlternativas!$B$2:$B$931,Alternativas!$B$2:$B$51,K$2))</f>
        <v>0</v>
      </c>
      <c r="L120">
        <f>SUMPRODUCT((AtractivoAlternativas!$A$2:$A$931=$A120)*AtractivoAlternativas!$C$2:$C$931*COUNTIFS(Alternativas!$A$2:$A$51,AtractivoAlternativas!$B$2:$B$931,Alternativas!$B$2:$B$51,L$2))</f>
        <v>0</v>
      </c>
      <c r="M120">
        <f>SUMIFS(AtractivoSitios!$C:$C,AtractivoSitios!$A:$A,$A120,AtractivoSitios!$B:$B,M$2)</f>
        <v>0.50720454043957075</v>
      </c>
      <c r="N120">
        <f>SUMIFS(AtractivoSitios!$C:$C,AtractivoSitios!$A:$A,$A120,AtractivoSitios!$B:$B,N$2)</f>
        <v>0</v>
      </c>
      <c r="O120">
        <f>SUMIFS(AtractivoSitios!$C:$C,AtractivoSitios!$A:$A,$A120,AtractivoSitios!$B:$B,O$2)</f>
        <v>0</v>
      </c>
      <c r="P120">
        <f>SUMIFS(AtractivoSitios!$C:$C,AtractivoSitios!$A:$A,$A120,AtractivoSitios!$B:$B,P$2)</f>
        <v>0</v>
      </c>
      <c r="Q120">
        <f>SUMIFS(AtractivoSitios!$C:$C,AtractivoSitios!$A:$A,$A120,AtractivoSitios!$B:$B,Q$2)</f>
        <v>0</v>
      </c>
      <c r="R120">
        <f>SUMIFS(AtractivoSitios!$C:$C,AtractivoSitios!$A:$A,$A120,AtractivoSitios!$B:$B,R$2)</f>
        <v>0</v>
      </c>
      <c r="S120">
        <f>SUMIFS(AtractivoSitios!$C:$C,AtractivoSitios!$A:$A,$A120,AtractivoSitios!$B:$B,S$2)</f>
        <v>0</v>
      </c>
      <c r="T120">
        <f>SUM(M120:S120)</f>
        <v>0.50720454043957075</v>
      </c>
      <c r="U120">
        <f>C120/(AD$4+H120+$T120)</f>
        <v>1.9192359298797655E-4</v>
      </c>
      <c r="V120">
        <f>D120/(AE$4+I120+$T120)</f>
        <v>5.5279963807895056E-5</v>
      </c>
      <c r="W120">
        <f>E120/(AF$4+J120+$T120)</f>
        <v>3.2030631831992881E-4</v>
      </c>
      <c r="X120">
        <f>F120/(AG$4+K120+$T120)</f>
        <v>1.742564942164701E-5</v>
      </c>
      <c r="Y120">
        <f>G120/(AH$4+L120+$T120)</f>
        <v>1.0809646012902876E-5</v>
      </c>
    </row>
    <row r="121" spans="1:25">
      <c r="A121" t="s">
        <v>167</v>
      </c>
      <c r="B121">
        <f>SUMIFS(Sectores!$C:$C,Sectores!$A:$A,$A121)</f>
        <v>4648</v>
      </c>
      <c r="C121">
        <f>SUMIFS(Generacion!$C:$C,Generacion!$A:$A,$A121,Generacion!$B:$B,C$2)</f>
        <v>4.3533876706587399E-2</v>
      </c>
      <c r="D121">
        <f>SUMIFS(Generacion!$C:$C,Generacion!$A:$A,$A121,Generacion!$B:$B,D$2)</f>
        <v>3.7870933395161399E-2</v>
      </c>
      <c r="E121">
        <f>SUMIFS(Generacion!$C:$C,Generacion!$A:$A,$A121,Generacion!$B:$B,E$2)</f>
        <v>1.34494903646368E-2</v>
      </c>
      <c r="F121">
        <f>SUMIFS(Generacion!$C:$C,Generacion!$A:$A,$A121,Generacion!$B:$B,F$2)</f>
        <v>3.5393395696412498E-3</v>
      </c>
      <c r="G121">
        <f>SUMIFS(Generacion!$C:$C,Generacion!$A:$A,$A121,Generacion!$B:$B,G$2)</f>
        <v>2.4775376987488701E-3</v>
      </c>
      <c r="H121">
        <f>SUMPRODUCT((AtractivoAlternativas!$A$2:$A$931=$A121)*AtractivoAlternativas!$C$2:$C$931*COUNTIFS(Alternativas!$A$2:$A$51,AtractivoAlternativas!$B$2:$B$931,Alternativas!$B$2:$B$51,H$2))</f>
        <v>1.166780040427861</v>
      </c>
      <c r="I121">
        <f>SUMPRODUCT((AtractivoAlternativas!$A$2:$A$931=$A121)*AtractivoAlternativas!$C$2:$C$931*COUNTIFS(Alternativas!$A$2:$A$51,AtractivoAlternativas!$B$2:$B$931,Alternativas!$B$2:$B$51,I$2))</f>
        <v>4.8380948712202185</v>
      </c>
      <c r="J121">
        <f>SUMPRODUCT((AtractivoAlternativas!$A$2:$A$931=$A121)*AtractivoAlternativas!$C$2:$C$931*COUNTIFS(Alternativas!$A$2:$A$51,AtractivoAlternativas!$B$2:$B$931,Alternativas!$B$2:$B$51,J$2))</f>
        <v>0.69872094595573853</v>
      </c>
      <c r="K121">
        <f>SUMPRODUCT((AtractivoAlternativas!$A$2:$A$931=$A121)*AtractivoAlternativas!$C$2:$C$931*COUNTIFS(Alternativas!$A$2:$A$51,AtractivoAlternativas!$B$2:$B$931,Alternativas!$B$2:$B$51,K$2))</f>
        <v>0</v>
      </c>
      <c r="L121">
        <f>SUMPRODUCT((AtractivoAlternativas!$A$2:$A$931=$A121)*AtractivoAlternativas!$C$2:$C$931*COUNTIFS(Alternativas!$A$2:$A$51,AtractivoAlternativas!$B$2:$B$931,Alternativas!$B$2:$B$51,L$2))</f>
        <v>0</v>
      </c>
      <c r="M121">
        <f>SUMIFS(AtractivoSitios!$C:$C,AtractivoSitios!$A:$A,$A121,AtractivoSitios!$B:$B,M$2)</f>
        <v>0.63437826063817726</v>
      </c>
      <c r="N121">
        <f>SUMIFS(AtractivoSitios!$C:$C,AtractivoSitios!$A:$A,$A121,AtractivoSitios!$B:$B,N$2)</f>
        <v>0</v>
      </c>
      <c r="O121">
        <f>SUMIFS(AtractivoSitios!$C:$C,AtractivoSitios!$A:$A,$A121,AtractivoSitios!$B:$B,O$2)</f>
        <v>0</v>
      </c>
      <c r="P121">
        <f>SUMIFS(AtractivoSitios!$C:$C,AtractivoSitios!$A:$A,$A121,AtractivoSitios!$B:$B,P$2)</f>
        <v>0</v>
      </c>
      <c r="Q121">
        <f>SUMIFS(AtractivoSitios!$C:$C,AtractivoSitios!$A:$A,$A121,AtractivoSitios!$B:$B,Q$2)</f>
        <v>0</v>
      </c>
      <c r="R121">
        <f>SUMIFS(AtractivoSitios!$C:$C,AtractivoSitios!$A:$A,$A121,AtractivoSitios!$B:$B,R$2)</f>
        <v>0</v>
      </c>
      <c r="S121">
        <f>SUMIFS(AtractivoSitios!$C:$C,AtractivoSitios!$A:$A,$A121,AtractivoSitios!$B:$B,S$2)</f>
        <v>0</v>
      </c>
      <c r="T121">
        <f>SUM(M121:S121)</f>
        <v>0.63437826063817726</v>
      </c>
      <c r="U121">
        <f>C121/(AD$4+H121+$T121)</f>
        <v>1.9163248531181809E-4</v>
      </c>
      <c r="V121">
        <f>D121/(AE$4+I121+$T121)</f>
        <v>5.5264714102419258E-5</v>
      </c>
      <c r="W121">
        <f>E121/(AF$4+J121+$T121)</f>
        <v>3.1820953044325683E-4</v>
      </c>
      <c r="X121">
        <f>F121/(AG$4+K121+$T121)</f>
        <v>1.7414745536967519E-5</v>
      </c>
      <c r="Y121">
        <f>G121/(AH$4+L121+$T121)</f>
        <v>1.0803651427662624E-5</v>
      </c>
    </row>
    <row r="122" spans="1:25">
      <c r="A122" t="s">
        <v>168</v>
      </c>
      <c r="B122">
        <f>SUMIFS(Sectores!$C:$C,Sectores!$A:$A,$A122)</f>
        <v>3892</v>
      </c>
      <c r="C122">
        <f>SUMIFS(Generacion!$C:$C,Generacion!$A:$A,$A122,Generacion!$B:$B,C$2)</f>
        <v>4.3533876706587399E-2</v>
      </c>
      <c r="D122">
        <f>SUMIFS(Generacion!$C:$C,Generacion!$A:$A,$A122,Generacion!$B:$B,D$2)</f>
        <v>3.7870933395161399E-2</v>
      </c>
      <c r="E122">
        <f>SUMIFS(Generacion!$C:$C,Generacion!$A:$A,$A122,Generacion!$B:$B,E$2)</f>
        <v>1.34494903646368E-2</v>
      </c>
      <c r="F122">
        <f>SUMIFS(Generacion!$C:$C,Generacion!$A:$A,$A122,Generacion!$B:$B,F$2)</f>
        <v>3.5393395696412498E-3</v>
      </c>
      <c r="G122">
        <f>SUMIFS(Generacion!$C:$C,Generacion!$A:$A,$A122,Generacion!$B:$B,G$2)</f>
        <v>2.4775376987488701E-3</v>
      </c>
      <c r="H122">
        <f>SUMPRODUCT((AtractivoAlternativas!$A$2:$A$931=$A122)*AtractivoAlternativas!$C$2:$C$931*COUNTIFS(Alternativas!$A$2:$A$51,AtractivoAlternativas!$B$2:$B$931,Alternativas!$B$2:$B$51,H$2))</f>
        <v>1.1810983005668914</v>
      </c>
      <c r="I122">
        <f>SUMPRODUCT((AtractivoAlternativas!$A$2:$A$931=$A122)*AtractivoAlternativas!$C$2:$C$931*COUNTIFS(Alternativas!$A$2:$A$51,AtractivoAlternativas!$B$2:$B$931,Alternativas!$B$2:$B$51,I$2))</f>
        <v>4.9004715591705947</v>
      </c>
      <c r="J122">
        <f>SUMPRODUCT((AtractivoAlternativas!$A$2:$A$931=$A122)*AtractivoAlternativas!$C$2:$C$931*COUNTIFS(Alternativas!$A$2:$A$51,AtractivoAlternativas!$B$2:$B$931,Alternativas!$B$2:$B$51,J$2))</f>
        <v>0.55464462340004872</v>
      </c>
      <c r="K122">
        <f>SUMPRODUCT((AtractivoAlternativas!$A$2:$A$931=$A122)*AtractivoAlternativas!$C$2:$C$931*COUNTIFS(Alternativas!$A$2:$A$51,AtractivoAlternativas!$B$2:$B$931,Alternativas!$B$2:$B$51,K$2))</f>
        <v>0</v>
      </c>
      <c r="L122">
        <f>SUMPRODUCT((AtractivoAlternativas!$A$2:$A$931=$A122)*AtractivoAlternativas!$C$2:$C$931*COUNTIFS(Alternativas!$A$2:$A$51,AtractivoAlternativas!$B$2:$B$931,Alternativas!$B$2:$B$51,L$2))</f>
        <v>0</v>
      </c>
      <c r="M122">
        <f>SUMIFS(AtractivoSitios!$C:$C,AtractivoSitios!$A:$A,$A122,AtractivoSitios!$B:$B,M$2)</f>
        <v>0.78806862348408435</v>
      </c>
      <c r="N122">
        <f>SUMIFS(AtractivoSitios!$C:$C,AtractivoSitios!$A:$A,$A122,AtractivoSitios!$B:$B,N$2)</f>
        <v>0</v>
      </c>
      <c r="O122">
        <f>SUMIFS(AtractivoSitios!$C:$C,AtractivoSitios!$A:$A,$A122,AtractivoSitios!$B:$B,O$2)</f>
        <v>0</v>
      </c>
      <c r="P122">
        <f>SUMIFS(AtractivoSitios!$C:$C,AtractivoSitios!$A:$A,$A122,AtractivoSitios!$B:$B,P$2)</f>
        <v>0</v>
      </c>
      <c r="Q122">
        <f>SUMIFS(AtractivoSitios!$C:$C,AtractivoSitios!$A:$A,$A122,AtractivoSitios!$B:$B,Q$2)</f>
        <v>0</v>
      </c>
      <c r="R122">
        <f>SUMIFS(AtractivoSitios!$C:$C,AtractivoSitios!$A:$A,$A122,AtractivoSitios!$B:$B,R$2)</f>
        <v>0.39623157731473591</v>
      </c>
      <c r="S122">
        <f>SUMIFS(AtractivoSitios!$C:$C,AtractivoSitios!$A:$A,$A122,AtractivoSitios!$B:$B,S$2)</f>
        <v>0</v>
      </c>
      <c r="T122">
        <f>SUM(M122:S122)</f>
        <v>1.1843002007988201</v>
      </c>
      <c r="U122">
        <f>C122/(AD$4+H122+$T122)</f>
        <v>1.9115769963397249E-4</v>
      </c>
      <c r="V122">
        <f>D122/(AE$4+I122+$T122)</f>
        <v>5.5215377952614226E-5</v>
      </c>
      <c r="W122">
        <f>E122/(AF$4+J122+$T122)</f>
        <v>3.1518309695517774E-4</v>
      </c>
      <c r="X122">
        <f>F122/(AG$4+K122+$T122)</f>
        <v>1.7367751846318657E-5</v>
      </c>
      <c r="Y122">
        <f>G122/(AH$4+L122+$T122)</f>
        <v>1.0777806120028038E-5</v>
      </c>
    </row>
    <row r="123" spans="1:25">
      <c r="A123" t="s">
        <v>169</v>
      </c>
      <c r="B123">
        <f>SUMIFS(Sectores!$C:$C,Sectores!$A:$A,$A123)</f>
        <v>2779</v>
      </c>
      <c r="C123">
        <f>SUMIFS(Generacion!$C:$C,Generacion!$A:$A,$A123,Generacion!$B:$B,C$2)</f>
        <v>4.3533876706587399E-2</v>
      </c>
      <c r="D123">
        <f>SUMIFS(Generacion!$C:$C,Generacion!$A:$A,$A123,Generacion!$B:$B,D$2)</f>
        <v>3.7870933395161399E-2</v>
      </c>
      <c r="E123">
        <f>SUMIFS(Generacion!$C:$C,Generacion!$A:$A,$A123,Generacion!$B:$B,E$2)</f>
        <v>1.34494903646368E-2</v>
      </c>
      <c r="F123">
        <f>SUMIFS(Generacion!$C:$C,Generacion!$A:$A,$A123,Generacion!$B:$B,F$2)</f>
        <v>3.5393395696412498E-3</v>
      </c>
      <c r="G123">
        <f>SUMIFS(Generacion!$C:$C,Generacion!$A:$A,$A123,Generacion!$B:$B,G$2)</f>
        <v>2.4775376987488701E-3</v>
      </c>
      <c r="H123">
        <f>SUMPRODUCT((AtractivoAlternativas!$A$2:$A$931=$A123)*AtractivoAlternativas!$C$2:$C$931*COUNTIFS(Alternativas!$A$2:$A$51,AtractivoAlternativas!$B$2:$B$931,Alternativas!$B$2:$B$51,H$2))</f>
        <v>1.6124776180824667</v>
      </c>
      <c r="I123">
        <f>SUMPRODUCT((AtractivoAlternativas!$A$2:$A$931=$A123)*AtractivoAlternativas!$C$2:$C$931*COUNTIFS(Alternativas!$A$2:$A$51,AtractivoAlternativas!$B$2:$B$931,Alternativas!$B$2:$B$51,I$2))</f>
        <v>4.2290106681283577</v>
      </c>
      <c r="J123">
        <f>SUMPRODUCT((AtractivoAlternativas!$A$2:$A$931=$A123)*AtractivoAlternativas!$C$2:$C$931*COUNTIFS(Alternativas!$A$2:$A$51,AtractivoAlternativas!$B$2:$B$931,Alternativas!$B$2:$B$51,J$2))</f>
        <v>0.66712096481847816</v>
      </c>
      <c r="K123">
        <f>SUMPRODUCT((AtractivoAlternativas!$A$2:$A$931=$A123)*AtractivoAlternativas!$C$2:$C$931*COUNTIFS(Alternativas!$A$2:$A$51,AtractivoAlternativas!$B$2:$B$931,Alternativas!$B$2:$B$51,K$2))</f>
        <v>0</v>
      </c>
      <c r="L123">
        <f>SUMPRODUCT((AtractivoAlternativas!$A$2:$A$931=$A123)*AtractivoAlternativas!$C$2:$C$931*COUNTIFS(Alternativas!$A$2:$A$51,AtractivoAlternativas!$B$2:$B$931,Alternativas!$B$2:$B$51,L$2))</f>
        <v>0</v>
      </c>
      <c r="M123">
        <f>SUMIFS(AtractivoSitios!$C:$C,AtractivoSitios!$A:$A,$A123,AtractivoSitios!$B:$B,M$2)</f>
        <v>0.80233652214267537</v>
      </c>
      <c r="N123">
        <f>SUMIFS(AtractivoSitios!$C:$C,AtractivoSitios!$A:$A,$A123,AtractivoSitios!$B:$B,N$2)</f>
        <v>0</v>
      </c>
      <c r="O123">
        <f>SUMIFS(AtractivoSitios!$C:$C,AtractivoSitios!$A:$A,$A123,AtractivoSitios!$B:$B,O$2)</f>
        <v>0</v>
      </c>
      <c r="P123">
        <f>SUMIFS(AtractivoSitios!$C:$C,AtractivoSitios!$A:$A,$A123,AtractivoSitios!$B:$B,P$2)</f>
        <v>0</v>
      </c>
      <c r="Q123">
        <f>SUMIFS(AtractivoSitios!$C:$C,AtractivoSitios!$A:$A,$A123,AtractivoSitios!$B:$B,Q$2)</f>
        <v>0</v>
      </c>
      <c r="R123">
        <f>SUMIFS(AtractivoSitios!$C:$C,AtractivoSitios!$A:$A,$A123,AtractivoSitios!$B:$B,R$2)</f>
        <v>0.4554888095176014</v>
      </c>
      <c r="S123">
        <f>SUMIFS(AtractivoSitios!$C:$C,AtractivoSitios!$A:$A,$A123,AtractivoSitios!$B:$B,S$2)</f>
        <v>0</v>
      </c>
      <c r="T123">
        <f>SUM(M123:S123)</f>
        <v>1.2578253316602768</v>
      </c>
      <c r="U123">
        <f>C123/(AD$4+H123+$T123)</f>
        <v>1.9073483276260529E-4</v>
      </c>
      <c r="V123">
        <f>D123/(AE$4+I123+$T123)</f>
        <v>5.5263555800140811E-5</v>
      </c>
      <c r="W123">
        <f>E123/(AF$4+J123+$T123)</f>
        <v>3.1381521861306125E-4</v>
      </c>
      <c r="X123">
        <f>F123/(AG$4+K123+$T123)</f>
        <v>1.7361487956307788E-5</v>
      </c>
      <c r="Y123">
        <f>G123/(AH$4+L123+$T123)</f>
        <v>1.0774359944598709E-5</v>
      </c>
    </row>
    <row r="124" spans="1:25">
      <c r="A124" t="s">
        <v>170</v>
      </c>
      <c r="B124">
        <f>SUMIFS(Sectores!$C:$C,Sectores!$A:$A,$A124)</f>
        <v>7145</v>
      </c>
      <c r="C124">
        <f>SUMIFS(Generacion!$C:$C,Generacion!$A:$A,$A124,Generacion!$B:$B,C$2)</f>
        <v>4.3533876706587399E-2</v>
      </c>
      <c r="D124">
        <f>SUMIFS(Generacion!$C:$C,Generacion!$A:$A,$A124,Generacion!$B:$B,D$2)</f>
        <v>3.7870933395161399E-2</v>
      </c>
      <c r="E124">
        <f>SUMIFS(Generacion!$C:$C,Generacion!$A:$A,$A124,Generacion!$B:$B,E$2)</f>
        <v>1.34494903646368E-2</v>
      </c>
      <c r="F124">
        <f>SUMIFS(Generacion!$C:$C,Generacion!$A:$A,$A124,Generacion!$B:$B,F$2)</f>
        <v>3.5393395696412498E-3</v>
      </c>
      <c r="G124">
        <f>SUMIFS(Generacion!$C:$C,Generacion!$A:$A,$A124,Generacion!$B:$B,G$2)</f>
        <v>2.4775376987488701E-3</v>
      </c>
      <c r="H124">
        <f>SUMPRODUCT((AtractivoAlternativas!$A$2:$A$931=$A124)*AtractivoAlternativas!$C$2:$C$931*COUNTIFS(Alternativas!$A$2:$A$51,AtractivoAlternativas!$B$2:$B$931,Alternativas!$B$2:$B$51,H$2))</f>
        <v>1.1653437427786661</v>
      </c>
      <c r="I124">
        <f>SUMPRODUCT((AtractivoAlternativas!$A$2:$A$931=$A124)*AtractivoAlternativas!$C$2:$C$931*COUNTIFS(Alternativas!$A$2:$A$51,AtractivoAlternativas!$B$2:$B$931,Alternativas!$B$2:$B$51,I$2))</f>
        <v>4.3298280908088236</v>
      </c>
      <c r="J124">
        <f>SUMPRODUCT((AtractivoAlternativas!$A$2:$A$931=$A124)*AtractivoAlternativas!$C$2:$C$931*COUNTIFS(Alternativas!$A$2:$A$51,AtractivoAlternativas!$B$2:$B$931,Alternativas!$B$2:$B$51,J$2))</f>
        <v>0.51605996338796745</v>
      </c>
      <c r="K124">
        <f>SUMPRODUCT((AtractivoAlternativas!$A$2:$A$931=$A124)*AtractivoAlternativas!$C$2:$C$931*COUNTIFS(Alternativas!$A$2:$A$51,AtractivoAlternativas!$B$2:$B$931,Alternativas!$B$2:$B$51,K$2))</f>
        <v>0</v>
      </c>
      <c r="L124">
        <f>SUMPRODUCT((AtractivoAlternativas!$A$2:$A$931=$A124)*AtractivoAlternativas!$C$2:$C$931*COUNTIFS(Alternativas!$A$2:$A$51,AtractivoAlternativas!$B$2:$B$931,Alternativas!$B$2:$B$51,L$2))</f>
        <v>0</v>
      </c>
      <c r="M124">
        <f>SUMIFS(AtractivoSitios!$C:$C,AtractivoSitios!$A:$A,$A124,AtractivoSitios!$B:$B,M$2)</f>
        <v>0</v>
      </c>
      <c r="N124">
        <f>SUMIFS(AtractivoSitios!$C:$C,AtractivoSitios!$A:$A,$A124,AtractivoSitios!$B:$B,N$2)</f>
        <v>0</v>
      </c>
      <c r="O124">
        <f>SUMIFS(AtractivoSitios!$C:$C,AtractivoSitios!$A:$A,$A124,AtractivoSitios!$B:$B,O$2)</f>
        <v>0</v>
      </c>
      <c r="P124">
        <f>SUMIFS(AtractivoSitios!$C:$C,AtractivoSitios!$A:$A,$A124,AtractivoSitios!$B:$B,P$2)</f>
        <v>0.79609632829000443</v>
      </c>
      <c r="Q124">
        <f>SUMIFS(AtractivoSitios!$C:$C,AtractivoSitios!$A:$A,$A124,AtractivoSitios!$B:$B,Q$2)</f>
        <v>0</v>
      </c>
      <c r="R124">
        <f>SUMIFS(AtractivoSitios!$C:$C,AtractivoSitios!$A:$A,$A124,AtractivoSitios!$B:$B,R$2)</f>
        <v>0</v>
      </c>
      <c r="S124">
        <f>SUMIFS(AtractivoSitios!$C:$C,AtractivoSitios!$A:$A,$A124,AtractivoSitios!$B:$B,S$2)</f>
        <v>0</v>
      </c>
      <c r="T124">
        <f>SUM(M124:S124)</f>
        <v>0.79609632829000443</v>
      </c>
      <c r="U124">
        <f>C124/(AD$4+H124+$T124)</f>
        <v>1.9149737492299158E-4</v>
      </c>
      <c r="V124">
        <f>D124/(AE$4+I124+$T124)</f>
        <v>5.5292676462315754E-5</v>
      </c>
      <c r="W124">
        <f>E124/(AF$4+J124+$T124)</f>
        <v>3.1836728173069819E-4</v>
      </c>
      <c r="X124">
        <f>F124/(AG$4+K124+$T124)</f>
        <v>1.7400899510934887E-5</v>
      </c>
      <c r="Y124">
        <f>G124/(AH$4+L124+$T124)</f>
        <v>1.0796038122378524E-5</v>
      </c>
    </row>
    <row r="125" spans="1:25">
      <c r="A125" t="s">
        <v>171</v>
      </c>
      <c r="B125">
        <f>SUMIFS(Sectores!$C:$C,Sectores!$A:$A,$A125)</f>
        <v>3382</v>
      </c>
      <c r="C125">
        <f>SUMIFS(Generacion!$C:$C,Generacion!$A:$A,$A125,Generacion!$B:$B,C$2)</f>
        <v>4.3533876706587399E-2</v>
      </c>
      <c r="D125">
        <f>SUMIFS(Generacion!$C:$C,Generacion!$A:$A,$A125,Generacion!$B:$B,D$2)</f>
        <v>3.7870933395161399E-2</v>
      </c>
      <c r="E125">
        <f>SUMIFS(Generacion!$C:$C,Generacion!$A:$A,$A125,Generacion!$B:$B,E$2)</f>
        <v>1.34494903646368E-2</v>
      </c>
      <c r="F125">
        <f>SUMIFS(Generacion!$C:$C,Generacion!$A:$A,$A125,Generacion!$B:$B,F$2)</f>
        <v>3.5393395696412498E-3</v>
      </c>
      <c r="G125">
        <f>SUMIFS(Generacion!$C:$C,Generacion!$A:$A,$A125,Generacion!$B:$B,G$2)</f>
        <v>2.4775376987488701E-3</v>
      </c>
      <c r="H125">
        <f>SUMPRODUCT((AtractivoAlternativas!$A$2:$A$931=$A125)*AtractivoAlternativas!$C$2:$C$931*COUNTIFS(Alternativas!$A$2:$A$51,AtractivoAlternativas!$B$2:$B$931,Alternativas!$B$2:$B$51,H$2))</f>
        <v>0.96796761495120898</v>
      </c>
      <c r="I125">
        <f>SUMPRODUCT((AtractivoAlternativas!$A$2:$A$931=$A125)*AtractivoAlternativas!$C$2:$C$931*COUNTIFS(Alternativas!$A$2:$A$51,AtractivoAlternativas!$B$2:$B$931,Alternativas!$B$2:$B$51,I$2))</f>
        <v>3.6933539902460817</v>
      </c>
      <c r="J125">
        <f>SUMPRODUCT((AtractivoAlternativas!$A$2:$A$931=$A125)*AtractivoAlternativas!$C$2:$C$931*COUNTIFS(Alternativas!$A$2:$A$51,AtractivoAlternativas!$B$2:$B$931,Alternativas!$B$2:$B$51,J$2))</f>
        <v>0.42995809314628064</v>
      </c>
      <c r="K125">
        <f>SUMPRODUCT((AtractivoAlternativas!$A$2:$A$931=$A125)*AtractivoAlternativas!$C$2:$C$931*COUNTIFS(Alternativas!$A$2:$A$51,AtractivoAlternativas!$B$2:$B$931,Alternativas!$B$2:$B$51,K$2))</f>
        <v>0</v>
      </c>
      <c r="L125">
        <f>SUMPRODUCT((AtractivoAlternativas!$A$2:$A$931=$A125)*AtractivoAlternativas!$C$2:$C$931*COUNTIFS(Alternativas!$A$2:$A$51,AtractivoAlternativas!$B$2:$B$931,Alternativas!$B$2:$B$51,L$2))</f>
        <v>0</v>
      </c>
      <c r="M125">
        <f>SUMIFS(AtractivoSitios!$C:$C,AtractivoSitios!$A:$A,$A125,AtractivoSitios!$B:$B,M$2)</f>
        <v>0</v>
      </c>
      <c r="N125">
        <f>SUMIFS(AtractivoSitios!$C:$C,AtractivoSitios!$A:$A,$A125,AtractivoSitios!$B:$B,N$2)</f>
        <v>0</v>
      </c>
      <c r="O125">
        <f>SUMIFS(AtractivoSitios!$C:$C,AtractivoSitios!$A:$A,$A125,AtractivoSitios!$B:$B,O$2)</f>
        <v>0</v>
      </c>
      <c r="P125">
        <f>SUMIFS(AtractivoSitios!$C:$C,AtractivoSitios!$A:$A,$A125,AtractivoSitios!$B:$B,P$2)</f>
        <v>0.96049040276271536</v>
      </c>
      <c r="Q125">
        <f>SUMIFS(AtractivoSitios!$C:$C,AtractivoSitios!$A:$A,$A125,AtractivoSitios!$B:$B,Q$2)</f>
        <v>0</v>
      </c>
      <c r="R125">
        <f>SUMIFS(AtractivoSitios!$C:$C,AtractivoSitios!$A:$A,$A125,AtractivoSitios!$B:$B,R$2)</f>
        <v>0</v>
      </c>
      <c r="S125">
        <f>SUMIFS(AtractivoSitios!$C:$C,AtractivoSitios!$A:$A,$A125,AtractivoSitios!$B:$B,S$2)</f>
        <v>0</v>
      </c>
      <c r="T125">
        <f>SUM(M125:S125)</f>
        <v>0.96049040276271536</v>
      </c>
      <c r="U125">
        <f>C125/(AD$4+H125+$T125)</f>
        <v>1.9152516175335326E-4</v>
      </c>
      <c r="V125">
        <f>D125/(AE$4+I125+$T125)</f>
        <v>5.5330813265251401E-5</v>
      </c>
      <c r="W125">
        <f>E125/(AF$4+J125+$T125)</f>
        <v>3.1777834935943201E-4</v>
      </c>
      <c r="X125">
        <f>F125/(AG$4+K125+$T125)</f>
        <v>1.738684691828231E-5</v>
      </c>
      <c r="Y125">
        <f>G125/(AH$4+L125+$T125)</f>
        <v>1.0788309827086395E-5</v>
      </c>
    </row>
    <row r="126" spans="1:25">
      <c r="A126" t="s">
        <v>172</v>
      </c>
      <c r="B126">
        <f>SUMIFS(Sectores!$C:$C,Sectores!$A:$A,$A126)</f>
        <v>4835</v>
      </c>
      <c r="C126">
        <f>SUMIFS(Generacion!$C:$C,Generacion!$A:$A,$A126,Generacion!$B:$B,C$2)</f>
        <v>4.3533876706587399E-2</v>
      </c>
      <c r="D126">
        <f>SUMIFS(Generacion!$C:$C,Generacion!$A:$A,$A126,Generacion!$B:$B,D$2)</f>
        <v>3.7870933395161399E-2</v>
      </c>
      <c r="E126">
        <f>SUMIFS(Generacion!$C:$C,Generacion!$A:$A,$A126,Generacion!$B:$B,E$2)</f>
        <v>1.34494903646368E-2</v>
      </c>
      <c r="F126">
        <f>SUMIFS(Generacion!$C:$C,Generacion!$A:$A,$A126,Generacion!$B:$B,F$2)</f>
        <v>3.5393395696412498E-3</v>
      </c>
      <c r="G126">
        <f>SUMIFS(Generacion!$C:$C,Generacion!$A:$A,$A126,Generacion!$B:$B,G$2)</f>
        <v>2.4775376987488701E-3</v>
      </c>
      <c r="H126">
        <f>SUMPRODUCT((AtractivoAlternativas!$A$2:$A$931=$A126)*AtractivoAlternativas!$C$2:$C$931*COUNTIFS(Alternativas!$A$2:$A$51,AtractivoAlternativas!$B$2:$B$931,Alternativas!$B$2:$B$51,H$2))</f>
        <v>0.98923393705834406</v>
      </c>
      <c r="I126">
        <f>SUMPRODUCT((AtractivoAlternativas!$A$2:$A$931=$A126)*AtractivoAlternativas!$C$2:$C$931*COUNTIFS(Alternativas!$A$2:$A$51,AtractivoAlternativas!$B$2:$B$931,Alternativas!$B$2:$B$51,I$2))</f>
        <v>3.7336844870882997</v>
      </c>
      <c r="J126">
        <f>SUMPRODUCT((AtractivoAlternativas!$A$2:$A$931=$A126)*AtractivoAlternativas!$C$2:$C$931*COUNTIFS(Alternativas!$A$2:$A$51,AtractivoAlternativas!$B$2:$B$931,Alternativas!$B$2:$B$51,J$2))</f>
        <v>0.45133287750949708</v>
      </c>
      <c r="K126">
        <f>SUMPRODUCT((AtractivoAlternativas!$A$2:$A$931=$A126)*AtractivoAlternativas!$C$2:$C$931*COUNTIFS(Alternativas!$A$2:$A$51,AtractivoAlternativas!$B$2:$B$931,Alternativas!$B$2:$B$51,K$2))</f>
        <v>0</v>
      </c>
      <c r="L126">
        <f>SUMPRODUCT((AtractivoAlternativas!$A$2:$A$931=$A126)*AtractivoAlternativas!$C$2:$C$931*COUNTIFS(Alternativas!$A$2:$A$51,AtractivoAlternativas!$B$2:$B$931,Alternativas!$B$2:$B$51,L$2))</f>
        <v>0</v>
      </c>
      <c r="M126">
        <f>SUMIFS(AtractivoSitios!$C:$C,AtractivoSitios!$A:$A,$A126,AtractivoSitios!$B:$B,M$2)</f>
        <v>0</v>
      </c>
      <c r="N126">
        <f>SUMIFS(AtractivoSitios!$C:$C,AtractivoSitios!$A:$A,$A126,AtractivoSitios!$B:$B,N$2)</f>
        <v>0</v>
      </c>
      <c r="O126">
        <f>SUMIFS(AtractivoSitios!$C:$C,AtractivoSitios!$A:$A,$A126,AtractivoSitios!$B:$B,O$2)</f>
        <v>0</v>
      </c>
      <c r="P126">
        <f>SUMIFS(AtractivoSitios!$C:$C,AtractivoSitios!$A:$A,$A126,AtractivoSitios!$B:$B,P$2)</f>
        <v>0.80247320748513973</v>
      </c>
      <c r="Q126">
        <f>SUMIFS(AtractivoSitios!$C:$C,AtractivoSitios!$A:$A,$A126,AtractivoSitios!$B:$B,Q$2)</f>
        <v>0</v>
      </c>
      <c r="R126">
        <f>SUMIFS(AtractivoSitios!$C:$C,AtractivoSitios!$A:$A,$A126,AtractivoSitios!$B:$B,R$2)</f>
        <v>0</v>
      </c>
      <c r="S126">
        <f>SUMIFS(AtractivoSitios!$C:$C,AtractivoSitios!$A:$A,$A126,AtractivoSitios!$B:$B,S$2)</f>
        <v>0</v>
      </c>
      <c r="T126">
        <f>SUM(M126:S126)</f>
        <v>0.80247320748513973</v>
      </c>
      <c r="U126">
        <f>C126/(AD$4+H126+$T126)</f>
        <v>1.9164045816827741E-4</v>
      </c>
      <c r="V126">
        <f>D126/(AE$4+I126+$T126)</f>
        <v>5.534032873336845E-5</v>
      </c>
      <c r="W126">
        <f>E126/(AF$4+J126+$T126)</f>
        <v>3.1880762737327876E-4</v>
      </c>
      <c r="X126">
        <f>F126/(AG$4+K126+$T126)</f>
        <v>1.7400353984574915E-5</v>
      </c>
      <c r="Y126">
        <f>G126/(AH$4+L126+$T126)</f>
        <v>1.0795738133835178E-5</v>
      </c>
    </row>
    <row r="127" spans="1:25">
      <c r="A127" t="s">
        <v>173</v>
      </c>
      <c r="B127">
        <f>SUMIFS(Sectores!$C:$C,Sectores!$A:$A,$A127)</f>
        <v>1931</v>
      </c>
      <c r="C127">
        <f>SUMIFS(Generacion!$C:$C,Generacion!$A:$A,$A127,Generacion!$B:$B,C$2)</f>
        <v>4.3533876706587399E-2</v>
      </c>
      <c r="D127">
        <f>SUMIFS(Generacion!$C:$C,Generacion!$A:$A,$A127,Generacion!$B:$B,D$2)</f>
        <v>3.7870933395161399E-2</v>
      </c>
      <c r="E127">
        <f>SUMIFS(Generacion!$C:$C,Generacion!$A:$A,$A127,Generacion!$B:$B,E$2)</f>
        <v>1.34494903646368E-2</v>
      </c>
      <c r="F127">
        <f>SUMIFS(Generacion!$C:$C,Generacion!$A:$A,$A127,Generacion!$B:$B,F$2)</f>
        <v>3.5393395696412498E-3</v>
      </c>
      <c r="G127">
        <f>SUMIFS(Generacion!$C:$C,Generacion!$A:$A,$A127,Generacion!$B:$B,G$2)</f>
        <v>2.4775376987488701E-3</v>
      </c>
      <c r="H127">
        <f>SUMPRODUCT((AtractivoAlternativas!$A$2:$A$931=$A127)*AtractivoAlternativas!$C$2:$C$931*COUNTIFS(Alternativas!$A$2:$A$51,AtractivoAlternativas!$B$2:$B$931,Alternativas!$B$2:$B$51,H$2))</f>
        <v>0.95850641520915991</v>
      </c>
      <c r="I127">
        <f>SUMPRODUCT((AtractivoAlternativas!$A$2:$A$931=$A127)*AtractivoAlternativas!$C$2:$C$931*COUNTIFS(Alternativas!$A$2:$A$51,AtractivoAlternativas!$B$2:$B$931,Alternativas!$B$2:$B$51,I$2))</f>
        <v>3.2165263940372637</v>
      </c>
      <c r="J127">
        <f>SUMPRODUCT((AtractivoAlternativas!$A$2:$A$931=$A127)*AtractivoAlternativas!$C$2:$C$931*COUNTIFS(Alternativas!$A$2:$A$51,AtractivoAlternativas!$B$2:$B$931,Alternativas!$B$2:$B$51,J$2))</f>
        <v>0.44907637639103681</v>
      </c>
      <c r="K127">
        <f>SUMPRODUCT((AtractivoAlternativas!$A$2:$A$931=$A127)*AtractivoAlternativas!$C$2:$C$931*COUNTIFS(Alternativas!$A$2:$A$51,AtractivoAlternativas!$B$2:$B$931,Alternativas!$B$2:$B$51,K$2))</f>
        <v>0</v>
      </c>
      <c r="L127">
        <f>SUMPRODUCT((AtractivoAlternativas!$A$2:$A$931=$A127)*AtractivoAlternativas!$C$2:$C$931*COUNTIFS(Alternativas!$A$2:$A$51,AtractivoAlternativas!$B$2:$B$931,Alternativas!$B$2:$B$51,L$2))</f>
        <v>0</v>
      </c>
      <c r="M127">
        <f>SUMIFS(AtractivoSitios!$C:$C,AtractivoSitios!$A:$A,$A127,AtractivoSitios!$B:$B,M$2)</f>
        <v>0</v>
      </c>
      <c r="N127">
        <f>SUMIFS(AtractivoSitios!$C:$C,AtractivoSitios!$A:$A,$A127,AtractivoSitios!$B:$B,N$2)</f>
        <v>0</v>
      </c>
      <c r="O127">
        <f>SUMIFS(AtractivoSitios!$C:$C,AtractivoSitios!$A:$A,$A127,AtractivoSitios!$B:$B,O$2)</f>
        <v>0</v>
      </c>
      <c r="P127">
        <f>SUMIFS(AtractivoSitios!$C:$C,AtractivoSitios!$A:$A,$A127,AtractivoSitios!$B:$B,P$2)</f>
        <v>0.67651513400053631</v>
      </c>
      <c r="Q127">
        <f>SUMIFS(AtractivoSitios!$C:$C,AtractivoSitios!$A:$A,$A127,AtractivoSitios!$B:$B,Q$2)</f>
        <v>0</v>
      </c>
      <c r="R127">
        <f>SUMIFS(AtractivoSitios!$C:$C,AtractivoSitios!$A:$A,$A127,AtractivoSitios!$B:$B,R$2)</f>
        <v>0</v>
      </c>
      <c r="S127">
        <f>SUMIFS(AtractivoSitios!$C:$C,AtractivoSitios!$A:$A,$A127,AtractivoSitios!$B:$B,S$2)</f>
        <v>0</v>
      </c>
      <c r="T127">
        <f>SUM(M127:S127)</f>
        <v>0.67651513400053631</v>
      </c>
      <c r="U127">
        <f>C127/(AD$4+H127+$T127)</f>
        <v>1.9177273256398296E-4</v>
      </c>
      <c r="V127">
        <f>D127/(AE$4+I127+$T127)</f>
        <v>5.5392385263817723E-5</v>
      </c>
      <c r="W127">
        <f>E127/(AF$4+J127+$T127)</f>
        <v>3.1977950345631951E-4</v>
      </c>
      <c r="X127">
        <f>F127/(AG$4+K127+$T127)</f>
        <v>1.7411135727252066E-5</v>
      </c>
      <c r="Y127">
        <f>G127/(AH$4+L127+$T127)</f>
        <v>1.080166668881205E-5</v>
      </c>
    </row>
    <row r="128" spans="1:25">
      <c r="A128" t="s">
        <v>174</v>
      </c>
      <c r="B128">
        <f>SUMIFS(Sectores!$C:$C,Sectores!$A:$A,$A128)</f>
        <v>4371</v>
      </c>
      <c r="C128">
        <f>SUMIFS(Generacion!$C:$C,Generacion!$A:$A,$A128,Generacion!$B:$B,C$2)</f>
        <v>4.3533876706587399E-2</v>
      </c>
      <c r="D128">
        <f>SUMIFS(Generacion!$C:$C,Generacion!$A:$A,$A128,Generacion!$B:$B,D$2)</f>
        <v>3.7870933395161399E-2</v>
      </c>
      <c r="E128">
        <f>SUMIFS(Generacion!$C:$C,Generacion!$A:$A,$A128,Generacion!$B:$B,E$2)</f>
        <v>1.34494903646368E-2</v>
      </c>
      <c r="F128">
        <f>SUMIFS(Generacion!$C:$C,Generacion!$A:$A,$A128,Generacion!$B:$B,F$2)</f>
        <v>3.5393395696412498E-3</v>
      </c>
      <c r="G128">
        <f>SUMIFS(Generacion!$C:$C,Generacion!$A:$A,$A128,Generacion!$B:$B,G$2)</f>
        <v>2.4775376987488701E-3</v>
      </c>
      <c r="H128">
        <f>SUMPRODUCT((AtractivoAlternativas!$A$2:$A$931=$A128)*AtractivoAlternativas!$C$2:$C$931*COUNTIFS(Alternativas!$A$2:$A$51,AtractivoAlternativas!$B$2:$B$931,Alternativas!$B$2:$B$51,H$2))</f>
        <v>0.90797779252780286</v>
      </c>
      <c r="I128">
        <f>SUMPRODUCT((AtractivoAlternativas!$A$2:$A$931=$A128)*AtractivoAlternativas!$C$2:$C$931*COUNTIFS(Alternativas!$A$2:$A$51,AtractivoAlternativas!$B$2:$B$931,Alternativas!$B$2:$B$51,I$2))</f>
        <v>2.9975063693438866</v>
      </c>
      <c r="J128">
        <f>SUMPRODUCT((AtractivoAlternativas!$A$2:$A$931=$A128)*AtractivoAlternativas!$C$2:$C$931*COUNTIFS(Alternativas!$A$2:$A$51,AtractivoAlternativas!$B$2:$B$931,Alternativas!$B$2:$B$51,J$2))</f>
        <v>0.44106376639923656</v>
      </c>
      <c r="K128">
        <f>SUMPRODUCT((AtractivoAlternativas!$A$2:$A$931=$A128)*AtractivoAlternativas!$C$2:$C$931*COUNTIFS(Alternativas!$A$2:$A$51,AtractivoAlternativas!$B$2:$B$931,Alternativas!$B$2:$B$51,K$2))</f>
        <v>0</v>
      </c>
      <c r="L128">
        <f>SUMPRODUCT((AtractivoAlternativas!$A$2:$A$931=$A128)*AtractivoAlternativas!$C$2:$C$931*COUNTIFS(Alternativas!$A$2:$A$51,AtractivoAlternativas!$B$2:$B$931,Alternativas!$B$2:$B$51,L$2))</f>
        <v>0</v>
      </c>
      <c r="M128">
        <f>SUMIFS(AtractivoSitios!$C:$C,AtractivoSitios!$A:$A,$A128,AtractivoSitios!$B:$B,M$2)</f>
        <v>0</v>
      </c>
      <c r="N128">
        <f>SUMIFS(AtractivoSitios!$C:$C,AtractivoSitios!$A:$A,$A128,AtractivoSitios!$B:$B,N$2)</f>
        <v>0</v>
      </c>
      <c r="O128">
        <f>SUMIFS(AtractivoSitios!$C:$C,AtractivoSitios!$A:$A,$A128,AtractivoSitios!$B:$B,O$2)</f>
        <v>0</v>
      </c>
      <c r="P128">
        <f>SUMIFS(AtractivoSitios!$C:$C,AtractivoSitios!$A:$A,$A128,AtractivoSitios!$B:$B,P$2)</f>
        <v>0.54046515216260949</v>
      </c>
      <c r="Q128">
        <f>SUMIFS(AtractivoSitios!$C:$C,AtractivoSitios!$A:$A,$A128,AtractivoSitios!$B:$B,Q$2)</f>
        <v>0</v>
      </c>
      <c r="R128">
        <f>SUMIFS(AtractivoSitios!$C:$C,AtractivoSitios!$A:$A,$A128,AtractivoSitios!$B:$B,R$2)</f>
        <v>0</v>
      </c>
      <c r="S128">
        <f>SUMIFS(AtractivoSitios!$C:$C,AtractivoSitios!$A:$A,$A128,AtractivoSitios!$B:$B,S$2)</f>
        <v>0</v>
      </c>
      <c r="T128">
        <f>SUM(M128:S128)</f>
        <v>0.54046515216260949</v>
      </c>
      <c r="U128">
        <f>C128/(AD$4+H128+$T128)</f>
        <v>1.9193048108857367E-4</v>
      </c>
      <c r="V128">
        <f>D128/(AE$4+I128+$T128)</f>
        <v>5.5421168108945543E-5</v>
      </c>
      <c r="W128">
        <f>E128/(AF$4+J128+$T128)</f>
        <v>3.2087860236573962E-4</v>
      </c>
      <c r="X128">
        <f>F128/(AG$4+K128+$T128)</f>
        <v>1.742279633584027E-5</v>
      </c>
      <c r="Y128">
        <f>G128/(AH$4+L128+$T128)</f>
        <v>1.0808077565765536E-5</v>
      </c>
    </row>
    <row r="129" spans="1:25">
      <c r="A129" t="s">
        <v>175</v>
      </c>
      <c r="B129">
        <f>SUMIFS(Sectores!$C:$C,Sectores!$A:$A,$A129)</f>
        <v>26</v>
      </c>
      <c r="C129">
        <f>SUMIFS(Generacion!$C:$C,Generacion!$A:$A,$A129,Generacion!$B:$B,C$2)</f>
        <v>4.3533876706587399E-2</v>
      </c>
      <c r="D129">
        <f>SUMIFS(Generacion!$C:$C,Generacion!$A:$A,$A129,Generacion!$B:$B,D$2)</f>
        <v>3.7870933395161399E-2</v>
      </c>
      <c r="E129">
        <f>SUMIFS(Generacion!$C:$C,Generacion!$A:$A,$A129,Generacion!$B:$B,E$2)</f>
        <v>1.34494903646368E-2</v>
      </c>
      <c r="F129">
        <f>SUMIFS(Generacion!$C:$C,Generacion!$A:$A,$A129,Generacion!$B:$B,F$2)</f>
        <v>3.5393395696412498E-3</v>
      </c>
      <c r="G129">
        <f>SUMIFS(Generacion!$C:$C,Generacion!$A:$A,$A129,Generacion!$B:$B,G$2)</f>
        <v>2.4775376987488701E-3</v>
      </c>
      <c r="H129">
        <f>SUMPRODUCT((AtractivoAlternativas!$A$2:$A$931=$A129)*AtractivoAlternativas!$C$2:$C$931*COUNTIFS(Alternativas!$A$2:$A$51,AtractivoAlternativas!$B$2:$B$931,Alternativas!$B$2:$B$51,H$2))</f>
        <v>0.82419757630502577</v>
      </c>
      <c r="I129">
        <f>SUMPRODUCT((AtractivoAlternativas!$A$2:$A$931=$A129)*AtractivoAlternativas!$C$2:$C$931*COUNTIFS(Alternativas!$A$2:$A$51,AtractivoAlternativas!$B$2:$B$931,Alternativas!$B$2:$B$51,I$2))</f>
        <v>2.2923804390326294</v>
      </c>
      <c r="J129">
        <f>SUMPRODUCT((AtractivoAlternativas!$A$2:$A$931=$A129)*AtractivoAlternativas!$C$2:$C$931*COUNTIFS(Alternativas!$A$2:$A$51,AtractivoAlternativas!$B$2:$B$931,Alternativas!$B$2:$B$51,J$2))</f>
        <v>0.42324820983439848</v>
      </c>
      <c r="K129">
        <f>SUMPRODUCT((AtractivoAlternativas!$A$2:$A$931=$A129)*AtractivoAlternativas!$C$2:$C$931*COUNTIFS(Alternativas!$A$2:$A$51,AtractivoAlternativas!$B$2:$B$931,Alternativas!$B$2:$B$51,K$2))</f>
        <v>0</v>
      </c>
      <c r="L129">
        <f>SUMPRODUCT((AtractivoAlternativas!$A$2:$A$931=$A129)*AtractivoAlternativas!$C$2:$C$931*COUNTIFS(Alternativas!$A$2:$A$51,AtractivoAlternativas!$B$2:$B$931,Alternativas!$B$2:$B$51,L$2))</f>
        <v>0</v>
      </c>
      <c r="M129">
        <f>SUMIFS(AtractivoSitios!$C:$C,AtractivoSitios!$A:$A,$A129,AtractivoSitios!$B:$B,M$2)</f>
        <v>0</v>
      </c>
      <c r="N129">
        <f>SUMIFS(AtractivoSitios!$C:$C,AtractivoSitios!$A:$A,$A129,AtractivoSitios!$B:$B,N$2)</f>
        <v>0</v>
      </c>
      <c r="O129">
        <f>SUMIFS(AtractivoSitios!$C:$C,AtractivoSitios!$A:$A,$A129,AtractivoSitios!$B:$B,O$2)</f>
        <v>0</v>
      </c>
      <c r="P129">
        <f>SUMIFS(AtractivoSitios!$C:$C,AtractivoSitios!$A:$A,$A129,AtractivoSitios!$B:$B,P$2)</f>
        <v>0.37860978488558611</v>
      </c>
      <c r="Q129">
        <f>SUMIFS(AtractivoSitios!$C:$C,AtractivoSitios!$A:$A,$A129,AtractivoSitios!$B:$B,Q$2)</f>
        <v>0</v>
      </c>
      <c r="R129">
        <f>SUMIFS(AtractivoSitios!$C:$C,AtractivoSitios!$A:$A,$A129,AtractivoSitios!$B:$B,R$2)</f>
        <v>0</v>
      </c>
      <c r="S129">
        <f>SUMIFS(AtractivoSitios!$C:$C,AtractivoSitios!$A:$A,$A129,AtractivoSitios!$B:$B,S$2)</f>
        <v>0</v>
      </c>
      <c r="T129">
        <f>SUM(M129:S129)</f>
        <v>0.37860978488558611</v>
      </c>
      <c r="U129">
        <f>C129/(AD$4+H129+$T129)</f>
        <v>1.9213855729174401E-4</v>
      </c>
      <c r="V129">
        <f>D129/(AE$4+I129+$T129)</f>
        <v>5.5491573584346057E-5</v>
      </c>
      <c r="W129">
        <f>E129/(AF$4+J129+$T129)</f>
        <v>3.2226000135750037E-4</v>
      </c>
      <c r="X129">
        <f>F129/(AG$4+K129+$T129)</f>
        <v>1.7436689039005459E-5</v>
      </c>
      <c r="Y129">
        <f>G129/(AH$4+L129+$T129)</f>
        <v>1.0815714349562988E-5</v>
      </c>
    </row>
    <row r="130" spans="1:25">
      <c r="A130" t="s">
        <v>176</v>
      </c>
      <c r="B130">
        <f>SUMIFS(Sectores!$C:$C,Sectores!$A:$A,$A130)</f>
        <v>4012</v>
      </c>
      <c r="C130">
        <f>SUMIFS(Generacion!$C:$C,Generacion!$A:$A,$A130,Generacion!$B:$B,C$2)</f>
        <v>4.3533876706587399E-2</v>
      </c>
      <c r="D130">
        <f>SUMIFS(Generacion!$C:$C,Generacion!$A:$A,$A130,Generacion!$B:$B,D$2)</f>
        <v>3.7870933395161399E-2</v>
      </c>
      <c r="E130">
        <f>SUMIFS(Generacion!$C:$C,Generacion!$A:$A,$A130,Generacion!$B:$B,E$2)</f>
        <v>1.34494903646368E-2</v>
      </c>
      <c r="F130">
        <f>SUMIFS(Generacion!$C:$C,Generacion!$A:$A,$A130,Generacion!$B:$B,F$2)</f>
        <v>3.5393395696412498E-3</v>
      </c>
      <c r="G130">
        <f>SUMIFS(Generacion!$C:$C,Generacion!$A:$A,$A130,Generacion!$B:$B,G$2)</f>
        <v>2.4775376987488701E-3</v>
      </c>
      <c r="H130">
        <f>SUMPRODUCT((AtractivoAlternativas!$A$2:$A$931=$A130)*AtractivoAlternativas!$C$2:$C$931*COUNTIFS(Alternativas!$A$2:$A$51,AtractivoAlternativas!$B$2:$B$931,Alternativas!$B$2:$B$51,H$2))</f>
        <v>1.1175211279159951</v>
      </c>
      <c r="I130">
        <f>SUMPRODUCT((AtractivoAlternativas!$A$2:$A$931=$A130)*AtractivoAlternativas!$C$2:$C$931*COUNTIFS(Alternativas!$A$2:$A$51,AtractivoAlternativas!$B$2:$B$931,Alternativas!$B$2:$B$51,I$2))</f>
        <v>3.975532032826667</v>
      </c>
      <c r="J130">
        <f>SUMPRODUCT((AtractivoAlternativas!$A$2:$A$931=$A130)*AtractivoAlternativas!$C$2:$C$931*COUNTIFS(Alternativas!$A$2:$A$51,AtractivoAlternativas!$B$2:$B$931,Alternativas!$B$2:$B$51,J$2))</f>
        <v>0.55357702441585732</v>
      </c>
      <c r="K130">
        <f>SUMPRODUCT((AtractivoAlternativas!$A$2:$A$931=$A130)*AtractivoAlternativas!$C$2:$C$931*COUNTIFS(Alternativas!$A$2:$A$51,AtractivoAlternativas!$B$2:$B$931,Alternativas!$B$2:$B$51,K$2))</f>
        <v>0</v>
      </c>
      <c r="L130">
        <f>SUMPRODUCT((AtractivoAlternativas!$A$2:$A$931=$A130)*AtractivoAlternativas!$C$2:$C$931*COUNTIFS(Alternativas!$A$2:$A$51,AtractivoAlternativas!$B$2:$B$931,Alternativas!$B$2:$B$51,L$2))</f>
        <v>0</v>
      </c>
      <c r="M130">
        <f>SUMIFS(AtractivoSitios!$C:$C,AtractivoSitios!$A:$A,$A130,AtractivoSitios!$B:$B,M$2)</f>
        <v>0</v>
      </c>
      <c r="N130">
        <f>SUMIFS(AtractivoSitios!$C:$C,AtractivoSitios!$A:$A,$A130,AtractivoSitios!$B:$B,N$2)</f>
        <v>0</v>
      </c>
      <c r="O130">
        <f>SUMIFS(AtractivoSitios!$C:$C,AtractivoSitios!$A:$A,$A130,AtractivoSitios!$B:$B,O$2)</f>
        <v>0</v>
      </c>
      <c r="P130">
        <f>SUMIFS(AtractivoSitios!$C:$C,AtractivoSitios!$A:$A,$A130,AtractivoSitios!$B:$B,P$2)</f>
        <v>0.52372921774051795</v>
      </c>
      <c r="Q130">
        <f>SUMIFS(AtractivoSitios!$C:$C,AtractivoSitios!$A:$A,$A130,AtractivoSitios!$B:$B,Q$2)</f>
        <v>0</v>
      </c>
      <c r="R130">
        <f>SUMIFS(AtractivoSitios!$C:$C,AtractivoSitios!$A:$A,$A130,AtractivoSitios!$B:$B,R$2)</f>
        <v>0</v>
      </c>
      <c r="S130">
        <f>SUMIFS(AtractivoSitios!$C:$C,AtractivoSitios!$A:$A,$A130,AtractivoSitios!$B:$B,S$2)</f>
        <v>0</v>
      </c>
      <c r="T130">
        <f>SUM(M130:S130)</f>
        <v>0.52372921774051795</v>
      </c>
      <c r="U130">
        <f>C130/(AD$4+H130+$T130)</f>
        <v>1.917674707124201E-4</v>
      </c>
      <c r="V130">
        <f>D130/(AE$4+I130+$T130)</f>
        <v>5.5343312641088713E-5</v>
      </c>
      <c r="W130">
        <f>E130/(AF$4+J130+$T130)</f>
        <v>3.2014704712375304E-4</v>
      </c>
      <c r="X130">
        <f>F130/(AG$4+K130+$T130)</f>
        <v>1.7424231822743301E-5</v>
      </c>
      <c r="Y130">
        <f>G130/(AH$4+L130+$T130)</f>
        <v>1.0808866713489412E-5</v>
      </c>
    </row>
    <row r="131" spans="1:25">
      <c r="A131" t="s">
        <v>177</v>
      </c>
      <c r="B131">
        <f>SUMIFS(Sectores!$C:$C,Sectores!$A:$A,$A131)</f>
        <v>2361</v>
      </c>
      <c r="C131">
        <f>SUMIFS(Generacion!$C:$C,Generacion!$A:$A,$A131,Generacion!$B:$B,C$2)</f>
        <v>4.3533876706587399E-2</v>
      </c>
      <c r="D131">
        <f>SUMIFS(Generacion!$C:$C,Generacion!$A:$A,$A131,Generacion!$B:$B,D$2)</f>
        <v>3.7870933395161399E-2</v>
      </c>
      <c r="E131">
        <f>SUMIFS(Generacion!$C:$C,Generacion!$A:$A,$A131,Generacion!$B:$B,E$2)</f>
        <v>1.34494903646368E-2</v>
      </c>
      <c r="F131">
        <f>SUMIFS(Generacion!$C:$C,Generacion!$A:$A,$A131,Generacion!$B:$B,F$2)</f>
        <v>3.5393395696412498E-3</v>
      </c>
      <c r="G131">
        <f>SUMIFS(Generacion!$C:$C,Generacion!$A:$A,$A131,Generacion!$B:$B,G$2)</f>
        <v>2.4775376987488701E-3</v>
      </c>
      <c r="H131">
        <f>SUMPRODUCT((AtractivoAlternativas!$A$2:$A$931=$A131)*AtractivoAlternativas!$C$2:$C$931*COUNTIFS(Alternativas!$A$2:$A$51,AtractivoAlternativas!$B$2:$B$931,Alternativas!$B$2:$B$51,H$2))</f>
        <v>1.1573877691110439</v>
      </c>
      <c r="I131">
        <f>SUMPRODUCT((AtractivoAlternativas!$A$2:$A$931=$A131)*AtractivoAlternativas!$C$2:$C$931*COUNTIFS(Alternativas!$A$2:$A$51,AtractivoAlternativas!$B$2:$B$931,Alternativas!$B$2:$B$51,I$2))</f>
        <v>4.1650046886615666</v>
      </c>
      <c r="J131">
        <f>SUMPRODUCT((AtractivoAlternativas!$A$2:$A$931=$A131)*AtractivoAlternativas!$C$2:$C$931*COUNTIFS(Alternativas!$A$2:$A$51,AtractivoAlternativas!$B$2:$B$931,Alternativas!$B$2:$B$51,J$2))</f>
        <v>0.55959691835399328</v>
      </c>
      <c r="K131">
        <f>SUMPRODUCT((AtractivoAlternativas!$A$2:$A$931=$A131)*AtractivoAlternativas!$C$2:$C$931*COUNTIFS(Alternativas!$A$2:$A$51,AtractivoAlternativas!$B$2:$B$931,Alternativas!$B$2:$B$51,K$2))</f>
        <v>0</v>
      </c>
      <c r="L131">
        <f>SUMPRODUCT((AtractivoAlternativas!$A$2:$A$931=$A131)*AtractivoAlternativas!$C$2:$C$931*COUNTIFS(Alternativas!$A$2:$A$51,AtractivoAlternativas!$B$2:$B$931,Alternativas!$B$2:$B$51,L$2))</f>
        <v>0</v>
      </c>
      <c r="M131">
        <f>SUMIFS(AtractivoSitios!$C:$C,AtractivoSitios!$A:$A,$A131,AtractivoSitios!$B:$B,M$2)</f>
        <v>0</v>
      </c>
      <c r="N131">
        <f>SUMIFS(AtractivoSitios!$C:$C,AtractivoSitios!$A:$A,$A131,AtractivoSitios!$B:$B,N$2)</f>
        <v>0</v>
      </c>
      <c r="O131">
        <f>SUMIFS(AtractivoSitios!$C:$C,AtractivoSitios!$A:$A,$A131,AtractivoSitios!$B:$B,O$2)</f>
        <v>0</v>
      </c>
      <c r="P131">
        <f>SUMIFS(AtractivoSitios!$C:$C,AtractivoSitios!$A:$A,$A131,AtractivoSitios!$B:$B,P$2)</f>
        <v>0.58361341222758156</v>
      </c>
      <c r="Q131">
        <f>SUMIFS(AtractivoSitios!$C:$C,AtractivoSitios!$A:$A,$A131,AtractivoSitios!$B:$B,Q$2)</f>
        <v>0</v>
      </c>
      <c r="R131">
        <f>SUMIFS(AtractivoSitios!$C:$C,AtractivoSitios!$A:$A,$A131,AtractivoSitios!$B:$B,R$2)</f>
        <v>0</v>
      </c>
      <c r="S131">
        <f>SUMIFS(AtractivoSitios!$C:$C,AtractivoSitios!$A:$A,$A131,AtractivoSitios!$B:$B,S$2)</f>
        <v>0</v>
      </c>
      <c r="T131">
        <f>SUM(M131:S131)</f>
        <v>0.58361341222758156</v>
      </c>
      <c r="U131">
        <f>C131/(AD$4+H131+$T131)</f>
        <v>1.9168324430216335E-4</v>
      </c>
      <c r="V131">
        <f>D131/(AE$4+I131+$T131)</f>
        <v>5.5323152787801629E-5</v>
      </c>
      <c r="W131">
        <f>E131/(AF$4+J131+$T131)</f>
        <v>3.1964560044302269E-4</v>
      </c>
      <c r="X131">
        <f>F131/(AG$4+K131+$T131)</f>
        <v>1.7419096482231489E-5</v>
      </c>
      <c r="Y131">
        <f>G131/(AH$4+L131+$T131)</f>
        <v>1.0806043531889293E-5</v>
      </c>
    </row>
    <row r="132" spans="1:25">
      <c r="A132" t="s">
        <v>178</v>
      </c>
      <c r="B132">
        <f>SUMIFS(Sectores!$C:$C,Sectores!$A:$A,$A132)</f>
        <v>4419</v>
      </c>
      <c r="C132">
        <f>SUMIFS(Generacion!$C:$C,Generacion!$A:$A,$A132,Generacion!$B:$B,C$2)</f>
        <v>4.3533876706587399E-2</v>
      </c>
      <c r="D132">
        <f>SUMIFS(Generacion!$C:$C,Generacion!$A:$A,$A132,Generacion!$B:$B,D$2)</f>
        <v>3.7870933395161399E-2</v>
      </c>
      <c r="E132">
        <f>SUMIFS(Generacion!$C:$C,Generacion!$A:$A,$A132,Generacion!$B:$B,E$2)</f>
        <v>1.34494903646368E-2</v>
      </c>
      <c r="F132">
        <f>SUMIFS(Generacion!$C:$C,Generacion!$A:$A,$A132,Generacion!$B:$B,F$2)</f>
        <v>3.5393395696412498E-3</v>
      </c>
      <c r="G132">
        <f>SUMIFS(Generacion!$C:$C,Generacion!$A:$A,$A132,Generacion!$B:$B,G$2)</f>
        <v>2.4775376987488701E-3</v>
      </c>
      <c r="H132">
        <f>SUMPRODUCT((AtractivoAlternativas!$A$2:$A$931=$A132)*AtractivoAlternativas!$C$2:$C$931*COUNTIFS(Alternativas!$A$2:$A$51,AtractivoAlternativas!$B$2:$B$931,Alternativas!$B$2:$B$51,H$2))</f>
        <v>1.2084284485032373</v>
      </c>
      <c r="I132">
        <f>SUMPRODUCT((AtractivoAlternativas!$A$2:$A$931=$A132)*AtractivoAlternativas!$C$2:$C$931*COUNTIFS(Alternativas!$A$2:$A$51,AtractivoAlternativas!$B$2:$B$931,Alternativas!$B$2:$B$51,I$2))</f>
        <v>4.4422833344643147</v>
      </c>
      <c r="J132">
        <f>SUMPRODUCT((AtractivoAlternativas!$A$2:$A$931=$A132)*AtractivoAlternativas!$C$2:$C$931*COUNTIFS(Alternativas!$A$2:$A$51,AtractivoAlternativas!$B$2:$B$931,Alternativas!$B$2:$B$51,J$2))</f>
        <v>0.5606236513171966</v>
      </c>
      <c r="K132">
        <f>SUMPRODUCT((AtractivoAlternativas!$A$2:$A$931=$A132)*AtractivoAlternativas!$C$2:$C$931*COUNTIFS(Alternativas!$A$2:$A$51,AtractivoAlternativas!$B$2:$B$931,Alternativas!$B$2:$B$51,K$2))</f>
        <v>0</v>
      </c>
      <c r="L132">
        <f>SUMPRODUCT((AtractivoAlternativas!$A$2:$A$931=$A132)*AtractivoAlternativas!$C$2:$C$931*COUNTIFS(Alternativas!$A$2:$A$51,AtractivoAlternativas!$B$2:$B$931,Alternativas!$B$2:$B$51,L$2))</f>
        <v>0</v>
      </c>
      <c r="M132">
        <f>SUMIFS(AtractivoSitios!$C:$C,AtractivoSitios!$A:$A,$A132,AtractivoSitios!$B:$B,M$2)</f>
        <v>0</v>
      </c>
      <c r="N132">
        <f>SUMIFS(AtractivoSitios!$C:$C,AtractivoSitios!$A:$A,$A132,AtractivoSitios!$B:$B,N$2)</f>
        <v>0</v>
      </c>
      <c r="O132">
        <f>SUMIFS(AtractivoSitios!$C:$C,AtractivoSitios!$A:$A,$A132,AtractivoSitios!$B:$B,O$2)</f>
        <v>0</v>
      </c>
      <c r="P132">
        <f>SUMIFS(AtractivoSitios!$C:$C,AtractivoSitios!$A:$A,$A132,AtractivoSitios!$B:$B,P$2)</f>
        <v>0.68383891511479378</v>
      </c>
      <c r="Q132">
        <f>SUMIFS(AtractivoSitios!$C:$C,AtractivoSitios!$A:$A,$A132,AtractivoSitios!$B:$B,Q$2)</f>
        <v>0</v>
      </c>
      <c r="R132">
        <f>SUMIFS(AtractivoSitios!$C:$C,AtractivoSitios!$A:$A,$A132,AtractivoSitios!$B:$B,R$2)</f>
        <v>0</v>
      </c>
      <c r="S132">
        <f>SUMIFS(AtractivoSitios!$C:$C,AtractivoSitios!$A:$A,$A132,AtractivoSitios!$B:$B,S$2)</f>
        <v>0</v>
      </c>
      <c r="T132">
        <f>SUM(M132:S132)</f>
        <v>0.68383891511479378</v>
      </c>
      <c r="U132">
        <f>C132/(AD$4+H132+$T132)</f>
        <v>1.9155566105663417E-4</v>
      </c>
      <c r="V132">
        <f>D132/(AE$4+I132+$T132)</f>
        <v>5.5292660491676643E-5</v>
      </c>
      <c r="W132">
        <f>E132/(AF$4+J132+$T132)</f>
        <v>3.1887825233557234E-4</v>
      </c>
      <c r="X132">
        <f>F132/(AG$4+K132+$T132)</f>
        <v>1.7410508461349909E-5</v>
      </c>
      <c r="Y132">
        <f>G132/(AH$4+L132+$T132)</f>
        <v>1.080132179709738E-5</v>
      </c>
    </row>
    <row r="133" spans="1:25">
      <c r="A133" t="s">
        <v>179</v>
      </c>
      <c r="B133">
        <f>SUMIFS(Sectores!$C:$C,Sectores!$A:$A,$A133)</f>
        <v>4825</v>
      </c>
      <c r="C133">
        <f>SUMIFS(Generacion!$C:$C,Generacion!$A:$A,$A133,Generacion!$B:$B,C$2)</f>
        <v>4.3533876706587399E-2</v>
      </c>
      <c r="D133">
        <f>SUMIFS(Generacion!$C:$C,Generacion!$A:$A,$A133,Generacion!$B:$B,D$2)</f>
        <v>3.7870933395161399E-2</v>
      </c>
      <c r="E133">
        <f>SUMIFS(Generacion!$C:$C,Generacion!$A:$A,$A133,Generacion!$B:$B,E$2)</f>
        <v>1.34494903646368E-2</v>
      </c>
      <c r="F133">
        <f>SUMIFS(Generacion!$C:$C,Generacion!$A:$A,$A133,Generacion!$B:$B,F$2)</f>
        <v>3.5393395696412498E-3</v>
      </c>
      <c r="G133">
        <f>SUMIFS(Generacion!$C:$C,Generacion!$A:$A,$A133,Generacion!$B:$B,G$2)</f>
        <v>2.4775376987488701E-3</v>
      </c>
      <c r="H133">
        <f>SUMPRODUCT((AtractivoAlternativas!$A$2:$A$931=$A133)*AtractivoAlternativas!$C$2:$C$931*COUNTIFS(Alternativas!$A$2:$A$51,AtractivoAlternativas!$B$2:$B$931,Alternativas!$B$2:$B$51,H$2))</f>
        <v>1.2850884697057139</v>
      </c>
      <c r="I133">
        <f>SUMPRODUCT((AtractivoAlternativas!$A$2:$A$931=$A133)*AtractivoAlternativas!$C$2:$C$931*COUNTIFS(Alternativas!$A$2:$A$51,AtractivoAlternativas!$B$2:$B$931,Alternativas!$B$2:$B$51,I$2))</f>
        <v>4.1545102669065308</v>
      </c>
      <c r="J133">
        <f>SUMPRODUCT((AtractivoAlternativas!$A$2:$A$931=$A133)*AtractivoAlternativas!$C$2:$C$931*COUNTIFS(Alternativas!$A$2:$A$51,AtractivoAlternativas!$B$2:$B$931,Alternativas!$B$2:$B$51,J$2))</f>
        <v>0.82994689087470785</v>
      </c>
      <c r="K133">
        <f>SUMPRODUCT((AtractivoAlternativas!$A$2:$A$931=$A133)*AtractivoAlternativas!$C$2:$C$931*COUNTIFS(Alternativas!$A$2:$A$51,AtractivoAlternativas!$B$2:$B$931,Alternativas!$B$2:$B$51,K$2))</f>
        <v>0</v>
      </c>
      <c r="L133">
        <f>SUMPRODUCT((AtractivoAlternativas!$A$2:$A$931=$A133)*AtractivoAlternativas!$C$2:$C$931*COUNTIFS(Alternativas!$A$2:$A$51,AtractivoAlternativas!$B$2:$B$931,Alternativas!$B$2:$B$51,L$2))</f>
        <v>0</v>
      </c>
      <c r="M133">
        <f>SUMIFS(AtractivoSitios!$C:$C,AtractivoSitios!$A:$A,$A133,AtractivoSitios!$B:$B,M$2)</f>
        <v>0.49658530379140953</v>
      </c>
      <c r="N133">
        <f>SUMIFS(AtractivoSitios!$C:$C,AtractivoSitios!$A:$A,$A133,AtractivoSitios!$B:$B,N$2)</f>
        <v>0</v>
      </c>
      <c r="O133">
        <f>SUMIFS(AtractivoSitios!$C:$C,AtractivoSitios!$A:$A,$A133,AtractivoSitios!$B:$B,O$2)</f>
        <v>0</v>
      </c>
      <c r="P133">
        <f>SUMIFS(AtractivoSitios!$C:$C,AtractivoSitios!$A:$A,$A133,AtractivoSitios!$B:$B,P$2)</f>
        <v>0</v>
      </c>
      <c r="Q133">
        <f>SUMIFS(AtractivoSitios!$C:$C,AtractivoSitios!$A:$A,$A133,AtractivoSitios!$B:$B,Q$2)</f>
        <v>0</v>
      </c>
      <c r="R133">
        <f>SUMIFS(AtractivoSitios!$C:$C,AtractivoSitios!$A:$A,$A133,AtractivoSitios!$B:$B,R$2)</f>
        <v>0</v>
      </c>
      <c r="S133">
        <f>SUMIFS(AtractivoSitios!$C:$C,AtractivoSitios!$A:$A,$A133,AtractivoSitios!$B:$B,S$2)</f>
        <v>0</v>
      </c>
      <c r="T133">
        <f>SUM(M133:S133)</f>
        <v>0.49658530379140953</v>
      </c>
      <c r="U133">
        <f>C133/(AD$4+H133+$T133)</f>
        <v>1.9164892289834864E-4</v>
      </c>
      <c r="V133">
        <f>D133/(AE$4+I133+$T133)</f>
        <v>5.5331035481856998E-5</v>
      </c>
      <c r="W133">
        <f>E133/(AF$4+J133+$T133)</f>
        <v>3.1825897925104736E-4</v>
      </c>
      <c r="X133">
        <f>F133/(AG$4+K133+$T133)</f>
        <v>1.7426560533547511E-5</v>
      </c>
      <c r="Y133">
        <f>G133/(AH$4+L133+$T133)</f>
        <v>1.0810146872608972E-5</v>
      </c>
    </row>
    <row r="134" spans="1:25">
      <c r="A134" t="s">
        <v>180</v>
      </c>
      <c r="B134">
        <f>SUMIFS(Sectores!$C:$C,Sectores!$A:$A,$A134)</f>
        <v>2895</v>
      </c>
      <c r="C134">
        <f>SUMIFS(Generacion!$C:$C,Generacion!$A:$A,$A134,Generacion!$B:$B,C$2)</f>
        <v>4.3533876706587399E-2</v>
      </c>
      <c r="D134">
        <f>SUMIFS(Generacion!$C:$C,Generacion!$A:$A,$A134,Generacion!$B:$B,D$2)</f>
        <v>3.7870933395161399E-2</v>
      </c>
      <c r="E134">
        <f>SUMIFS(Generacion!$C:$C,Generacion!$A:$A,$A134,Generacion!$B:$B,E$2)</f>
        <v>1.34494903646368E-2</v>
      </c>
      <c r="F134">
        <f>SUMIFS(Generacion!$C:$C,Generacion!$A:$A,$A134,Generacion!$B:$B,F$2)</f>
        <v>3.5393395696412498E-3</v>
      </c>
      <c r="G134">
        <f>SUMIFS(Generacion!$C:$C,Generacion!$A:$A,$A134,Generacion!$B:$B,G$2)</f>
        <v>2.4775376987488701E-3</v>
      </c>
      <c r="H134">
        <f>SUMPRODUCT((AtractivoAlternativas!$A$2:$A$931=$A134)*AtractivoAlternativas!$C$2:$C$931*COUNTIFS(Alternativas!$A$2:$A$51,AtractivoAlternativas!$B$2:$B$931,Alternativas!$B$2:$B$51,H$2))</f>
        <v>0.49593015254583445</v>
      </c>
      <c r="I134">
        <f>SUMPRODUCT((AtractivoAlternativas!$A$2:$A$931=$A134)*AtractivoAlternativas!$C$2:$C$931*COUNTIFS(Alternativas!$A$2:$A$51,AtractivoAlternativas!$B$2:$B$931,Alternativas!$B$2:$B$51,I$2))</f>
        <v>2.3877374555494666</v>
      </c>
      <c r="J134">
        <f>SUMPRODUCT((AtractivoAlternativas!$A$2:$A$931=$A134)*AtractivoAlternativas!$C$2:$C$931*COUNTIFS(Alternativas!$A$2:$A$51,AtractivoAlternativas!$B$2:$B$931,Alternativas!$B$2:$B$51,J$2))</f>
        <v>0.49593015254583445</v>
      </c>
      <c r="K134">
        <f>SUMPRODUCT((AtractivoAlternativas!$A$2:$A$931=$A134)*AtractivoAlternativas!$C$2:$C$931*COUNTIFS(Alternativas!$A$2:$A$51,AtractivoAlternativas!$B$2:$B$931,Alternativas!$B$2:$B$51,K$2))</f>
        <v>0</v>
      </c>
      <c r="L134">
        <f>SUMPRODUCT((AtractivoAlternativas!$A$2:$A$931=$A134)*AtractivoAlternativas!$C$2:$C$931*COUNTIFS(Alternativas!$A$2:$A$51,AtractivoAlternativas!$B$2:$B$931,Alternativas!$B$2:$B$51,L$2))</f>
        <v>0</v>
      </c>
      <c r="M134">
        <f>SUMIFS(AtractivoSitios!$C:$C,AtractivoSitios!$A:$A,$A134,AtractivoSitios!$B:$B,M$2)</f>
        <v>0</v>
      </c>
      <c r="N134">
        <f>SUMIFS(AtractivoSitios!$C:$C,AtractivoSitios!$A:$A,$A134,AtractivoSitios!$B:$B,N$2)</f>
        <v>0</v>
      </c>
      <c r="O134">
        <f>SUMIFS(AtractivoSitios!$C:$C,AtractivoSitios!$A:$A,$A134,AtractivoSitios!$B:$B,O$2)</f>
        <v>0</v>
      </c>
      <c r="P134">
        <f>SUMIFS(AtractivoSitios!$C:$C,AtractivoSitios!$A:$A,$A134,AtractivoSitios!$B:$B,P$2)</f>
        <v>0</v>
      </c>
      <c r="Q134">
        <f>SUMIFS(AtractivoSitios!$C:$C,AtractivoSitios!$A:$A,$A134,AtractivoSitios!$B:$B,Q$2)</f>
        <v>0.44602856544894409</v>
      </c>
      <c r="R134">
        <f>SUMIFS(AtractivoSitios!$C:$C,AtractivoSitios!$A:$A,$A134,AtractivoSitios!$B:$B,R$2)</f>
        <v>0</v>
      </c>
      <c r="S134">
        <f>SUMIFS(AtractivoSitios!$C:$C,AtractivoSitios!$A:$A,$A134,AtractivoSitios!$B:$B,S$2)</f>
        <v>0</v>
      </c>
      <c r="T134">
        <f>SUM(M134:S134)</f>
        <v>0.44602856544894409</v>
      </c>
      <c r="U134">
        <f>C134/(AD$4+H134+$T134)</f>
        <v>1.9236001488026763E-4</v>
      </c>
      <c r="V134">
        <f>D134/(AE$4+I134+$T134)</f>
        <v>5.547834131507693E-5</v>
      </c>
      <c r="W134">
        <f>E134/(AF$4+J134+$T134)</f>
        <v>3.2118181977671843E-4</v>
      </c>
      <c r="X134">
        <f>F134/(AG$4+K134+$T134)</f>
        <v>1.7430899520007282E-5</v>
      </c>
      <c r="Y134">
        <f>G134/(AH$4+L134+$T134)</f>
        <v>1.0812532034039545E-5</v>
      </c>
    </row>
    <row r="135" spans="1:25">
      <c r="A135" t="s">
        <v>181</v>
      </c>
      <c r="B135">
        <f>SUMIFS(Sectores!$C:$C,Sectores!$A:$A,$A135)</f>
        <v>3025</v>
      </c>
      <c r="C135">
        <f>SUMIFS(Generacion!$C:$C,Generacion!$A:$A,$A135,Generacion!$B:$B,C$2)</f>
        <v>4.3533876706587399E-2</v>
      </c>
      <c r="D135">
        <f>SUMIFS(Generacion!$C:$C,Generacion!$A:$A,$A135,Generacion!$B:$B,D$2)</f>
        <v>3.7870933395161399E-2</v>
      </c>
      <c r="E135">
        <f>SUMIFS(Generacion!$C:$C,Generacion!$A:$A,$A135,Generacion!$B:$B,E$2)</f>
        <v>1.34494903646368E-2</v>
      </c>
      <c r="F135">
        <f>SUMIFS(Generacion!$C:$C,Generacion!$A:$A,$A135,Generacion!$B:$B,F$2)</f>
        <v>3.5393395696412498E-3</v>
      </c>
      <c r="G135">
        <f>SUMIFS(Generacion!$C:$C,Generacion!$A:$A,$A135,Generacion!$B:$B,G$2)</f>
        <v>2.4775376987488701E-3</v>
      </c>
      <c r="H135">
        <f>SUMPRODUCT((AtractivoAlternativas!$A$2:$A$931=$A135)*AtractivoAlternativas!$C$2:$C$931*COUNTIFS(Alternativas!$A$2:$A$51,AtractivoAlternativas!$B$2:$B$931,Alternativas!$B$2:$B$51,H$2))</f>
        <v>0.57012815041145237</v>
      </c>
      <c r="I135">
        <f>SUMPRODUCT((AtractivoAlternativas!$A$2:$A$931=$A135)*AtractivoAlternativas!$C$2:$C$931*COUNTIFS(Alternativas!$A$2:$A$51,AtractivoAlternativas!$B$2:$B$931,Alternativas!$B$2:$B$51,I$2))</f>
        <v>2.8999805915122723</v>
      </c>
      <c r="J135">
        <f>SUMPRODUCT((AtractivoAlternativas!$A$2:$A$931=$A135)*AtractivoAlternativas!$C$2:$C$931*COUNTIFS(Alternativas!$A$2:$A$51,AtractivoAlternativas!$B$2:$B$931,Alternativas!$B$2:$B$51,J$2))</f>
        <v>0.57012815041145237</v>
      </c>
      <c r="K135">
        <f>SUMPRODUCT((AtractivoAlternativas!$A$2:$A$931=$A135)*AtractivoAlternativas!$C$2:$C$931*COUNTIFS(Alternativas!$A$2:$A$51,AtractivoAlternativas!$B$2:$B$931,Alternativas!$B$2:$B$51,K$2))</f>
        <v>0</v>
      </c>
      <c r="L135">
        <f>SUMPRODUCT((AtractivoAlternativas!$A$2:$A$931=$A135)*AtractivoAlternativas!$C$2:$C$931*COUNTIFS(Alternativas!$A$2:$A$51,AtractivoAlternativas!$B$2:$B$931,Alternativas!$B$2:$B$51,L$2))</f>
        <v>0</v>
      </c>
      <c r="M135">
        <f>SUMIFS(AtractivoSitios!$C:$C,AtractivoSitios!$A:$A,$A135,AtractivoSitios!$B:$B,M$2)</f>
        <v>0</v>
      </c>
      <c r="N135">
        <f>SUMIFS(AtractivoSitios!$C:$C,AtractivoSitios!$A:$A,$A135,AtractivoSitios!$B:$B,N$2)</f>
        <v>0</v>
      </c>
      <c r="O135">
        <f>SUMIFS(AtractivoSitios!$C:$C,AtractivoSitios!$A:$A,$A135,AtractivoSitios!$B:$B,O$2)</f>
        <v>0</v>
      </c>
      <c r="P135">
        <f>SUMIFS(AtractivoSitios!$C:$C,AtractivoSitios!$A:$A,$A135,AtractivoSitios!$B:$B,P$2)</f>
        <v>0</v>
      </c>
      <c r="Q135">
        <f>SUMIFS(AtractivoSitios!$C:$C,AtractivoSitios!$A:$A,$A135,AtractivoSitios!$B:$B,Q$2)</f>
        <v>0.55877920883212762</v>
      </c>
      <c r="R135">
        <f>SUMIFS(AtractivoSitios!$C:$C,AtractivoSitios!$A:$A,$A135,AtractivoSitios!$B:$B,R$2)</f>
        <v>0</v>
      </c>
      <c r="S135">
        <f>SUMIFS(AtractivoSitios!$C:$C,AtractivoSitios!$A:$A,$A135,AtractivoSitios!$B:$B,S$2)</f>
        <v>0</v>
      </c>
      <c r="T135">
        <f>SUM(M135:S135)</f>
        <v>0.55877920883212762</v>
      </c>
      <c r="U135">
        <f>C135/(AD$4+H135+$T135)</f>
        <v>1.9220124578486449E-4</v>
      </c>
      <c r="V135">
        <f>D135/(AE$4+I135+$T135)</f>
        <v>5.5427593286559024E-5</v>
      </c>
      <c r="W135">
        <f>E135/(AF$4+J135+$T135)</f>
        <v>3.1975429443954127E-4</v>
      </c>
      <c r="X135">
        <f>F135/(AG$4+K135+$T135)</f>
        <v>1.7421225760078188E-5</v>
      </c>
      <c r="Y135">
        <f>G135/(AH$4+L135+$T135)</f>
        <v>1.0807214137042804E-5</v>
      </c>
    </row>
    <row r="136" spans="1:25">
      <c r="A136" t="s">
        <v>182</v>
      </c>
      <c r="B136">
        <f>SUMIFS(Sectores!$C:$C,Sectores!$A:$A,$A136)</f>
        <v>4092</v>
      </c>
      <c r="C136">
        <f>SUMIFS(Generacion!$C:$C,Generacion!$A:$A,$A136,Generacion!$B:$B,C$2)</f>
        <v>4.3533876706587399E-2</v>
      </c>
      <c r="D136">
        <f>SUMIFS(Generacion!$C:$C,Generacion!$A:$A,$A136,Generacion!$B:$B,D$2)</f>
        <v>3.7870933395161399E-2</v>
      </c>
      <c r="E136">
        <f>SUMIFS(Generacion!$C:$C,Generacion!$A:$A,$A136,Generacion!$B:$B,E$2)</f>
        <v>1.34494903646368E-2</v>
      </c>
      <c r="F136">
        <f>SUMIFS(Generacion!$C:$C,Generacion!$A:$A,$A136,Generacion!$B:$B,F$2)</f>
        <v>3.5393395696412498E-3</v>
      </c>
      <c r="G136">
        <f>SUMIFS(Generacion!$C:$C,Generacion!$A:$A,$A136,Generacion!$B:$B,G$2)</f>
        <v>2.4775376987488701E-3</v>
      </c>
      <c r="H136">
        <f>SUMPRODUCT((AtractivoAlternativas!$A$2:$A$931=$A136)*AtractivoAlternativas!$C$2:$C$931*COUNTIFS(Alternativas!$A$2:$A$51,AtractivoAlternativas!$B$2:$B$931,Alternativas!$B$2:$B$51,H$2))</f>
        <v>1.116635422162402</v>
      </c>
      <c r="I136">
        <f>SUMPRODUCT((AtractivoAlternativas!$A$2:$A$931=$A136)*AtractivoAlternativas!$C$2:$C$931*COUNTIFS(Alternativas!$A$2:$A$51,AtractivoAlternativas!$B$2:$B$931,Alternativas!$B$2:$B$51,I$2))</f>
        <v>2.0698263751891597</v>
      </c>
      <c r="J136">
        <f>SUMPRODUCT((AtractivoAlternativas!$A$2:$A$931=$A136)*AtractivoAlternativas!$C$2:$C$931*COUNTIFS(Alternativas!$A$2:$A$51,AtractivoAlternativas!$B$2:$B$931,Alternativas!$B$2:$B$51,J$2))</f>
        <v>1.5742642366411876</v>
      </c>
      <c r="K136">
        <f>SUMPRODUCT((AtractivoAlternativas!$A$2:$A$931=$A136)*AtractivoAlternativas!$C$2:$C$931*COUNTIFS(Alternativas!$A$2:$A$51,AtractivoAlternativas!$B$2:$B$931,Alternativas!$B$2:$B$51,K$2))</f>
        <v>0</v>
      </c>
      <c r="L136">
        <f>SUMPRODUCT((AtractivoAlternativas!$A$2:$A$931=$A136)*AtractivoAlternativas!$C$2:$C$931*COUNTIFS(Alternativas!$A$2:$A$51,AtractivoAlternativas!$B$2:$B$931,Alternativas!$B$2:$B$51,L$2))</f>
        <v>0</v>
      </c>
      <c r="M136">
        <f>SUMIFS(AtractivoSitios!$C:$C,AtractivoSitios!$A:$A,$A136,AtractivoSitios!$B:$B,M$2)</f>
        <v>0</v>
      </c>
      <c r="N136">
        <f>SUMIFS(AtractivoSitios!$C:$C,AtractivoSitios!$A:$A,$A136,AtractivoSitios!$B:$B,N$2)</f>
        <v>0</v>
      </c>
      <c r="O136">
        <f>SUMIFS(AtractivoSitios!$C:$C,AtractivoSitios!$A:$A,$A136,AtractivoSitios!$B:$B,O$2)</f>
        <v>0</v>
      </c>
      <c r="P136">
        <f>SUMIFS(AtractivoSitios!$C:$C,AtractivoSitios!$A:$A,$A136,AtractivoSitios!$B:$B,P$2)</f>
        <v>0</v>
      </c>
      <c r="Q136">
        <f>SUMIFS(AtractivoSitios!$C:$C,AtractivoSitios!$A:$A,$A136,AtractivoSitios!$B:$B,Q$2)</f>
        <v>0.56095086641021341</v>
      </c>
      <c r="R136">
        <f>SUMIFS(AtractivoSitios!$C:$C,AtractivoSitios!$A:$A,$A136,AtractivoSitios!$B:$B,R$2)</f>
        <v>0</v>
      </c>
      <c r="S136">
        <f>SUMIFS(AtractivoSitios!$C:$C,AtractivoSitios!$A:$A,$A136,AtractivoSitios!$B:$B,S$2)</f>
        <v>0</v>
      </c>
      <c r="T136">
        <f>SUM(M136:S136)</f>
        <v>0.56095086641021341</v>
      </c>
      <c r="U136">
        <f>C136/(AD$4+H136+$T136)</f>
        <v>1.9173678123705234E-4</v>
      </c>
      <c r="V136">
        <f>D136/(AE$4+I136+$T136)</f>
        <v>5.5494843525561135E-5</v>
      </c>
      <c r="W136">
        <f>E136/(AF$4+J136+$T136)</f>
        <v>3.122831031035209E-4</v>
      </c>
      <c r="X136">
        <f>F136/(AG$4+K136+$T136)</f>
        <v>1.7421039541978038E-5</v>
      </c>
      <c r="Y136">
        <f>G136/(AH$4+L136+$T136)</f>
        <v>1.0807111761910558E-5</v>
      </c>
    </row>
    <row r="137" spans="1:25">
      <c r="A137" t="s">
        <v>183</v>
      </c>
      <c r="B137">
        <f>SUMIFS(Sectores!$C:$C,Sectores!$A:$A,$A137)</f>
        <v>2888</v>
      </c>
      <c r="C137">
        <f>SUMIFS(Generacion!$C:$C,Generacion!$A:$A,$A137,Generacion!$B:$B,C$2)</f>
        <v>4.3533876706587399E-2</v>
      </c>
      <c r="D137">
        <f>SUMIFS(Generacion!$C:$C,Generacion!$A:$A,$A137,Generacion!$B:$B,D$2)</f>
        <v>3.7870933395161399E-2</v>
      </c>
      <c r="E137">
        <f>SUMIFS(Generacion!$C:$C,Generacion!$A:$A,$A137,Generacion!$B:$B,E$2)</f>
        <v>1.34494903646368E-2</v>
      </c>
      <c r="F137">
        <f>SUMIFS(Generacion!$C:$C,Generacion!$A:$A,$A137,Generacion!$B:$B,F$2)</f>
        <v>3.5393395696412498E-3</v>
      </c>
      <c r="G137">
        <f>SUMIFS(Generacion!$C:$C,Generacion!$A:$A,$A137,Generacion!$B:$B,G$2)</f>
        <v>2.4775376987488701E-3</v>
      </c>
      <c r="H137">
        <f>SUMPRODUCT((AtractivoAlternativas!$A$2:$A$931=$A137)*AtractivoAlternativas!$C$2:$C$931*COUNTIFS(Alternativas!$A$2:$A$51,AtractivoAlternativas!$B$2:$B$931,Alternativas!$B$2:$B$51,H$2))</f>
        <v>1.0197542056233937</v>
      </c>
      <c r="I137">
        <f>SUMPRODUCT((AtractivoAlternativas!$A$2:$A$931=$A137)*AtractivoAlternativas!$C$2:$C$931*COUNTIFS(Alternativas!$A$2:$A$51,AtractivoAlternativas!$B$2:$B$931,Alternativas!$B$2:$B$51,I$2))</f>
        <v>2.5055118156315954</v>
      </c>
      <c r="J137">
        <f>SUMPRODUCT((AtractivoAlternativas!$A$2:$A$931=$A137)*AtractivoAlternativas!$C$2:$C$931*COUNTIFS(Alternativas!$A$2:$A$51,AtractivoAlternativas!$B$2:$B$931,Alternativas!$B$2:$B$51,J$2))</f>
        <v>0.597848951798026</v>
      </c>
      <c r="K137">
        <f>SUMPRODUCT((AtractivoAlternativas!$A$2:$A$931=$A137)*AtractivoAlternativas!$C$2:$C$931*COUNTIFS(Alternativas!$A$2:$A$51,AtractivoAlternativas!$B$2:$B$931,Alternativas!$B$2:$B$51,K$2))</f>
        <v>0</v>
      </c>
      <c r="L137">
        <f>SUMPRODUCT((AtractivoAlternativas!$A$2:$A$931=$A137)*AtractivoAlternativas!$C$2:$C$931*COUNTIFS(Alternativas!$A$2:$A$51,AtractivoAlternativas!$B$2:$B$931,Alternativas!$B$2:$B$51,L$2))</f>
        <v>0</v>
      </c>
      <c r="M137">
        <f>SUMIFS(AtractivoSitios!$C:$C,AtractivoSitios!$A:$A,$A137,AtractivoSitios!$B:$B,M$2)</f>
        <v>0.40407309941692809</v>
      </c>
      <c r="N137">
        <f>SUMIFS(AtractivoSitios!$C:$C,AtractivoSitios!$A:$A,$A137,AtractivoSitios!$B:$B,N$2)</f>
        <v>0</v>
      </c>
      <c r="O137">
        <f>SUMIFS(AtractivoSitios!$C:$C,AtractivoSitios!$A:$A,$A137,AtractivoSitios!$B:$B,O$2)</f>
        <v>0</v>
      </c>
      <c r="P137">
        <f>SUMIFS(AtractivoSitios!$C:$C,AtractivoSitios!$A:$A,$A137,AtractivoSitios!$B:$B,P$2)</f>
        <v>0</v>
      </c>
      <c r="Q137">
        <f>SUMIFS(AtractivoSitios!$C:$C,AtractivoSitios!$A:$A,$A137,AtractivoSitios!$B:$B,Q$2)</f>
        <v>0.37553623038102457</v>
      </c>
      <c r="R137">
        <f>SUMIFS(AtractivoSitios!$C:$C,AtractivoSitios!$A:$A,$A137,AtractivoSitios!$B:$B,R$2)</f>
        <v>0</v>
      </c>
      <c r="S137">
        <f>SUMIFS(AtractivoSitios!$C:$C,AtractivoSitios!$A:$A,$A137,AtractivoSitios!$B:$B,S$2)</f>
        <v>0</v>
      </c>
      <c r="T137">
        <f>SUM(M137:S137)</f>
        <v>0.77960932979795272</v>
      </c>
      <c r="U137">
        <f>C137/(AD$4+H137+$T137)</f>
        <v>1.9163399929865749E-4</v>
      </c>
      <c r="V137">
        <f>D137/(AE$4+I137+$T137)</f>
        <v>5.5441683021748745E-5</v>
      </c>
      <c r="W137">
        <f>E137/(AF$4+J137+$T137)</f>
        <v>3.1787591399232666E-4</v>
      </c>
      <c r="X137">
        <f>F137/(AG$4+K137+$T137)</f>
        <v>1.7402310091736841E-5</v>
      </c>
      <c r="Y137">
        <f>G137/(AH$4+L137+$T137)</f>
        <v>1.0796813800153076E-5</v>
      </c>
    </row>
    <row r="138" spans="1:25">
      <c r="A138" t="s">
        <v>184</v>
      </c>
      <c r="B138">
        <f>SUMIFS(Sectores!$C:$C,Sectores!$A:$A,$A138)</f>
        <v>4611</v>
      </c>
      <c r="C138">
        <f>SUMIFS(Generacion!$C:$C,Generacion!$A:$A,$A138,Generacion!$B:$B,C$2)</f>
        <v>4.3533876706587399E-2</v>
      </c>
      <c r="D138">
        <f>SUMIFS(Generacion!$C:$C,Generacion!$A:$A,$A138,Generacion!$B:$B,D$2)</f>
        <v>3.7870933395161399E-2</v>
      </c>
      <c r="E138">
        <f>SUMIFS(Generacion!$C:$C,Generacion!$A:$A,$A138,Generacion!$B:$B,E$2)</f>
        <v>1.34494903646368E-2</v>
      </c>
      <c r="F138">
        <f>SUMIFS(Generacion!$C:$C,Generacion!$A:$A,$A138,Generacion!$B:$B,F$2)</f>
        <v>3.5393395696412498E-3</v>
      </c>
      <c r="G138">
        <f>SUMIFS(Generacion!$C:$C,Generacion!$A:$A,$A138,Generacion!$B:$B,G$2)</f>
        <v>2.4775376987488701E-3</v>
      </c>
      <c r="H138">
        <f>SUMPRODUCT((AtractivoAlternativas!$A$2:$A$931=$A138)*AtractivoAlternativas!$C$2:$C$931*COUNTIFS(Alternativas!$A$2:$A$51,AtractivoAlternativas!$B$2:$B$931,Alternativas!$B$2:$B$51,H$2))</f>
        <v>1.0691928170317393</v>
      </c>
      <c r="I138">
        <f>SUMPRODUCT((AtractivoAlternativas!$A$2:$A$931=$A138)*AtractivoAlternativas!$C$2:$C$931*COUNTIFS(Alternativas!$A$2:$A$51,AtractivoAlternativas!$B$2:$B$931,Alternativas!$B$2:$B$51,I$2))</f>
        <v>2.7495224238507721</v>
      </c>
      <c r="J138">
        <f>SUMPRODUCT((AtractivoAlternativas!$A$2:$A$931=$A138)*AtractivoAlternativas!$C$2:$C$931*COUNTIFS(Alternativas!$A$2:$A$51,AtractivoAlternativas!$B$2:$B$931,Alternativas!$B$2:$B$51,J$2))</f>
        <v>1.0005728105174811</v>
      </c>
      <c r="K138">
        <f>SUMPRODUCT((AtractivoAlternativas!$A$2:$A$931=$A138)*AtractivoAlternativas!$C$2:$C$931*COUNTIFS(Alternativas!$A$2:$A$51,AtractivoAlternativas!$B$2:$B$931,Alternativas!$B$2:$B$51,K$2))</f>
        <v>0</v>
      </c>
      <c r="L138">
        <f>SUMPRODUCT((AtractivoAlternativas!$A$2:$A$931=$A138)*AtractivoAlternativas!$C$2:$C$931*COUNTIFS(Alternativas!$A$2:$A$51,AtractivoAlternativas!$B$2:$B$931,Alternativas!$B$2:$B$51,L$2))</f>
        <v>0</v>
      </c>
      <c r="M138">
        <f>SUMIFS(AtractivoSitios!$C:$C,AtractivoSitios!$A:$A,$A138,AtractivoSitios!$B:$B,M$2)</f>
        <v>0.43154356331485333</v>
      </c>
      <c r="N138">
        <f>SUMIFS(AtractivoSitios!$C:$C,AtractivoSitios!$A:$A,$A138,AtractivoSitios!$B:$B,N$2)</f>
        <v>0</v>
      </c>
      <c r="O138">
        <f>SUMIFS(AtractivoSitios!$C:$C,AtractivoSitios!$A:$A,$A138,AtractivoSitios!$B:$B,O$2)</f>
        <v>0</v>
      </c>
      <c r="P138">
        <f>SUMIFS(AtractivoSitios!$C:$C,AtractivoSitios!$A:$A,$A138,AtractivoSitios!$B:$B,P$2)</f>
        <v>0</v>
      </c>
      <c r="Q138">
        <f>SUMIFS(AtractivoSitios!$C:$C,AtractivoSitios!$A:$A,$A138,AtractivoSitios!$B:$B,Q$2)</f>
        <v>0</v>
      </c>
      <c r="R138">
        <f>SUMIFS(AtractivoSitios!$C:$C,AtractivoSitios!$A:$A,$A138,AtractivoSitios!$B:$B,R$2)</f>
        <v>0</v>
      </c>
      <c r="S138">
        <f>SUMIFS(AtractivoSitios!$C:$C,AtractivoSitios!$A:$A,$A138,AtractivoSitios!$B:$B,S$2)</f>
        <v>0</v>
      </c>
      <c r="T138">
        <f>SUM(M138:S138)</f>
        <v>0.43154356331485333</v>
      </c>
      <c r="U138">
        <f>C138/(AD$4+H138+$T138)</f>
        <v>1.9188624185220517E-4</v>
      </c>
      <c r="V138">
        <f>D138/(AE$4+I138+$T138)</f>
        <v>5.5450129906687044E-5</v>
      </c>
      <c r="W138">
        <f>E138/(AF$4+J138+$T138)</f>
        <v>3.1746580129910065E-4</v>
      </c>
      <c r="X138">
        <f>F138/(AG$4+K138+$T138)</f>
        <v>1.7432143080491501E-5</v>
      </c>
      <c r="Y138">
        <f>G138/(AH$4+L138+$T138)</f>
        <v>1.0813215600210004E-5</v>
      </c>
    </row>
    <row r="139" spans="1:25">
      <c r="A139" t="s">
        <v>185</v>
      </c>
      <c r="B139">
        <f>SUMIFS(Sectores!$C:$C,Sectores!$A:$A,$A139)</f>
        <v>4793</v>
      </c>
      <c r="C139">
        <f>SUMIFS(Generacion!$C:$C,Generacion!$A:$A,$A139,Generacion!$B:$B,C$2)</f>
        <v>4.3533876706587399E-2</v>
      </c>
      <c r="D139">
        <f>SUMIFS(Generacion!$C:$C,Generacion!$A:$A,$A139,Generacion!$B:$B,D$2)</f>
        <v>3.7870933395161399E-2</v>
      </c>
      <c r="E139">
        <f>SUMIFS(Generacion!$C:$C,Generacion!$A:$A,$A139,Generacion!$B:$B,E$2)</f>
        <v>1.34494903646368E-2</v>
      </c>
      <c r="F139">
        <f>SUMIFS(Generacion!$C:$C,Generacion!$A:$A,$A139,Generacion!$B:$B,F$2)</f>
        <v>3.5393395696412498E-3</v>
      </c>
      <c r="G139">
        <f>SUMIFS(Generacion!$C:$C,Generacion!$A:$A,$A139,Generacion!$B:$B,G$2)</f>
        <v>2.4775376987488701E-3</v>
      </c>
      <c r="H139">
        <f>SUMPRODUCT((AtractivoAlternativas!$A$2:$A$931=$A139)*AtractivoAlternativas!$C$2:$C$931*COUNTIFS(Alternativas!$A$2:$A$51,AtractivoAlternativas!$B$2:$B$931,Alternativas!$B$2:$B$51,H$2))</f>
        <v>1.5371684776546726</v>
      </c>
      <c r="I139">
        <f>SUMPRODUCT((AtractivoAlternativas!$A$2:$A$931=$A139)*AtractivoAlternativas!$C$2:$C$931*COUNTIFS(Alternativas!$A$2:$A$51,AtractivoAlternativas!$B$2:$B$931,Alternativas!$B$2:$B$51,I$2))</f>
        <v>3.4276168917725709</v>
      </c>
      <c r="J139">
        <f>SUMPRODUCT((AtractivoAlternativas!$A$2:$A$931=$A139)*AtractivoAlternativas!$C$2:$C$931*COUNTIFS(Alternativas!$A$2:$A$51,AtractivoAlternativas!$B$2:$B$931,Alternativas!$B$2:$B$51,J$2))</f>
        <v>1.6001185766681376</v>
      </c>
      <c r="K139">
        <f>SUMPRODUCT((AtractivoAlternativas!$A$2:$A$931=$A139)*AtractivoAlternativas!$C$2:$C$931*COUNTIFS(Alternativas!$A$2:$A$51,AtractivoAlternativas!$B$2:$B$931,Alternativas!$B$2:$B$51,K$2))</f>
        <v>0</v>
      </c>
      <c r="L139">
        <f>SUMPRODUCT((AtractivoAlternativas!$A$2:$A$931=$A139)*AtractivoAlternativas!$C$2:$C$931*COUNTIFS(Alternativas!$A$2:$A$51,AtractivoAlternativas!$B$2:$B$931,Alternativas!$B$2:$B$51,L$2))</f>
        <v>0</v>
      </c>
      <c r="M139">
        <f>SUMIFS(AtractivoSitios!$C:$C,AtractivoSitios!$A:$A,$A139,AtractivoSitios!$B:$B,M$2)</f>
        <v>0</v>
      </c>
      <c r="N139">
        <f>SUMIFS(AtractivoSitios!$C:$C,AtractivoSitios!$A:$A,$A139,AtractivoSitios!$B:$B,N$2)</f>
        <v>0</v>
      </c>
      <c r="O139">
        <f>SUMIFS(AtractivoSitios!$C:$C,AtractivoSitios!$A:$A,$A139,AtractivoSitios!$B:$B,O$2)</f>
        <v>0</v>
      </c>
      <c r="P139">
        <f>SUMIFS(AtractivoSitios!$C:$C,AtractivoSitios!$A:$A,$A139,AtractivoSitios!$B:$B,P$2)</f>
        <v>0</v>
      </c>
      <c r="Q139">
        <f>SUMIFS(AtractivoSitios!$C:$C,AtractivoSitios!$A:$A,$A139,AtractivoSitios!$B:$B,Q$2)</f>
        <v>0.3730226568629561</v>
      </c>
      <c r="R139">
        <f>SUMIFS(AtractivoSitios!$C:$C,AtractivoSitios!$A:$A,$A139,AtractivoSitios!$B:$B,R$2)</f>
        <v>0</v>
      </c>
      <c r="S139">
        <f>SUMIFS(AtractivoSitios!$C:$C,AtractivoSitios!$A:$A,$A139,AtractivoSitios!$B:$B,S$2)</f>
        <v>0</v>
      </c>
      <c r="T139">
        <f>SUM(M139:S139)</f>
        <v>0.3730226568629561</v>
      </c>
      <c r="U139">
        <f>C139/(AD$4+H139+$T139)</f>
        <v>1.9154055476817595E-4</v>
      </c>
      <c r="V139">
        <f>D139/(AE$4+I139+$T139)</f>
        <v>5.5399872716643231E-5</v>
      </c>
      <c r="W139">
        <f>E139/(AF$4+J139+$T139)</f>
        <v>3.134627215602609E-4</v>
      </c>
      <c r="X139">
        <f>F139/(AG$4+K139+$T139)</f>
        <v>1.7437169000492921E-5</v>
      </c>
      <c r="Y139">
        <f>G139/(AH$4+L139+$T139)</f>
        <v>1.0815978158413531E-5</v>
      </c>
    </row>
    <row r="140" spans="1:25">
      <c r="A140" t="s">
        <v>186</v>
      </c>
      <c r="B140">
        <f>SUMIFS(Sectores!$C:$C,Sectores!$A:$A,$A140)</f>
        <v>4908</v>
      </c>
      <c r="C140">
        <f>SUMIFS(Generacion!$C:$C,Generacion!$A:$A,$A140,Generacion!$B:$B,C$2)</f>
        <v>4.3533876706587399E-2</v>
      </c>
      <c r="D140">
        <f>SUMIFS(Generacion!$C:$C,Generacion!$A:$A,$A140,Generacion!$B:$B,D$2)</f>
        <v>3.7870933395161399E-2</v>
      </c>
      <c r="E140">
        <f>SUMIFS(Generacion!$C:$C,Generacion!$A:$A,$A140,Generacion!$B:$B,E$2)</f>
        <v>1.34494903646368E-2</v>
      </c>
      <c r="F140">
        <f>SUMIFS(Generacion!$C:$C,Generacion!$A:$A,$A140,Generacion!$B:$B,F$2)</f>
        <v>3.5393395696412498E-3</v>
      </c>
      <c r="G140">
        <f>SUMIFS(Generacion!$C:$C,Generacion!$A:$A,$A140,Generacion!$B:$B,G$2)</f>
        <v>2.4775376987488701E-3</v>
      </c>
      <c r="H140">
        <f>SUMPRODUCT((AtractivoAlternativas!$A$2:$A$931=$A140)*AtractivoAlternativas!$C$2:$C$931*COUNTIFS(Alternativas!$A$2:$A$51,AtractivoAlternativas!$B$2:$B$931,Alternativas!$B$2:$B$51,H$2))</f>
        <v>1.3987765077592944</v>
      </c>
      <c r="I140">
        <f>SUMPRODUCT((AtractivoAlternativas!$A$2:$A$931=$A140)*AtractivoAlternativas!$C$2:$C$931*COUNTIFS(Alternativas!$A$2:$A$51,AtractivoAlternativas!$B$2:$B$931,Alternativas!$B$2:$B$51,I$2))</f>
        <v>3.5358568004058322</v>
      </c>
      <c r="J140">
        <f>SUMPRODUCT((AtractivoAlternativas!$A$2:$A$931=$A140)*AtractivoAlternativas!$C$2:$C$931*COUNTIFS(Alternativas!$A$2:$A$51,AtractivoAlternativas!$B$2:$B$931,Alternativas!$B$2:$B$51,J$2))</f>
        <v>2.2758490402622837</v>
      </c>
      <c r="K140">
        <f>SUMPRODUCT((AtractivoAlternativas!$A$2:$A$931=$A140)*AtractivoAlternativas!$C$2:$C$931*COUNTIFS(Alternativas!$A$2:$A$51,AtractivoAlternativas!$B$2:$B$931,Alternativas!$B$2:$B$51,K$2))</f>
        <v>0</v>
      </c>
      <c r="L140">
        <f>SUMPRODUCT((AtractivoAlternativas!$A$2:$A$931=$A140)*AtractivoAlternativas!$C$2:$C$931*COUNTIFS(Alternativas!$A$2:$A$51,AtractivoAlternativas!$B$2:$B$931,Alternativas!$B$2:$B$51,L$2))</f>
        <v>0</v>
      </c>
      <c r="M140">
        <f>SUMIFS(AtractivoSitios!$C:$C,AtractivoSitios!$A:$A,$A140,AtractivoSitios!$B:$B,M$2)</f>
        <v>0</v>
      </c>
      <c r="N140">
        <f>SUMIFS(AtractivoSitios!$C:$C,AtractivoSitios!$A:$A,$A140,AtractivoSitios!$B:$B,N$2)</f>
        <v>0</v>
      </c>
      <c r="O140">
        <f>SUMIFS(AtractivoSitios!$C:$C,AtractivoSitios!$A:$A,$A140,AtractivoSitios!$B:$B,O$2)</f>
        <v>0</v>
      </c>
      <c r="P140">
        <f>SUMIFS(AtractivoSitios!$C:$C,AtractivoSitios!$A:$A,$A140,AtractivoSitios!$B:$B,P$2)</f>
        <v>0</v>
      </c>
      <c r="Q140">
        <f>SUMIFS(AtractivoSitios!$C:$C,AtractivoSitios!$A:$A,$A140,AtractivoSitios!$B:$B,Q$2)</f>
        <v>0.40858477275067556</v>
      </c>
      <c r="R140">
        <f>SUMIFS(AtractivoSitios!$C:$C,AtractivoSitios!$A:$A,$A140,AtractivoSitios!$B:$B,R$2)</f>
        <v>0</v>
      </c>
      <c r="S140">
        <f>SUMIFS(AtractivoSitios!$C:$C,AtractivoSitios!$A:$A,$A140,AtractivoSitios!$B:$B,S$2)</f>
        <v>0</v>
      </c>
      <c r="T140">
        <f>SUM(M140:S140)</f>
        <v>0.40858477275067556</v>
      </c>
      <c r="U140">
        <f>C140/(AD$4+H140+$T140)</f>
        <v>1.9162725293027675E-4</v>
      </c>
      <c r="V140">
        <f>D140/(AE$4+I140+$T140)</f>
        <v>5.5388221127145212E-5</v>
      </c>
      <c r="W140">
        <f>E140/(AF$4+J140+$T140)</f>
        <v>3.0835092449129356E-4</v>
      </c>
      <c r="X140">
        <f>F140/(AG$4+K140+$T140)</f>
        <v>1.7434114492739592E-5</v>
      </c>
      <c r="Y140">
        <f>G140/(AH$4+L140+$T140)</f>
        <v>1.0814299232604383E-5</v>
      </c>
    </row>
    <row r="141" spans="1:25">
      <c r="A141" t="s">
        <v>187</v>
      </c>
      <c r="B141">
        <f>SUMIFS(Sectores!$C:$C,Sectores!$A:$A,$A141)</f>
        <v>3866</v>
      </c>
      <c r="C141">
        <f>SUMIFS(Generacion!$C:$C,Generacion!$A:$A,$A141,Generacion!$B:$B,C$2)</f>
        <v>4.3533876706587399E-2</v>
      </c>
      <c r="D141">
        <f>SUMIFS(Generacion!$C:$C,Generacion!$A:$A,$A141,Generacion!$B:$B,D$2)</f>
        <v>3.7870933395161399E-2</v>
      </c>
      <c r="E141">
        <f>SUMIFS(Generacion!$C:$C,Generacion!$A:$A,$A141,Generacion!$B:$B,E$2)</f>
        <v>1.34494903646368E-2</v>
      </c>
      <c r="F141">
        <f>SUMIFS(Generacion!$C:$C,Generacion!$A:$A,$A141,Generacion!$B:$B,F$2)</f>
        <v>3.5393395696412498E-3</v>
      </c>
      <c r="G141">
        <f>SUMIFS(Generacion!$C:$C,Generacion!$A:$A,$A141,Generacion!$B:$B,G$2)</f>
        <v>2.4775376987488701E-3</v>
      </c>
      <c r="H141">
        <f>SUMPRODUCT((AtractivoAlternativas!$A$2:$A$931=$A141)*AtractivoAlternativas!$C$2:$C$931*COUNTIFS(Alternativas!$A$2:$A$51,AtractivoAlternativas!$B$2:$B$931,Alternativas!$B$2:$B$51,H$2))</f>
        <v>0.93201648294539052</v>
      </c>
      <c r="I141">
        <f>SUMPRODUCT((AtractivoAlternativas!$A$2:$A$931=$A141)*AtractivoAlternativas!$C$2:$C$931*COUNTIFS(Alternativas!$A$2:$A$51,AtractivoAlternativas!$B$2:$B$931,Alternativas!$B$2:$B$51,I$2))</f>
        <v>3.1309635693604347</v>
      </c>
      <c r="J141">
        <f>SUMPRODUCT((AtractivoAlternativas!$A$2:$A$931=$A141)*AtractivoAlternativas!$C$2:$C$931*COUNTIFS(Alternativas!$A$2:$A$51,AtractivoAlternativas!$B$2:$B$931,Alternativas!$B$2:$B$51,J$2))</f>
        <v>0.54625502631515754</v>
      </c>
      <c r="K141">
        <f>SUMPRODUCT((AtractivoAlternativas!$A$2:$A$931=$A141)*AtractivoAlternativas!$C$2:$C$931*COUNTIFS(Alternativas!$A$2:$A$51,AtractivoAlternativas!$B$2:$B$931,Alternativas!$B$2:$B$51,K$2))</f>
        <v>0</v>
      </c>
      <c r="L141">
        <f>SUMPRODUCT((AtractivoAlternativas!$A$2:$A$931=$A141)*AtractivoAlternativas!$C$2:$C$931*COUNTIFS(Alternativas!$A$2:$A$51,AtractivoAlternativas!$B$2:$B$931,Alternativas!$B$2:$B$51,L$2))</f>
        <v>0</v>
      </c>
      <c r="M141">
        <f>SUMIFS(AtractivoSitios!$C:$C,AtractivoSitios!$A:$A,$A141,AtractivoSitios!$B:$B,M$2)</f>
        <v>0.39093456035126306</v>
      </c>
      <c r="N141">
        <f>SUMIFS(AtractivoSitios!$C:$C,AtractivoSitios!$A:$A,$A141,AtractivoSitios!$B:$B,N$2)</f>
        <v>0</v>
      </c>
      <c r="O141">
        <f>SUMIFS(AtractivoSitios!$C:$C,AtractivoSitios!$A:$A,$A141,AtractivoSitios!$B:$B,O$2)</f>
        <v>0</v>
      </c>
      <c r="P141">
        <f>SUMIFS(AtractivoSitios!$C:$C,AtractivoSitios!$A:$A,$A141,AtractivoSitios!$B:$B,P$2)</f>
        <v>0</v>
      </c>
      <c r="Q141">
        <f>SUMIFS(AtractivoSitios!$C:$C,AtractivoSitios!$A:$A,$A141,AtractivoSitios!$B:$B,Q$2)</f>
        <v>0.40819714518125078</v>
      </c>
      <c r="R141">
        <f>SUMIFS(AtractivoSitios!$C:$C,AtractivoSitios!$A:$A,$A141,AtractivoSitios!$B:$B,R$2)</f>
        <v>0</v>
      </c>
      <c r="S141">
        <f>SUMIFS(AtractivoSitios!$C:$C,AtractivoSitios!$A:$A,$A141,AtractivoSitios!$B:$B,S$2)</f>
        <v>0</v>
      </c>
      <c r="T141">
        <f>SUM(M141:S141)</f>
        <v>0.79913170553251378</v>
      </c>
      <c r="U141">
        <f>C141/(AD$4+H141+$T141)</f>
        <v>1.916915605604556E-4</v>
      </c>
      <c r="V141">
        <f>D141/(AE$4+I141+$T141)</f>
        <v>5.5389383318910184E-5</v>
      </c>
      <c r="W141">
        <f>E141/(AF$4+J141+$T141)</f>
        <v>3.1811704812197443E-4</v>
      </c>
      <c r="X141">
        <f>F141/(AG$4+K141+$T141)</f>
        <v>1.7400639837597767E-5</v>
      </c>
      <c r="Y141">
        <f>G141/(AH$4+L141+$T141)</f>
        <v>1.0795895326564424E-5</v>
      </c>
    </row>
    <row r="142" spans="1:25">
      <c r="A142" t="s">
        <v>188</v>
      </c>
      <c r="B142">
        <f>SUMIFS(Sectores!$C:$C,Sectores!$A:$A,$A142)</f>
        <v>4056</v>
      </c>
      <c r="C142">
        <f>SUMIFS(Generacion!$C:$C,Generacion!$A:$A,$A142,Generacion!$B:$B,C$2)</f>
        <v>4.3533876706587399E-2</v>
      </c>
      <c r="D142">
        <f>SUMIFS(Generacion!$C:$C,Generacion!$A:$A,$A142,Generacion!$B:$B,D$2)</f>
        <v>3.7870933395161399E-2</v>
      </c>
      <c r="E142">
        <f>SUMIFS(Generacion!$C:$C,Generacion!$A:$A,$A142,Generacion!$B:$B,E$2)</f>
        <v>1.34494903646368E-2</v>
      </c>
      <c r="F142">
        <f>SUMIFS(Generacion!$C:$C,Generacion!$A:$A,$A142,Generacion!$B:$B,F$2)</f>
        <v>3.5393395696412498E-3</v>
      </c>
      <c r="G142">
        <f>SUMIFS(Generacion!$C:$C,Generacion!$A:$A,$A142,Generacion!$B:$B,G$2)</f>
        <v>2.4775376987488701E-3</v>
      </c>
      <c r="H142">
        <f>SUMPRODUCT((AtractivoAlternativas!$A$2:$A$931=$A142)*AtractivoAlternativas!$C$2:$C$931*COUNTIFS(Alternativas!$A$2:$A$51,AtractivoAlternativas!$B$2:$B$931,Alternativas!$B$2:$B$51,H$2))</f>
        <v>0.68671741074122361</v>
      </c>
      <c r="I142">
        <f>SUMPRODUCT((AtractivoAlternativas!$A$2:$A$931=$A142)*AtractivoAlternativas!$C$2:$C$931*COUNTIFS(Alternativas!$A$2:$A$51,AtractivoAlternativas!$B$2:$B$931,Alternativas!$B$2:$B$51,I$2))</f>
        <v>1.4890816644264349</v>
      </c>
      <c r="J142">
        <f>SUMPRODUCT((AtractivoAlternativas!$A$2:$A$931=$A142)*AtractivoAlternativas!$C$2:$C$931*COUNTIFS(Alternativas!$A$2:$A$51,AtractivoAlternativas!$B$2:$B$931,Alternativas!$B$2:$B$51,J$2))</f>
        <v>0.68671741074122361</v>
      </c>
      <c r="K142">
        <f>SUMPRODUCT((AtractivoAlternativas!$A$2:$A$931=$A142)*AtractivoAlternativas!$C$2:$C$931*COUNTIFS(Alternativas!$A$2:$A$51,AtractivoAlternativas!$B$2:$B$931,Alternativas!$B$2:$B$51,K$2))</f>
        <v>0</v>
      </c>
      <c r="L142">
        <f>SUMPRODUCT((AtractivoAlternativas!$A$2:$A$931=$A142)*AtractivoAlternativas!$C$2:$C$931*COUNTIFS(Alternativas!$A$2:$A$51,AtractivoAlternativas!$B$2:$B$931,Alternativas!$B$2:$B$51,L$2))</f>
        <v>0</v>
      </c>
      <c r="M142">
        <f>SUMIFS(AtractivoSitios!$C:$C,AtractivoSitios!$A:$A,$A142,AtractivoSitios!$B:$B,M$2)</f>
        <v>0</v>
      </c>
      <c r="N142">
        <f>SUMIFS(AtractivoSitios!$C:$C,AtractivoSitios!$A:$A,$A142,AtractivoSitios!$B:$B,N$2)</f>
        <v>0</v>
      </c>
      <c r="O142">
        <f>SUMIFS(AtractivoSitios!$C:$C,AtractivoSitios!$A:$A,$A142,AtractivoSitios!$B:$B,O$2)</f>
        <v>0</v>
      </c>
      <c r="P142">
        <f>SUMIFS(AtractivoSitios!$C:$C,AtractivoSitios!$A:$A,$A142,AtractivoSitios!$B:$B,P$2)</f>
        <v>0</v>
      </c>
      <c r="Q142">
        <f>SUMIFS(AtractivoSitios!$C:$C,AtractivoSitios!$A:$A,$A142,AtractivoSitios!$B:$B,Q$2)</f>
        <v>0.5184038221303775</v>
      </c>
      <c r="R142">
        <f>SUMIFS(AtractivoSitios!$C:$C,AtractivoSitios!$A:$A,$A142,AtractivoSitios!$B:$B,R$2)</f>
        <v>0</v>
      </c>
      <c r="S142">
        <f>SUMIFS(AtractivoSitios!$C:$C,AtractivoSitios!$A:$A,$A142,AtractivoSitios!$B:$B,S$2)</f>
        <v>0</v>
      </c>
      <c r="T142">
        <f>SUM(M142:S142)</f>
        <v>0.5184038221303775</v>
      </c>
      <c r="U142">
        <f>C142/(AD$4+H142+$T142)</f>
        <v>1.9213659512214094E-4</v>
      </c>
      <c r="V142">
        <f>D142/(AE$4+I142+$T142)</f>
        <v>5.5545576167610215E-5</v>
      </c>
      <c r="W142">
        <f>E142/(AF$4+J142+$T142)</f>
        <v>3.1917596570040576E-4</v>
      </c>
      <c r="X142">
        <f>F142/(AG$4+K142+$T142)</f>
        <v>1.7424688646111569E-5</v>
      </c>
      <c r="Y142">
        <f>G142/(AH$4+L142+$T142)</f>
        <v>1.0809117845467601E-5</v>
      </c>
    </row>
    <row r="143" spans="1:25">
      <c r="A143" t="s">
        <v>189</v>
      </c>
      <c r="B143">
        <f>SUMIFS(Sectores!$C:$C,Sectores!$A:$A,$A143)</f>
        <v>3791</v>
      </c>
      <c r="C143">
        <f>SUMIFS(Generacion!$C:$C,Generacion!$A:$A,$A143,Generacion!$B:$B,C$2)</f>
        <v>4.3533876706587399E-2</v>
      </c>
      <c r="D143">
        <f>SUMIFS(Generacion!$C:$C,Generacion!$A:$A,$A143,Generacion!$B:$B,D$2)</f>
        <v>3.7870933395161399E-2</v>
      </c>
      <c r="E143">
        <f>SUMIFS(Generacion!$C:$C,Generacion!$A:$A,$A143,Generacion!$B:$B,E$2)</f>
        <v>1.34494903646368E-2</v>
      </c>
      <c r="F143">
        <f>SUMIFS(Generacion!$C:$C,Generacion!$A:$A,$A143,Generacion!$B:$B,F$2)</f>
        <v>3.5393395696412498E-3</v>
      </c>
      <c r="G143">
        <f>SUMIFS(Generacion!$C:$C,Generacion!$A:$A,$A143,Generacion!$B:$B,G$2)</f>
        <v>2.4775376987488701E-3</v>
      </c>
      <c r="H143">
        <f>SUMPRODUCT((AtractivoAlternativas!$A$2:$A$931=$A143)*AtractivoAlternativas!$C$2:$C$931*COUNTIFS(Alternativas!$A$2:$A$51,AtractivoAlternativas!$B$2:$B$931,Alternativas!$B$2:$B$51,H$2))</f>
        <v>0.774574993536843</v>
      </c>
      <c r="I143">
        <f>SUMPRODUCT((AtractivoAlternativas!$A$2:$A$931=$A143)*AtractivoAlternativas!$C$2:$C$931*COUNTIFS(Alternativas!$A$2:$A$51,AtractivoAlternativas!$B$2:$B$931,Alternativas!$B$2:$B$51,I$2))</f>
        <v>2.3983675217263873</v>
      </c>
      <c r="J143">
        <f>SUMPRODUCT((AtractivoAlternativas!$A$2:$A$931=$A143)*AtractivoAlternativas!$C$2:$C$931*COUNTIFS(Alternativas!$A$2:$A$51,AtractivoAlternativas!$B$2:$B$931,Alternativas!$B$2:$B$51,J$2))</f>
        <v>0.774574993536843</v>
      </c>
      <c r="K143">
        <f>SUMPRODUCT((AtractivoAlternativas!$A$2:$A$931=$A143)*AtractivoAlternativas!$C$2:$C$931*COUNTIFS(Alternativas!$A$2:$A$51,AtractivoAlternativas!$B$2:$B$931,Alternativas!$B$2:$B$51,K$2))</f>
        <v>0</v>
      </c>
      <c r="L143">
        <f>SUMPRODUCT((AtractivoAlternativas!$A$2:$A$931=$A143)*AtractivoAlternativas!$C$2:$C$931*COUNTIFS(Alternativas!$A$2:$A$51,AtractivoAlternativas!$B$2:$B$931,Alternativas!$B$2:$B$51,L$2))</f>
        <v>0</v>
      </c>
      <c r="M143">
        <f>SUMIFS(AtractivoSitios!$C:$C,AtractivoSitios!$A:$A,$A143,AtractivoSitios!$B:$B,M$2)</f>
        <v>0</v>
      </c>
      <c r="N143">
        <f>SUMIFS(AtractivoSitios!$C:$C,AtractivoSitios!$A:$A,$A143,AtractivoSitios!$B:$B,N$2)</f>
        <v>0</v>
      </c>
      <c r="O143">
        <f>SUMIFS(AtractivoSitios!$C:$C,AtractivoSitios!$A:$A,$A143,AtractivoSitios!$B:$B,O$2)</f>
        <v>0</v>
      </c>
      <c r="P143">
        <f>SUMIFS(AtractivoSitios!$C:$C,AtractivoSitios!$A:$A,$A143,AtractivoSitios!$B:$B,P$2)</f>
        <v>0</v>
      </c>
      <c r="Q143">
        <f>SUMIFS(AtractivoSitios!$C:$C,AtractivoSitios!$A:$A,$A143,AtractivoSitios!$B:$B,Q$2)</f>
        <v>0.45974749704543838</v>
      </c>
      <c r="R143">
        <f>SUMIFS(AtractivoSitios!$C:$C,AtractivoSitios!$A:$A,$A143,AtractivoSitios!$B:$B,R$2)</f>
        <v>0</v>
      </c>
      <c r="S143">
        <f>SUMIFS(AtractivoSitios!$C:$C,AtractivoSitios!$A:$A,$A143,AtractivoSitios!$B:$B,S$2)</f>
        <v>0</v>
      </c>
      <c r="T143">
        <f>SUM(M143:S143)</f>
        <v>0.45974749704543838</v>
      </c>
      <c r="U143">
        <f>C143/(AD$4+H143+$T143)</f>
        <v>1.9211183581846548E-4</v>
      </c>
      <c r="V143">
        <f>D143/(AE$4+I143+$T143)</f>
        <v>5.5476362494006155E-5</v>
      </c>
      <c r="W143">
        <f>E143/(AF$4+J143+$T143)</f>
        <v>3.1895493365922029E-4</v>
      </c>
      <c r="X143">
        <f>F143/(AG$4+K143+$T143)</f>
        <v>1.7429721891483977E-5</v>
      </c>
      <c r="Y143">
        <f>G143/(AH$4+L143+$T143)</f>
        <v>1.081188469942273E-5</v>
      </c>
    </row>
    <row r="144" spans="1:25">
      <c r="A144" t="s">
        <v>190</v>
      </c>
      <c r="B144">
        <f>SUMIFS(Sectores!$C:$C,Sectores!$A:$A,$A144)</f>
        <v>4166</v>
      </c>
      <c r="C144">
        <f>SUMIFS(Generacion!$C:$C,Generacion!$A:$A,$A144,Generacion!$B:$B,C$2)</f>
        <v>4.3533876706587399E-2</v>
      </c>
      <c r="D144">
        <f>SUMIFS(Generacion!$C:$C,Generacion!$A:$A,$A144,Generacion!$B:$B,D$2)</f>
        <v>3.7870933395161399E-2</v>
      </c>
      <c r="E144">
        <f>SUMIFS(Generacion!$C:$C,Generacion!$A:$A,$A144,Generacion!$B:$B,E$2)</f>
        <v>1.34494903646368E-2</v>
      </c>
      <c r="F144">
        <f>SUMIFS(Generacion!$C:$C,Generacion!$A:$A,$A144,Generacion!$B:$B,F$2)</f>
        <v>3.5393395696412498E-3</v>
      </c>
      <c r="G144">
        <f>SUMIFS(Generacion!$C:$C,Generacion!$A:$A,$A144,Generacion!$B:$B,G$2)</f>
        <v>2.4775376987488701E-3</v>
      </c>
      <c r="H144">
        <f>SUMPRODUCT((AtractivoAlternativas!$A$2:$A$931=$A144)*AtractivoAlternativas!$C$2:$C$931*COUNTIFS(Alternativas!$A$2:$A$51,AtractivoAlternativas!$B$2:$B$931,Alternativas!$B$2:$B$51,H$2))</f>
        <v>0.62798319490454457</v>
      </c>
      <c r="I144">
        <f>SUMPRODUCT((AtractivoAlternativas!$A$2:$A$931=$A144)*AtractivoAlternativas!$C$2:$C$931*COUNTIFS(Alternativas!$A$2:$A$51,AtractivoAlternativas!$B$2:$B$931,Alternativas!$B$2:$B$51,I$2))</f>
        <v>1.4300317035628443</v>
      </c>
      <c r="J144">
        <f>SUMPRODUCT((AtractivoAlternativas!$A$2:$A$931=$A144)*AtractivoAlternativas!$C$2:$C$931*COUNTIFS(Alternativas!$A$2:$A$51,AtractivoAlternativas!$B$2:$B$931,Alternativas!$B$2:$B$51,J$2))</f>
        <v>0.62798319490454457</v>
      </c>
      <c r="K144">
        <f>SUMPRODUCT((AtractivoAlternativas!$A$2:$A$931=$A144)*AtractivoAlternativas!$C$2:$C$931*COUNTIFS(Alternativas!$A$2:$A$51,AtractivoAlternativas!$B$2:$B$931,Alternativas!$B$2:$B$51,K$2))</f>
        <v>0</v>
      </c>
      <c r="L144">
        <f>SUMPRODUCT((AtractivoAlternativas!$A$2:$A$931=$A144)*AtractivoAlternativas!$C$2:$C$931*COUNTIFS(Alternativas!$A$2:$A$51,AtractivoAlternativas!$B$2:$B$931,Alternativas!$B$2:$B$51,L$2))</f>
        <v>0</v>
      </c>
      <c r="M144">
        <f>SUMIFS(AtractivoSitios!$C:$C,AtractivoSitios!$A:$A,$A144,AtractivoSitios!$B:$B,M$2)</f>
        <v>0</v>
      </c>
      <c r="N144">
        <f>SUMIFS(AtractivoSitios!$C:$C,AtractivoSitios!$A:$A,$A144,AtractivoSitios!$B:$B,N$2)</f>
        <v>0</v>
      </c>
      <c r="O144">
        <f>SUMIFS(AtractivoSitios!$C:$C,AtractivoSitios!$A:$A,$A144,AtractivoSitios!$B:$B,O$2)</f>
        <v>0</v>
      </c>
      <c r="P144">
        <f>SUMIFS(AtractivoSitios!$C:$C,AtractivoSitios!$A:$A,$A144,AtractivoSitios!$B:$B,P$2)</f>
        <v>0</v>
      </c>
      <c r="Q144">
        <f>SUMIFS(AtractivoSitios!$C:$C,AtractivoSitios!$A:$A,$A144,AtractivoSitios!$B:$B,Q$2)</f>
        <v>0.6522184592820035</v>
      </c>
      <c r="R144">
        <f>SUMIFS(AtractivoSitios!$C:$C,AtractivoSitios!$A:$A,$A144,AtractivoSitios!$B:$B,R$2)</f>
        <v>0</v>
      </c>
      <c r="S144">
        <f>SUMIFS(AtractivoSitios!$C:$C,AtractivoSitios!$A:$A,$A144,AtractivoSitios!$B:$B,S$2)</f>
        <v>0</v>
      </c>
      <c r="T144">
        <f>SUM(M144:S144)</f>
        <v>0.6522184592820035</v>
      </c>
      <c r="U144">
        <f>C144/(AD$4+H144+$T144)</f>
        <v>1.9207294845724032E-4</v>
      </c>
      <c r="V144">
        <f>D144/(AE$4+I144+$T144)</f>
        <v>5.5539485824236084E-5</v>
      </c>
      <c r="W144">
        <f>E144/(AF$4+J144+$T144)</f>
        <v>3.1860827979487245E-4</v>
      </c>
      <c r="X144">
        <f>F144/(AG$4+K144+$T144)</f>
        <v>1.7413217008260409E-5</v>
      </c>
      <c r="Y144">
        <f>G144/(AH$4+L144+$T144)</f>
        <v>1.0802811026282747E-5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203"/>
  <sheetViews>
    <sheetView zoomScaleNormal="100" workbookViewId="0"/>
  </sheetViews>
  <sheetFormatPr defaultColWidth="8.7109375" defaultRowHeight="15"/>
  <sheetData>
    <row r="1" spans="1:4">
      <c r="A1" t="s">
        <v>361</v>
      </c>
      <c r="B1" t="s">
        <v>237</v>
      </c>
      <c r="C1" t="s">
        <v>362</v>
      </c>
      <c r="D1" t="s">
        <v>363</v>
      </c>
    </row>
    <row r="2" spans="1:4">
      <c r="A2" t="s">
        <v>45</v>
      </c>
      <c r="B2" t="s">
        <v>42</v>
      </c>
      <c r="C2">
        <v>5.96</v>
      </c>
      <c r="D2">
        <v>4.01</v>
      </c>
    </row>
    <row r="3" spans="1:4">
      <c r="A3" t="s">
        <v>47</v>
      </c>
      <c r="B3" t="s">
        <v>42</v>
      </c>
      <c r="C3">
        <v>6.18</v>
      </c>
      <c r="D3">
        <v>3.65</v>
      </c>
    </row>
    <row r="4" spans="1:4">
      <c r="A4" t="s">
        <v>48</v>
      </c>
      <c r="B4" t="s">
        <v>42</v>
      </c>
      <c r="C4">
        <v>4.9400000000000004</v>
      </c>
      <c r="D4">
        <v>3.65</v>
      </c>
    </row>
    <row r="5" spans="1:4">
      <c r="A5" t="s">
        <v>49</v>
      </c>
      <c r="B5" t="s">
        <v>42</v>
      </c>
      <c r="C5">
        <v>5.49</v>
      </c>
      <c r="D5">
        <v>3.93</v>
      </c>
    </row>
    <row r="6" spans="1:4">
      <c r="A6" t="s">
        <v>50</v>
      </c>
      <c r="B6" t="s">
        <v>42</v>
      </c>
      <c r="C6">
        <v>5.5</v>
      </c>
      <c r="D6">
        <v>3.59</v>
      </c>
    </row>
    <row r="7" spans="1:4">
      <c r="A7" t="s">
        <v>51</v>
      </c>
      <c r="B7" t="s">
        <v>42</v>
      </c>
      <c r="C7">
        <v>6.41</v>
      </c>
      <c r="D7">
        <v>4.03</v>
      </c>
    </row>
    <row r="8" spans="1:4">
      <c r="A8" t="s">
        <v>52</v>
      </c>
      <c r="B8" t="s">
        <v>42</v>
      </c>
      <c r="C8">
        <v>6.18</v>
      </c>
      <c r="D8">
        <v>9.91</v>
      </c>
    </row>
    <row r="9" spans="1:4">
      <c r="A9" t="s">
        <v>54</v>
      </c>
      <c r="B9" t="s">
        <v>42</v>
      </c>
      <c r="C9">
        <v>8</v>
      </c>
      <c r="D9">
        <v>9.06</v>
      </c>
    </row>
    <row r="10" spans="1:4">
      <c r="A10" t="s">
        <v>55</v>
      </c>
      <c r="B10" t="s">
        <v>42</v>
      </c>
      <c r="C10">
        <v>7.51</v>
      </c>
      <c r="D10">
        <v>7.01</v>
      </c>
    </row>
    <row r="11" spans="1:4">
      <c r="A11" t="s">
        <v>56</v>
      </c>
      <c r="B11" t="s">
        <v>42</v>
      </c>
      <c r="C11">
        <v>6.42</v>
      </c>
      <c r="D11">
        <v>9.27</v>
      </c>
    </row>
    <row r="12" spans="1:4">
      <c r="A12" t="s">
        <v>57</v>
      </c>
      <c r="B12" t="s">
        <v>42</v>
      </c>
      <c r="C12">
        <v>6.69</v>
      </c>
      <c r="D12">
        <v>8.5399999999999991</v>
      </c>
    </row>
    <row r="13" spans="1:4">
      <c r="A13" t="s">
        <v>58</v>
      </c>
      <c r="B13" t="s">
        <v>42</v>
      </c>
      <c r="C13">
        <v>8.02</v>
      </c>
      <c r="D13">
        <v>7.59</v>
      </c>
    </row>
    <row r="14" spans="1:4">
      <c r="A14" t="s">
        <v>59</v>
      </c>
      <c r="B14" t="s">
        <v>42</v>
      </c>
      <c r="C14">
        <v>7.31</v>
      </c>
      <c r="D14">
        <v>7.58</v>
      </c>
    </row>
    <row r="15" spans="1:4">
      <c r="A15" t="s">
        <v>60</v>
      </c>
      <c r="B15" t="s">
        <v>42</v>
      </c>
      <c r="C15">
        <v>7.26</v>
      </c>
      <c r="D15">
        <v>8.34</v>
      </c>
    </row>
    <row r="16" spans="1:4">
      <c r="A16" t="s">
        <v>61</v>
      </c>
      <c r="B16" t="s">
        <v>42</v>
      </c>
      <c r="C16">
        <v>7.07</v>
      </c>
      <c r="D16">
        <v>9.19</v>
      </c>
    </row>
    <row r="17" spans="1:4">
      <c r="A17" t="s">
        <v>62</v>
      </c>
      <c r="B17" t="s">
        <v>42</v>
      </c>
      <c r="C17">
        <v>6.92</v>
      </c>
      <c r="D17">
        <v>5.63</v>
      </c>
    </row>
    <row r="18" spans="1:4">
      <c r="A18" t="s">
        <v>63</v>
      </c>
      <c r="B18" t="s">
        <v>42</v>
      </c>
      <c r="C18">
        <v>7.61</v>
      </c>
      <c r="D18">
        <v>5.25</v>
      </c>
    </row>
    <row r="19" spans="1:4">
      <c r="A19" t="s">
        <v>64</v>
      </c>
      <c r="B19" t="s">
        <v>42</v>
      </c>
      <c r="C19">
        <v>7.36</v>
      </c>
      <c r="D19">
        <v>4.79</v>
      </c>
    </row>
    <row r="20" spans="1:4">
      <c r="A20" t="s">
        <v>65</v>
      </c>
      <c r="B20" t="s">
        <v>42</v>
      </c>
      <c r="C20">
        <v>7.52</v>
      </c>
      <c r="D20">
        <v>4.0599999999999996</v>
      </c>
    </row>
    <row r="21" spans="1:4">
      <c r="A21" t="s">
        <v>66</v>
      </c>
      <c r="B21" t="s">
        <v>42</v>
      </c>
      <c r="C21">
        <v>8.91</v>
      </c>
      <c r="D21">
        <v>3.05</v>
      </c>
    </row>
    <row r="22" spans="1:4">
      <c r="A22" t="s">
        <v>67</v>
      </c>
      <c r="B22" t="s">
        <v>42</v>
      </c>
      <c r="C22">
        <v>9.4700000000000006</v>
      </c>
      <c r="D22">
        <v>3.09</v>
      </c>
    </row>
    <row r="23" spans="1:4">
      <c r="A23" t="s">
        <v>68</v>
      </c>
      <c r="B23" t="s">
        <v>42</v>
      </c>
      <c r="C23">
        <v>10.220000000000001</v>
      </c>
      <c r="D23">
        <v>3.09</v>
      </c>
    </row>
    <row r="24" spans="1:4">
      <c r="A24" t="s">
        <v>69</v>
      </c>
      <c r="B24" t="s">
        <v>42</v>
      </c>
      <c r="C24">
        <v>10.38</v>
      </c>
      <c r="D24">
        <v>4.12</v>
      </c>
    </row>
    <row r="25" spans="1:4">
      <c r="A25" t="s">
        <v>70</v>
      </c>
      <c r="B25" t="s">
        <v>42</v>
      </c>
      <c r="C25">
        <v>9.9600000000000009</v>
      </c>
      <c r="D25">
        <v>5.77</v>
      </c>
    </row>
    <row r="26" spans="1:4">
      <c r="A26" t="s">
        <v>71</v>
      </c>
      <c r="B26" t="s">
        <v>42</v>
      </c>
      <c r="C26">
        <v>8.25</v>
      </c>
      <c r="D26">
        <v>5.31</v>
      </c>
    </row>
    <row r="27" spans="1:4">
      <c r="A27" t="s">
        <v>72</v>
      </c>
      <c r="B27" t="s">
        <v>42</v>
      </c>
      <c r="C27">
        <v>5.17</v>
      </c>
      <c r="D27">
        <v>2.4300000000000002</v>
      </c>
    </row>
    <row r="28" spans="1:4">
      <c r="A28" t="s">
        <v>73</v>
      </c>
      <c r="B28" t="s">
        <v>42</v>
      </c>
      <c r="C28">
        <v>5.63</v>
      </c>
      <c r="D28">
        <v>2.5099999999999998</v>
      </c>
    </row>
    <row r="29" spans="1:4">
      <c r="A29" t="s">
        <v>74</v>
      </c>
      <c r="B29" t="s">
        <v>42</v>
      </c>
      <c r="C29">
        <v>6.38</v>
      </c>
      <c r="D29">
        <v>2.81</v>
      </c>
    </row>
    <row r="30" spans="1:4">
      <c r="A30" t="s">
        <v>75</v>
      </c>
      <c r="B30" t="s">
        <v>42</v>
      </c>
      <c r="C30">
        <v>5.94</v>
      </c>
      <c r="D30">
        <v>2.63</v>
      </c>
    </row>
    <row r="31" spans="1:4">
      <c r="A31" t="s">
        <v>76</v>
      </c>
      <c r="B31" t="s">
        <v>42</v>
      </c>
      <c r="C31">
        <v>6.91</v>
      </c>
      <c r="D31">
        <v>2.92</v>
      </c>
    </row>
    <row r="32" spans="1:4">
      <c r="A32" t="s">
        <v>77</v>
      </c>
      <c r="B32" t="s">
        <v>42</v>
      </c>
      <c r="C32">
        <v>8.0399999999999991</v>
      </c>
      <c r="D32">
        <v>2.71</v>
      </c>
    </row>
    <row r="33" spans="1:4">
      <c r="A33" t="s">
        <v>78</v>
      </c>
      <c r="B33" t="s">
        <v>42</v>
      </c>
      <c r="C33">
        <v>7.11</v>
      </c>
      <c r="D33">
        <v>2.75</v>
      </c>
    </row>
    <row r="34" spans="1:4">
      <c r="A34" t="s">
        <v>79</v>
      </c>
      <c r="B34" t="s">
        <v>42</v>
      </c>
      <c r="C34">
        <v>0.86</v>
      </c>
      <c r="D34">
        <v>1.61</v>
      </c>
    </row>
    <row r="35" spans="1:4">
      <c r="A35" t="s">
        <v>81</v>
      </c>
      <c r="B35" t="s">
        <v>42</v>
      </c>
      <c r="C35">
        <v>0.96</v>
      </c>
      <c r="D35">
        <v>1.1599999999999999</v>
      </c>
    </row>
    <row r="36" spans="1:4">
      <c r="A36" t="s">
        <v>82</v>
      </c>
      <c r="B36" t="s">
        <v>42</v>
      </c>
      <c r="C36">
        <v>1.01</v>
      </c>
      <c r="D36">
        <v>0.85</v>
      </c>
    </row>
    <row r="37" spans="1:4">
      <c r="A37" t="s">
        <v>83</v>
      </c>
      <c r="B37" t="s">
        <v>42</v>
      </c>
      <c r="C37">
        <v>1.52</v>
      </c>
      <c r="D37">
        <v>0.32</v>
      </c>
    </row>
    <row r="38" spans="1:4">
      <c r="A38" t="s">
        <v>84</v>
      </c>
      <c r="B38" t="s">
        <v>42</v>
      </c>
      <c r="C38">
        <v>1.84</v>
      </c>
      <c r="D38">
        <v>1.01</v>
      </c>
    </row>
    <row r="39" spans="1:4">
      <c r="A39" t="s">
        <v>85</v>
      </c>
      <c r="B39" t="s">
        <v>42</v>
      </c>
      <c r="C39">
        <v>1.69</v>
      </c>
      <c r="D39">
        <v>1.33</v>
      </c>
    </row>
    <row r="40" spans="1:4">
      <c r="A40" t="s">
        <v>86</v>
      </c>
      <c r="B40" t="s">
        <v>42</v>
      </c>
      <c r="C40">
        <v>2.16</v>
      </c>
      <c r="D40">
        <v>1.73</v>
      </c>
    </row>
    <row r="41" spans="1:4">
      <c r="A41" t="s">
        <v>87</v>
      </c>
      <c r="B41" t="s">
        <v>42</v>
      </c>
      <c r="C41">
        <v>1.51</v>
      </c>
      <c r="D41">
        <v>1.73</v>
      </c>
    </row>
    <row r="42" spans="1:4">
      <c r="A42" t="s">
        <v>88</v>
      </c>
      <c r="B42" t="s">
        <v>42</v>
      </c>
      <c r="C42">
        <v>1.94</v>
      </c>
      <c r="D42">
        <v>2.2200000000000002</v>
      </c>
    </row>
    <row r="43" spans="1:4">
      <c r="A43" t="s">
        <v>89</v>
      </c>
      <c r="B43" t="s">
        <v>42</v>
      </c>
      <c r="C43">
        <v>1.47</v>
      </c>
      <c r="D43">
        <v>2.2000000000000002</v>
      </c>
    </row>
    <row r="44" spans="1:4">
      <c r="A44" t="s">
        <v>90</v>
      </c>
      <c r="B44" t="s">
        <v>42</v>
      </c>
      <c r="C44">
        <v>1.05</v>
      </c>
      <c r="D44">
        <v>2.08</v>
      </c>
    </row>
    <row r="45" spans="1:4">
      <c r="A45" t="s">
        <v>91</v>
      </c>
      <c r="B45" t="s">
        <v>42</v>
      </c>
      <c r="C45">
        <v>0.44</v>
      </c>
      <c r="D45">
        <v>2.83</v>
      </c>
    </row>
    <row r="46" spans="1:4">
      <c r="A46" t="s">
        <v>92</v>
      </c>
      <c r="B46" t="s">
        <v>42</v>
      </c>
      <c r="C46">
        <v>2.96</v>
      </c>
      <c r="D46">
        <v>3.43</v>
      </c>
    </row>
    <row r="47" spans="1:4">
      <c r="A47" t="s">
        <v>93</v>
      </c>
      <c r="B47" t="s">
        <v>42</v>
      </c>
      <c r="C47">
        <v>3.46</v>
      </c>
      <c r="D47">
        <v>3.53</v>
      </c>
    </row>
    <row r="48" spans="1:4">
      <c r="A48" t="s">
        <v>94</v>
      </c>
      <c r="B48" t="s">
        <v>42</v>
      </c>
      <c r="C48">
        <v>3.27</v>
      </c>
      <c r="D48">
        <v>3.03</v>
      </c>
    </row>
    <row r="49" spans="1:4">
      <c r="A49" t="s">
        <v>95</v>
      </c>
      <c r="B49" t="s">
        <v>42</v>
      </c>
      <c r="C49">
        <v>0.41</v>
      </c>
      <c r="D49">
        <v>2.59</v>
      </c>
    </row>
    <row r="50" spans="1:4">
      <c r="A50" t="s">
        <v>96</v>
      </c>
      <c r="B50" t="s">
        <v>42</v>
      </c>
      <c r="C50">
        <v>2.62</v>
      </c>
      <c r="D50">
        <v>3.46</v>
      </c>
    </row>
    <row r="51" spans="1:4">
      <c r="A51" t="s">
        <v>97</v>
      </c>
      <c r="B51" t="s">
        <v>42</v>
      </c>
      <c r="C51">
        <v>2.76</v>
      </c>
      <c r="D51">
        <v>2.88</v>
      </c>
    </row>
    <row r="52" spans="1:4">
      <c r="A52" t="s">
        <v>98</v>
      </c>
      <c r="B52" t="s">
        <v>42</v>
      </c>
      <c r="C52">
        <v>1.98</v>
      </c>
      <c r="D52">
        <v>6</v>
      </c>
    </row>
    <row r="53" spans="1:4">
      <c r="A53" t="s">
        <v>100</v>
      </c>
      <c r="B53" t="s">
        <v>42</v>
      </c>
      <c r="C53">
        <v>2.56</v>
      </c>
      <c r="D53">
        <v>6.12</v>
      </c>
    </row>
    <row r="54" spans="1:4">
      <c r="A54" t="s">
        <v>101</v>
      </c>
      <c r="B54" t="s">
        <v>42</v>
      </c>
      <c r="C54">
        <v>2.66</v>
      </c>
      <c r="D54">
        <v>5.8</v>
      </c>
    </row>
    <row r="55" spans="1:4">
      <c r="A55" t="s">
        <v>102</v>
      </c>
      <c r="B55" t="s">
        <v>42</v>
      </c>
      <c r="C55">
        <v>2.02</v>
      </c>
      <c r="D55">
        <v>5.68</v>
      </c>
    </row>
    <row r="56" spans="1:4">
      <c r="A56" t="s">
        <v>103</v>
      </c>
      <c r="B56" t="s">
        <v>42</v>
      </c>
      <c r="C56">
        <v>2.17</v>
      </c>
      <c r="D56">
        <v>4.79</v>
      </c>
    </row>
    <row r="57" spans="1:4">
      <c r="A57" t="s">
        <v>104</v>
      </c>
      <c r="B57" t="s">
        <v>42</v>
      </c>
      <c r="C57">
        <v>2.02</v>
      </c>
      <c r="D57">
        <v>5.35</v>
      </c>
    </row>
    <row r="58" spans="1:4">
      <c r="A58" t="s">
        <v>105</v>
      </c>
      <c r="B58" t="s">
        <v>42</v>
      </c>
      <c r="C58">
        <v>2.63</v>
      </c>
      <c r="D58">
        <v>5.17</v>
      </c>
    </row>
    <row r="59" spans="1:4">
      <c r="A59" t="s">
        <v>106</v>
      </c>
      <c r="B59" t="s">
        <v>42</v>
      </c>
      <c r="C59">
        <v>2.11</v>
      </c>
      <c r="D59">
        <v>5.09</v>
      </c>
    </row>
    <row r="60" spans="1:4">
      <c r="A60" t="s">
        <v>107</v>
      </c>
      <c r="B60" t="s">
        <v>42</v>
      </c>
      <c r="C60">
        <v>4.71</v>
      </c>
      <c r="D60">
        <v>6.04</v>
      </c>
    </row>
    <row r="61" spans="1:4">
      <c r="A61" t="s">
        <v>108</v>
      </c>
      <c r="B61" t="s">
        <v>42</v>
      </c>
      <c r="C61">
        <v>5.37</v>
      </c>
      <c r="D61">
        <v>6.12</v>
      </c>
    </row>
    <row r="62" spans="1:4">
      <c r="A62" t="s">
        <v>109</v>
      </c>
      <c r="B62" t="s">
        <v>42</v>
      </c>
      <c r="C62">
        <v>5.89</v>
      </c>
      <c r="D62">
        <v>6.32</v>
      </c>
    </row>
    <row r="63" spans="1:4">
      <c r="A63" t="s">
        <v>110</v>
      </c>
      <c r="B63" t="s">
        <v>42</v>
      </c>
      <c r="C63">
        <v>6.21</v>
      </c>
      <c r="D63">
        <v>5.94</v>
      </c>
    </row>
    <row r="64" spans="1:4">
      <c r="A64" t="s">
        <v>111</v>
      </c>
      <c r="B64" t="s">
        <v>42</v>
      </c>
      <c r="C64">
        <v>6.81</v>
      </c>
      <c r="D64">
        <v>6.33</v>
      </c>
    </row>
    <row r="65" spans="1:4">
      <c r="A65" t="s">
        <v>112</v>
      </c>
      <c r="B65" t="s">
        <v>42</v>
      </c>
      <c r="C65">
        <v>6.91</v>
      </c>
      <c r="D65">
        <v>5.95</v>
      </c>
    </row>
    <row r="66" spans="1:4">
      <c r="A66" t="s">
        <v>113</v>
      </c>
      <c r="B66" t="s">
        <v>42</v>
      </c>
      <c r="C66">
        <v>5.59</v>
      </c>
      <c r="D66">
        <v>5.74</v>
      </c>
    </row>
    <row r="67" spans="1:4">
      <c r="A67" t="s">
        <v>114</v>
      </c>
      <c r="B67" t="s">
        <v>42</v>
      </c>
      <c r="C67">
        <v>6.49</v>
      </c>
      <c r="D67">
        <v>6.19</v>
      </c>
    </row>
    <row r="68" spans="1:4">
      <c r="A68" t="s">
        <v>115</v>
      </c>
      <c r="B68" t="s">
        <v>42</v>
      </c>
      <c r="C68">
        <v>4.91</v>
      </c>
      <c r="D68">
        <v>6.66</v>
      </c>
    </row>
    <row r="69" spans="1:4">
      <c r="A69" t="s">
        <v>116</v>
      </c>
      <c r="B69" t="s">
        <v>42</v>
      </c>
      <c r="C69">
        <v>6.17</v>
      </c>
      <c r="D69">
        <v>6.8</v>
      </c>
    </row>
    <row r="70" spans="1:4">
      <c r="A70" t="s">
        <v>117</v>
      </c>
      <c r="B70" t="s">
        <v>42</v>
      </c>
      <c r="C70">
        <v>5.56</v>
      </c>
      <c r="D70">
        <v>6.73</v>
      </c>
    </row>
    <row r="71" spans="1:4">
      <c r="A71" t="s">
        <v>118</v>
      </c>
      <c r="B71" t="s">
        <v>42</v>
      </c>
      <c r="C71">
        <v>6.6</v>
      </c>
      <c r="D71">
        <v>6.82</v>
      </c>
    </row>
    <row r="72" spans="1:4">
      <c r="A72" t="s">
        <v>119</v>
      </c>
      <c r="B72" t="s">
        <v>42</v>
      </c>
      <c r="C72">
        <v>5.23</v>
      </c>
      <c r="D72">
        <v>7.51</v>
      </c>
    </row>
    <row r="73" spans="1:4">
      <c r="A73" t="s">
        <v>120</v>
      </c>
      <c r="B73" t="s">
        <v>42</v>
      </c>
      <c r="C73">
        <v>5.77</v>
      </c>
      <c r="D73">
        <v>7.67</v>
      </c>
    </row>
    <row r="74" spans="1:4">
      <c r="A74" t="s">
        <v>121</v>
      </c>
      <c r="B74" t="s">
        <v>42</v>
      </c>
      <c r="C74">
        <v>6.1</v>
      </c>
      <c r="D74">
        <v>7.22</v>
      </c>
    </row>
    <row r="75" spans="1:4">
      <c r="A75" t="s">
        <v>122</v>
      </c>
      <c r="B75" t="s">
        <v>42</v>
      </c>
      <c r="C75">
        <v>5.47</v>
      </c>
      <c r="D75">
        <v>7.14</v>
      </c>
    </row>
    <row r="76" spans="1:4">
      <c r="A76" t="s">
        <v>123</v>
      </c>
      <c r="B76" t="s">
        <v>42</v>
      </c>
      <c r="C76">
        <v>5.47</v>
      </c>
      <c r="D76">
        <v>7.63</v>
      </c>
    </row>
    <row r="77" spans="1:4">
      <c r="A77" t="s">
        <v>124</v>
      </c>
      <c r="B77" t="s">
        <v>42</v>
      </c>
      <c r="C77">
        <v>6.02</v>
      </c>
      <c r="D77">
        <v>7.68</v>
      </c>
    </row>
    <row r="78" spans="1:4">
      <c r="A78" t="s">
        <v>125</v>
      </c>
      <c r="B78" t="s">
        <v>42</v>
      </c>
      <c r="C78">
        <v>4.37</v>
      </c>
      <c r="D78">
        <v>7.3</v>
      </c>
    </row>
    <row r="79" spans="1:4">
      <c r="A79" t="s">
        <v>126</v>
      </c>
      <c r="B79" t="s">
        <v>42</v>
      </c>
      <c r="C79">
        <v>4.88</v>
      </c>
      <c r="D79">
        <v>7.69</v>
      </c>
    </row>
    <row r="80" spans="1:4">
      <c r="A80" t="s">
        <v>127</v>
      </c>
      <c r="B80" t="s">
        <v>42</v>
      </c>
      <c r="C80">
        <v>4.9000000000000004</v>
      </c>
      <c r="D80">
        <v>7.08</v>
      </c>
    </row>
    <row r="81" spans="1:4">
      <c r="A81" t="s">
        <v>128</v>
      </c>
      <c r="B81" t="s">
        <v>42</v>
      </c>
      <c r="C81">
        <v>4.82</v>
      </c>
      <c r="D81">
        <v>7.39</v>
      </c>
    </row>
    <row r="82" spans="1:4">
      <c r="A82" t="s">
        <v>129</v>
      </c>
      <c r="B82" t="s">
        <v>42</v>
      </c>
      <c r="C82">
        <v>4.21</v>
      </c>
      <c r="D82">
        <v>8</v>
      </c>
    </row>
    <row r="83" spans="1:4">
      <c r="A83" t="s">
        <v>130</v>
      </c>
      <c r="B83" t="s">
        <v>42</v>
      </c>
      <c r="C83">
        <v>5.74</v>
      </c>
      <c r="D83">
        <v>8.26</v>
      </c>
    </row>
    <row r="84" spans="1:4">
      <c r="A84" t="s">
        <v>131</v>
      </c>
      <c r="B84" t="s">
        <v>42</v>
      </c>
      <c r="C84">
        <v>5.18</v>
      </c>
      <c r="D84">
        <v>8.26</v>
      </c>
    </row>
    <row r="85" spans="1:4">
      <c r="A85" t="s">
        <v>132</v>
      </c>
      <c r="B85" t="s">
        <v>42</v>
      </c>
      <c r="C85">
        <v>4.6900000000000004</v>
      </c>
      <c r="D85">
        <v>8.06</v>
      </c>
    </row>
    <row r="86" spans="1:4">
      <c r="A86" t="s">
        <v>133</v>
      </c>
      <c r="B86" t="s">
        <v>42</v>
      </c>
      <c r="C86">
        <v>6.25</v>
      </c>
      <c r="D86">
        <v>8.3000000000000007</v>
      </c>
    </row>
    <row r="87" spans="1:4">
      <c r="A87" t="s">
        <v>134</v>
      </c>
      <c r="B87" t="s">
        <v>42</v>
      </c>
      <c r="C87">
        <v>5.28</v>
      </c>
      <c r="D87">
        <v>8</v>
      </c>
    </row>
    <row r="88" spans="1:4">
      <c r="A88" t="s">
        <v>135</v>
      </c>
      <c r="B88" t="s">
        <v>42</v>
      </c>
      <c r="C88">
        <v>3.47</v>
      </c>
      <c r="D88">
        <v>2.37</v>
      </c>
    </row>
    <row r="89" spans="1:4">
      <c r="A89" t="s">
        <v>136</v>
      </c>
      <c r="B89" t="s">
        <v>42</v>
      </c>
      <c r="C89">
        <v>4.45</v>
      </c>
      <c r="D89">
        <v>2.57</v>
      </c>
    </row>
    <row r="90" spans="1:4">
      <c r="A90" t="s">
        <v>137</v>
      </c>
      <c r="B90" t="s">
        <v>42</v>
      </c>
      <c r="C90">
        <v>2.84</v>
      </c>
      <c r="D90">
        <v>2.34</v>
      </c>
    </row>
    <row r="91" spans="1:4">
      <c r="A91" t="s">
        <v>138</v>
      </c>
      <c r="B91" t="s">
        <v>42</v>
      </c>
      <c r="C91">
        <v>3.88</v>
      </c>
      <c r="D91">
        <v>2.52</v>
      </c>
    </row>
    <row r="92" spans="1:4">
      <c r="A92" t="s">
        <v>139</v>
      </c>
      <c r="B92" t="s">
        <v>42</v>
      </c>
      <c r="C92">
        <v>3.19</v>
      </c>
      <c r="D92">
        <v>2.38</v>
      </c>
    </row>
    <row r="93" spans="1:4">
      <c r="A93" t="s">
        <v>140</v>
      </c>
      <c r="B93" t="s">
        <v>42</v>
      </c>
      <c r="C93">
        <v>4.4400000000000004</v>
      </c>
      <c r="D93">
        <v>2.09</v>
      </c>
    </row>
    <row r="94" spans="1:4">
      <c r="A94" t="s">
        <v>141</v>
      </c>
      <c r="B94" t="s">
        <v>42</v>
      </c>
      <c r="C94">
        <v>3.76</v>
      </c>
      <c r="D94">
        <v>1.79</v>
      </c>
    </row>
    <row r="95" spans="1:4">
      <c r="A95" t="s">
        <v>142</v>
      </c>
      <c r="B95" t="s">
        <v>42</v>
      </c>
      <c r="C95">
        <v>3.27</v>
      </c>
      <c r="D95">
        <v>1.1499999999999999</v>
      </c>
    </row>
    <row r="96" spans="1:4">
      <c r="A96" t="s">
        <v>143</v>
      </c>
      <c r="B96" t="s">
        <v>42</v>
      </c>
      <c r="C96">
        <v>4</v>
      </c>
      <c r="D96">
        <v>1.23</v>
      </c>
    </row>
    <row r="97" spans="1:4">
      <c r="A97" t="s">
        <v>144</v>
      </c>
      <c r="B97" t="s">
        <v>42</v>
      </c>
      <c r="C97">
        <v>2.82</v>
      </c>
      <c r="D97">
        <v>1.87</v>
      </c>
    </row>
    <row r="98" spans="1:4">
      <c r="A98" t="s">
        <v>145</v>
      </c>
      <c r="B98" t="s">
        <v>42</v>
      </c>
      <c r="C98">
        <v>3.09</v>
      </c>
      <c r="D98">
        <v>1.71</v>
      </c>
    </row>
    <row r="99" spans="1:4">
      <c r="A99" t="s">
        <v>146</v>
      </c>
      <c r="B99" t="s">
        <v>42</v>
      </c>
      <c r="C99">
        <v>2.9</v>
      </c>
      <c r="D99">
        <v>0.78</v>
      </c>
    </row>
    <row r="100" spans="1:4">
      <c r="A100" t="s">
        <v>147</v>
      </c>
      <c r="B100" t="s">
        <v>42</v>
      </c>
      <c r="C100">
        <v>2.96</v>
      </c>
      <c r="D100">
        <v>1.1499999999999999</v>
      </c>
    </row>
    <row r="101" spans="1:4">
      <c r="A101" t="s">
        <v>148</v>
      </c>
      <c r="B101" t="s">
        <v>42</v>
      </c>
      <c r="C101">
        <v>3.78</v>
      </c>
      <c r="D101">
        <v>4.13</v>
      </c>
    </row>
    <row r="102" spans="1:4">
      <c r="A102" t="s">
        <v>149</v>
      </c>
      <c r="B102" t="s">
        <v>42</v>
      </c>
      <c r="C102">
        <v>4.04</v>
      </c>
      <c r="D102">
        <v>3.65</v>
      </c>
    </row>
    <row r="103" spans="1:4">
      <c r="A103" t="s">
        <v>150</v>
      </c>
      <c r="B103" t="s">
        <v>42</v>
      </c>
      <c r="C103">
        <v>3.99</v>
      </c>
      <c r="D103">
        <v>3.09</v>
      </c>
    </row>
    <row r="104" spans="1:4">
      <c r="A104" t="s">
        <v>151</v>
      </c>
      <c r="B104" t="s">
        <v>42</v>
      </c>
      <c r="C104">
        <v>1.7</v>
      </c>
      <c r="D104">
        <v>7.44</v>
      </c>
    </row>
    <row r="105" spans="1:4">
      <c r="A105" t="s">
        <v>152</v>
      </c>
      <c r="B105" t="s">
        <v>42</v>
      </c>
      <c r="C105">
        <v>3.28</v>
      </c>
      <c r="D105">
        <v>7.24</v>
      </c>
    </row>
    <row r="106" spans="1:4">
      <c r="A106" t="s">
        <v>153</v>
      </c>
      <c r="B106" t="s">
        <v>42</v>
      </c>
      <c r="C106">
        <v>3.55</v>
      </c>
      <c r="D106">
        <v>6.7</v>
      </c>
    </row>
    <row r="107" spans="1:4">
      <c r="A107" t="s">
        <v>154</v>
      </c>
      <c r="B107" t="s">
        <v>42</v>
      </c>
      <c r="C107">
        <v>1.7</v>
      </c>
      <c r="D107">
        <v>6.87</v>
      </c>
    </row>
    <row r="108" spans="1:4">
      <c r="A108" t="s">
        <v>155</v>
      </c>
      <c r="B108" t="s">
        <v>42</v>
      </c>
      <c r="C108">
        <v>2.34</v>
      </c>
      <c r="D108">
        <v>7.14</v>
      </c>
    </row>
    <row r="109" spans="1:4">
      <c r="A109" t="s">
        <v>156</v>
      </c>
      <c r="B109" t="s">
        <v>42</v>
      </c>
      <c r="C109">
        <v>2.4300000000000002</v>
      </c>
      <c r="D109">
        <v>6.84</v>
      </c>
    </row>
    <row r="110" spans="1:4">
      <c r="A110" t="s">
        <v>157</v>
      </c>
      <c r="B110" t="s">
        <v>42</v>
      </c>
      <c r="C110">
        <v>2.2400000000000002</v>
      </c>
      <c r="D110">
        <v>6.47</v>
      </c>
    </row>
    <row r="111" spans="1:4">
      <c r="A111" t="s">
        <v>158</v>
      </c>
      <c r="B111" t="s">
        <v>42</v>
      </c>
      <c r="C111">
        <v>2.99</v>
      </c>
      <c r="D111">
        <v>6.6</v>
      </c>
    </row>
    <row r="112" spans="1:4">
      <c r="A112" t="s">
        <v>159</v>
      </c>
      <c r="B112" t="s">
        <v>42</v>
      </c>
      <c r="C112">
        <v>1.99</v>
      </c>
      <c r="D112">
        <v>6.94</v>
      </c>
    </row>
    <row r="113" spans="1:4">
      <c r="A113" t="s">
        <v>160</v>
      </c>
      <c r="B113" t="s">
        <v>42</v>
      </c>
      <c r="C113">
        <v>2.61</v>
      </c>
      <c r="D113">
        <v>7.53</v>
      </c>
    </row>
    <row r="114" spans="1:4">
      <c r="A114" t="s">
        <v>161</v>
      </c>
      <c r="B114" t="s">
        <v>42</v>
      </c>
      <c r="C114">
        <v>3.1</v>
      </c>
      <c r="D114">
        <v>6.03</v>
      </c>
    </row>
    <row r="115" spans="1:4">
      <c r="A115" t="s">
        <v>162</v>
      </c>
      <c r="B115" t="s">
        <v>42</v>
      </c>
      <c r="C115">
        <v>3.45</v>
      </c>
      <c r="D115">
        <v>6.25</v>
      </c>
    </row>
    <row r="116" spans="1:4">
      <c r="A116" t="s">
        <v>163</v>
      </c>
      <c r="B116" t="s">
        <v>42</v>
      </c>
      <c r="C116">
        <v>3.13</v>
      </c>
      <c r="D116">
        <v>5.16</v>
      </c>
    </row>
    <row r="117" spans="1:4">
      <c r="A117" t="s">
        <v>164</v>
      </c>
      <c r="B117" t="s">
        <v>42</v>
      </c>
      <c r="C117">
        <v>3.94</v>
      </c>
      <c r="D117">
        <v>6.18</v>
      </c>
    </row>
    <row r="118" spans="1:4">
      <c r="A118" t="s">
        <v>165</v>
      </c>
      <c r="B118" t="s">
        <v>42</v>
      </c>
      <c r="C118">
        <v>3.5</v>
      </c>
      <c r="D118">
        <v>5.78</v>
      </c>
    </row>
    <row r="119" spans="1:4">
      <c r="A119" t="s">
        <v>166</v>
      </c>
      <c r="B119" t="s">
        <v>42</v>
      </c>
      <c r="C119">
        <v>4.07</v>
      </c>
      <c r="D119">
        <v>5.48</v>
      </c>
    </row>
    <row r="120" spans="1:4">
      <c r="A120" t="s">
        <v>167</v>
      </c>
      <c r="B120" t="s">
        <v>42</v>
      </c>
      <c r="C120">
        <v>3.61</v>
      </c>
      <c r="D120">
        <v>5.12</v>
      </c>
    </row>
    <row r="121" spans="1:4">
      <c r="A121" t="s">
        <v>168</v>
      </c>
      <c r="B121" t="s">
        <v>42</v>
      </c>
      <c r="C121">
        <v>3.89</v>
      </c>
      <c r="D121">
        <v>4.58</v>
      </c>
    </row>
    <row r="122" spans="1:4">
      <c r="A122" t="s">
        <v>169</v>
      </c>
      <c r="B122" t="s">
        <v>42</v>
      </c>
      <c r="C122">
        <v>3.25</v>
      </c>
      <c r="D122">
        <v>4.49</v>
      </c>
    </row>
    <row r="123" spans="1:4">
      <c r="A123" t="s">
        <v>170</v>
      </c>
      <c r="B123" t="s">
        <v>42</v>
      </c>
      <c r="C123">
        <v>0.49</v>
      </c>
      <c r="D123">
        <v>1.81</v>
      </c>
    </row>
    <row r="124" spans="1:4">
      <c r="A124" t="s">
        <v>171</v>
      </c>
      <c r="B124" t="s">
        <v>42</v>
      </c>
      <c r="C124">
        <v>0.13</v>
      </c>
      <c r="D124">
        <v>1.92</v>
      </c>
    </row>
    <row r="125" spans="1:4">
      <c r="A125" t="s">
        <v>172</v>
      </c>
      <c r="B125" t="s">
        <v>42</v>
      </c>
      <c r="C125">
        <v>0.06</v>
      </c>
      <c r="D125">
        <v>1.49</v>
      </c>
    </row>
    <row r="126" spans="1:4">
      <c r="A126" t="s">
        <v>173</v>
      </c>
      <c r="B126" t="s">
        <v>42</v>
      </c>
      <c r="C126">
        <v>0</v>
      </c>
      <c r="D126">
        <v>1.1499999999999999</v>
      </c>
    </row>
    <row r="127" spans="1:4">
      <c r="A127" t="s">
        <v>174</v>
      </c>
      <c r="B127" t="s">
        <v>42</v>
      </c>
      <c r="C127">
        <v>0.01</v>
      </c>
      <c r="D127">
        <v>0.7</v>
      </c>
    </row>
    <row r="128" spans="1:4">
      <c r="A128" t="s">
        <v>175</v>
      </c>
      <c r="B128" t="s">
        <v>42</v>
      </c>
      <c r="C128">
        <v>0.27</v>
      </c>
      <c r="D128">
        <v>0</v>
      </c>
    </row>
    <row r="129" spans="1:4">
      <c r="A129" t="s">
        <v>176</v>
      </c>
      <c r="B129" t="s">
        <v>42</v>
      </c>
      <c r="C129">
        <v>0.48</v>
      </c>
      <c r="D129">
        <v>0.71</v>
      </c>
    </row>
    <row r="130" spans="1:4">
      <c r="A130" t="s">
        <v>177</v>
      </c>
      <c r="B130" t="s">
        <v>42</v>
      </c>
      <c r="C130">
        <v>0.45</v>
      </c>
      <c r="D130">
        <v>0.93</v>
      </c>
    </row>
    <row r="131" spans="1:4">
      <c r="A131" t="s">
        <v>178</v>
      </c>
      <c r="B131" t="s">
        <v>42</v>
      </c>
      <c r="C131">
        <v>0.46</v>
      </c>
      <c r="D131">
        <v>1.29</v>
      </c>
    </row>
    <row r="132" spans="1:4">
      <c r="A132" t="s">
        <v>179</v>
      </c>
      <c r="B132" t="s">
        <v>42</v>
      </c>
      <c r="C132">
        <v>4.71</v>
      </c>
      <c r="D132">
        <v>5.05</v>
      </c>
    </row>
    <row r="133" spans="1:4">
      <c r="A133" t="s">
        <v>180</v>
      </c>
      <c r="B133" t="s">
        <v>42</v>
      </c>
      <c r="C133">
        <v>5.26</v>
      </c>
      <c r="D133">
        <v>5.4</v>
      </c>
    </row>
    <row r="134" spans="1:4">
      <c r="A134" t="s">
        <v>181</v>
      </c>
      <c r="B134" t="s">
        <v>42</v>
      </c>
      <c r="C134">
        <v>5.76</v>
      </c>
      <c r="D134">
        <v>5.45</v>
      </c>
    </row>
    <row r="135" spans="1:4">
      <c r="A135" t="s">
        <v>182</v>
      </c>
      <c r="B135" t="s">
        <v>42</v>
      </c>
      <c r="C135">
        <v>6.57</v>
      </c>
      <c r="D135">
        <v>5</v>
      </c>
    </row>
    <row r="136" spans="1:4">
      <c r="A136" t="s">
        <v>183</v>
      </c>
      <c r="B136" t="s">
        <v>42</v>
      </c>
      <c r="C136">
        <v>5.32</v>
      </c>
      <c r="D136">
        <v>4.75</v>
      </c>
    </row>
    <row r="137" spans="1:4">
      <c r="A137" t="s">
        <v>184</v>
      </c>
      <c r="B137" t="s">
        <v>42</v>
      </c>
      <c r="C137">
        <v>5.26</v>
      </c>
      <c r="D137">
        <v>4.4000000000000004</v>
      </c>
    </row>
    <row r="138" spans="1:4">
      <c r="A138" t="s">
        <v>185</v>
      </c>
      <c r="B138" t="s">
        <v>42</v>
      </c>
      <c r="C138">
        <v>5.8</v>
      </c>
      <c r="D138">
        <v>4.3899999999999997</v>
      </c>
    </row>
    <row r="139" spans="1:4">
      <c r="A139" t="s">
        <v>186</v>
      </c>
      <c r="B139" t="s">
        <v>42</v>
      </c>
      <c r="C139">
        <v>6.23</v>
      </c>
      <c r="D139">
        <v>4.42</v>
      </c>
    </row>
    <row r="140" spans="1:4">
      <c r="A140" t="s">
        <v>187</v>
      </c>
      <c r="B140" t="s">
        <v>42</v>
      </c>
      <c r="C140">
        <v>5.26</v>
      </c>
      <c r="D140">
        <v>5.07</v>
      </c>
    </row>
    <row r="141" spans="1:4">
      <c r="A141" t="s">
        <v>188</v>
      </c>
      <c r="B141" t="s">
        <v>42</v>
      </c>
      <c r="C141">
        <v>5.9</v>
      </c>
      <c r="D141">
        <v>5.0999999999999996</v>
      </c>
    </row>
    <row r="142" spans="1:4">
      <c r="A142" t="s">
        <v>189</v>
      </c>
      <c r="B142" t="s">
        <v>42</v>
      </c>
      <c r="C142">
        <v>5.92</v>
      </c>
      <c r="D142">
        <v>4.8</v>
      </c>
    </row>
    <row r="143" spans="1:4">
      <c r="A143" t="s">
        <v>190</v>
      </c>
      <c r="B143" t="s">
        <v>42</v>
      </c>
      <c r="C143">
        <v>6.28</v>
      </c>
      <c r="D143">
        <v>5.4</v>
      </c>
    </row>
    <row r="144" spans="1:4">
      <c r="A144" t="s">
        <v>193</v>
      </c>
      <c r="B144" t="s">
        <v>191</v>
      </c>
      <c r="C144">
        <v>3.59</v>
      </c>
      <c r="D144">
        <v>4.21</v>
      </c>
    </row>
    <row r="145" spans="1:4">
      <c r="A145" t="s">
        <v>194</v>
      </c>
      <c r="B145" t="s">
        <v>191</v>
      </c>
      <c r="C145">
        <v>6.62</v>
      </c>
      <c r="D145">
        <v>8.02</v>
      </c>
    </row>
    <row r="146" spans="1:4">
      <c r="A146" t="s">
        <v>195</v>
      </c>
      <c r="B146" t="s">
        <v>191</v>
      </c>
      <c r="C146">
        <v>2.09</v>
      </c>
      <c r="D146">
        <v>7.31</v>
      </c>
    </row>
    <row r="147" spans="1:4">
      <c r="A147" t="s">
        <v>196</v>
      </c>
      <c r="B147" t="s">
        <v>191</v>
      </c>
      <c r="C147">
        <v>0.05</v>
      </c>
      <c r="D147">
        <v>1.93</v>
      </c>
    </row>
    <row r="148" spans="1:4">
      <c r="A148" t="s">
        <v>197</v>
      </c>
      <c r="B148" t="s">
        <v>191</v>
      </c>
      <c r="C148">
        <v>6.69</v>
      </c>
      <c r="D148">
        <v>6.15</v>
      </c>
    </row>
    <row r="149" spans="1:4">
      <c r="A149" t="s">
        <v>198</v>
      </c>
      <c r="B149" t="s">
        <v>191</v>
      </c>
      <c r="C149">
        <v>3.05</v>
      </c>
      <c r="D149">
        <v>2.93</v>
      </c>
    </row>
    <row r="150" spans="1:4">
      <c r="A150" t="s">
        <v>199</v>
      </c>
      <c r="B150" t="s">
        <v>191</v>
      </c>
      <c r="C150">
        <v>2.94</v>
      </c>
      <c r="D150">
        <v>1.3</v>
      </c>
    </row>
    <row r="151" spans="1:4">
      <c r="A151" t="s">
        <v>200</v>
      </c>
      <c r="B151" t="s">
        <v>191</v>
      </c>
      <c r="C151">
        <v>9.42</v>
      </c>
      <c r="D151">
        <v>3.15</v>
      </c>
    </row>
    <row r="152" spans="1:4">
      <c r="A152" t="s">
        <v>201</v>
      </c>
      <c r="B152" t="s">
        <v>191</v>
      </c>
      <c r="C152">
        <v>6.86</v>
      </c>
      <c r="D152">
        <v>2.76</v>
      </c>
    </row>
    <row r="153" spans="1:4">
      <c r="A153" t="s">
        <v>202</v>
      </c>
      <c r="B153" t="s">
        <v>191</v>
      </c>
      <c r="C153">
        <v>3.68</v>
      </c>
      <c r="D153">
        <v>7.67</v>
      </c>
    </row>
    <row r="154" spans="1:4">
      <c r="A154" t="s">
        <v>203</v>
      </c>
      <c r="B154" t="s">
        <v>191</v>
      </c>
      <c r="C154">
        <v>4.88</v>
      </c>
      <c r="D154">
        <v>2.75</v>
      </c>
    </row>
    <row r="155" spans="1:4">
      <c r="A155" t="s">
        <v>204</v>
      </c>
      <c r="B155" t="s">
        <v>191</v>
      </c>
      <c r="C155">
        <v>3.1</v>
      </c>
      <c r="D155">
        <v>5.86</v>
      </c>
    </row>
    <row r="156" spans="1:4">
      <c r="A156" t="s">
        <v>205</v>
      </c>
      <c r="B156" t="s">
        <v>191</v>
      </c>
      <c r="C156">
        <v>6.19</v>
      </c>
      <c r="D156">
        <v>9.57</v>
      </c>
    </row>
    <row r="157" spans="1:4">
      <c r="A157" t="s">
        <v>206</v>
      </c>
      <c r="B157" t="s">
        <v>191</v>
      </c>
      <c r="C157">
        <v>4.72</v>
      </c>
      <c r="D157">
        <v>5.97</v>
      </c>
    </row>
    <row r="158" spans="1:4">
      <c r="A158" t="s">
        <v>207</v>
      </c>
      <c r="B158" t="s">
        <v>191</v>
      </c>
      <c r="C158">
        <v>6.62</v>
      </c>
      <c r="D158">
        <v>4.6900000000000004</v>
      </c>
    </row>
    <row r="159" spans="1:4">
      <c r="A159" t="s">
        <v>208</v>
      </c>
      <c r="B159" t="s">
        <v>191</v>
      </c>
      <c r="C159">
        <v>4.7</v>
      </c>
      <c r="D159">
        <v>1.37</v>
      </c>
    </row>
    <row r="160" spans="1:4">
      <c r="A160" t="s">
        <v>209</v>
      </c>
      <c r="B160" t="s">
        <v>191</v>
      </c>
      <c r="C160">
        <v>5.18</v>
      </c>
      <c r="D160">
        <v>3.93</v>
      </c>
    </row>
    <row r="161" spans="1:4">
      <c r="A161" t="s">
        <v>210</v>
      </c>
      <c r="B161" t="s">
        <v>191</v>
      </c>
      <c r="C161">
        <v>1.02</v>
      </c>
      <c r="D161">
        <v>1.34</v>
      </c>
    </row>
    <row r="162" spans="1:4">
      <c r="A162" t="s">
        <v>211</v>
      </c>
      <c r="B162" t="s">
        <v>191</v>
      </c>
      <c r="C162">
        <v>2.34</v>
      </c>
      <c r="D162">
        <v>5.04</v>
      </c>
    </row>
    <row r="163" spans="1:4">
      <c r="A163" t="s">
        <v>212</v>
      </c>
      <c r="B163" t="s">
        <v>191</v>
      </c>
      <c r="C163">
        <v>4</v>
      </c>
      <c r="D163">
        <v>4.8099999999999996</v>
      </c>
    </row>
    <row r="164" spans="1:4">
      <c r="A164" t="s">
        <v>269</v>
      </c>
      <c r="B164" t="s">
        <v>268</v>
      </c>
      <c r="C164">
        <v>5.66</v>
      </c>
      <c r="D164">
        <v>9.86</v>
      </c>
    </row>
    <row r="165" spans="1:4">
      <c r="A165" t="s">
        <v>270</v>
      </c>
      <c r="B165" t="s">
        <v>268</v>
      </c>
      <c r="C165">
        <v>4.16</v>
      </c>
      <c r="D165">
        <v>8.11</v>
      </c>
    </row>
    <row r="166" spans="1:4">
      <c r="A166" t="s">
        <v>271</v>
      </c>
      <c r="B166" t="s">
        <v>268</v>
      </c>
      <c r="C166">
        <v>3.57</v>
      </c>
      <c r="D166">
        <v>7.44</v>
      </c>
    </row>
    <row r="167" spans="1:4">
      <c r="A167" t="s">
        <v>272</v>
      </c>
      <c r="B167" t="s">
        <v>268</v>
      </c>
      <c r="C167">
        <v>5.61</v>
      </c>
      <c r="D167">
        <v>7.38</v>
      </c>
    </row>
    <row r="168" spans="1:4">
      <c r="A168" t="s">
        <v>273</v>
      </c>
      <c r="B168" t="s">
        <v>268</v>
      </c>
      <c r="C168">
        <v>4.5199999999999996</v>
      </c>
      <c r="D168">
        <v>6.91</v>
      </c>
    </row>
    <row r="169" spans="1:4">
      <c r="A169" t="s">
        <v>274</v>
      </c>
      <c r="B169" t="s">
        <v>268</v>
      </c>
      <c r="C169">
        <v>4.1399999999999997</v>
      </c>
      <c r="D169">
        <v>6.44</v>
      </c>
    </row>
    <row r="170" spans="1:4">
      <c r="A170" t="s">
        <v>275</v>
      </c>
      <c r="B170" t="s">
        <v>268</v>
      </c>
      <c r="C170">
        <v>3.45</v>
      </c>
      <c r="D170">
        <v>6.29</v>
      </c>
    </row>
    <row r="171" spans="1:4">
      <c r="A171" t="s">
        <v>276</v>
      </c>
      <c r="B171" t="s">
        <v>268</v>
      </c>
      <c r="C171">
        <v>4.1900000000000004</v>
      </c>
      <c r="D171">
        <v>6.23</v>
      </c>
    </row>
    <row r="172" spans="1:4">
      <c r="A172" t="s">
        <v>277</v>
      </c>
      <c r="B172" t="s">
        <v>268</v>
      </c>
      <c r="C172">
        <v>2.4300000000000002</v>
      </c>
      <c r="D172">
        <v>5.68</v>
      </c>
    </row>
    <row r="173" spans="1:4">
      <c r="A173" t="s">
        <v>278</v>
      </c>
      <c r="B173" t="s">
        <v>268</v>
      </c>
      <c r="C173">
        <v>2.62</v>
      </c>
      <c r="D173">
        <v>5.32</v>
      </c>
    </row>
    <row r="174" spans="1:4">
      <c r="A174" t="s">
        <v>279</v>
      </c>
      <c r="B174" t="s">
        <v>268</v>
      </c>
      <c r="C174">
        <v>7.63</v>
      </c>
      <c r="D174">
        <v>5.26</v>
      </c>
    </row>
    <row r="175" spans="1:4">
      <c r="A175" t="s">
        <v>280</v>
      </c>
      <c r="B175" t="s">
        <v>268</v>
      </c>
      <c r="C175">
        <v>2.9</v>
      </c>
      <c r="D175">
        <v>5.22</v>
      </c>
    </row>
    <row r="176" spans="1:4">
      <c r="A176" t="s">
        <v>281</v>
      </c>
      <c r="B176" t="s">
        <v>268</v>
      </c>
      <c r="C176">
        <v>9.4600000000000009</v>
      </c>
      <c r="D176">
        <v>4.6500000000000004</v>
      </c>
    </row>
    <row r="177" spans="1:4">
      <c r="A177" t="s">
        <v>282</v>
      </c>
      <c r="B177" t="s">
        <v>268</v>
      </c>
      <c r="C177">
        <v>6.31</v>
      </c>
      <c r="D177">
        <v>4.47</v>
      </c>
    </row>
    <row r="178" spans="1:4">
      <c r="A178" t="s">
        <v>283</v>
      </c>
      <c r="B178" t="s">
        <v>268</v>
      </c>
      <c r="C178">
        <v>9.09</v>
      </c>
      <c r="D178">
        <v>4.4000000000000004</v>
      </c>
    </row>
    <row r="179" spans="1:4">
      <c r="A179" t="s">
        <v>284</v>
      </c>
      <c r="B179" t="s">
        <v>268</v>
      </c>
      <c r="C179">
        <v>8.98</v>
      </c>
      <c r="D179">
        <v>4.34</v>
      </c>
    </row>
    <row r="180" spans="1:4">
      <c r="A180" t="s">
        <v>285</v>
      </c>
      <c r="B180" t="s">
        <v>268</v>
      </c>
      <c r="C180">
        <v>4.5199999999999996</v>
      </c>
      <c r="D180">
        <v>4.3</v>
      </c>
    </row>
    <row r="181" spans="1:4">
      <c r="A181" t="s">
        <v>286</v>
      </c>
      <c r="B181" t="s">
        <v>268</v>
      </c>
      <c r="C181">
        <v>6.17</v>
      </c>
      <c r="D181">
        <v>4.18</v>
      </c>
    </row>
    <row r="182" spans="1:4">
      <c r="A182" t="s">
        <v>287</v>
      </c>
      <c r="B182" t="s">
        <v>268</v>
      </c>
      <c r="C182">
        <v>7.69</v>
      </c>
      <c r="D182">
        <v>4.08</v>
      </c>
    </row>
    <row r="183" spans="1:4">
      <c r="A183" t="s">
        <v>288</v>
      </c>
      <c r="B183" t="s">
        <v>268</v>
      </c>
      <c r="C183">
        <v>7.78</v>
      </c>
      <c r="D183">
        <v>4.01</v>
      </c>
    </row>
    <row r="184" spans="1:4">
      <c r="A184" t="s">
        <v>289</v>
      </c>
      <c r="B184" t="s">
        <v>268</v>
      </c>
      <c r="C184">
        <v>8.66</v>
      </c>
      <c r="D184">
        <v>3.96</v>
      </c>
    </row>
    <row r="185" spans="1:4">
      <c r="A185" t="s">
        <v>290</v>
      </c>
      <c r="B185" t="s">
        <v>268</v>
      </c>
      <c r="C185">
        <v>3.99</v>
      </c>
      <c r="D185">
        <v>3.65</v>
      </c>
    </row>
    <row r="186" spans="1:4">
      <c r="A186" t="s">
        <v>291</v>
      </c>
      <c r="B186" t="s">
        <v>268</v>
      </c>
      <c r="C186">
        <v>2.96</v>
      </c>
      <c r="D186">
        <v>3.54</v>
      </c>
    </row>
    <row r="187" spans="1:4">
      <c r="A187" t="s">
        <v>292</v>
      </c>
      <c r="B187" t="s">
        <v>268</v>
      </c>
      <c r="C187">
        <v>9.6</v>
      </c>
      <c r="D187">
        <v>3.41</v>
      </c>
    </row>
    <row r="188" spans="1:4">
      <c r="A188" t="s">
        <v>293</v>
      </c>
      <c r="B188" t="s">
        <v>268</v>
      </c>
      <c r="C188">
        <v>5.13</v>
      </c>
      <c r="D188">
        <v>3.2</v>
      </c>
    </row>
    <row r="189" spans="1:4">
      <c r="A189" t="s">
        <v>294</v>
      </c>
      <c r="B189" t="s">
        <v>268</v>
      </c>
      <c r="C189">
        <v>7.21</v>
      </c>
      <c r="D189">
        <v>3.13</v>
      </c>
    </row>
    <row r="190" spans="1:4">
      <c r="A190" t="s">
        <v>295</v>
      </c>
      <c r="B190" t="s">
        <v>268</v>
      </c>
      <c r="C190">
        <v>5.94</v>
      </c>
      <c r="D190">
        <v>2.75</v>
      </c>
    </row>
    <row r="191" spans="1:4">
      <c r="A191" t="s">
        <v>296</v>
      </c>
      <c r="B191" t="s">
        <v>268</v>
      </c>
      <c r="C191">
        <v>2.61</v>
      </c>
      <c r="D191">
        <v>2.63</v>
      </c>
    </row>
    <row r="192" spans="1:4">
      <c r="A192" t="s">
        <v>297</v>
      </c>
      <c r="B192" t="s">
        <v>268</v>
      </c>
      <c r="C192">
        <v>0.77</v>
      </c>
      <c r="D192">
        <v>2.13</v>
      </c>
    </row>
    <row r="193" spans="1:4">
      <c r="A193" t="s">
        <v>298</v>
      </c>
      <c r="B193" t="s">
        <v>268</v>
      </c>
      <c r="C193">
        <v>4.91</v>
      </c>
      <c r="D193">
        <v>2.08</v>
      </c>
    </row>
    <row r="194" spans="1:4">
      <c r="A194" t="s">
        <v>299</v>
      </c>
      <c r="B194" t="s">
        <v>268</v>
      </c>
      <c r="C194">
        <v>1.85</v>
      </c>
      <c r="D194">
        <v>2</v>
      </c>
    </row>
    <row r="195" spans="1:4">
      <c r="A195" t="s">
        <v>300</v>
      </c>
      <c r="B195" t="s">
        <v>268</v>
      </c>
      <c r="C195">
        <v>4.92</v>
      </c>
      <c r="D195">
        <v>1.63</v>
      </c>
    </row>
    <row r="196" spans="1:4">
      <c r="A196" t="s">
        <v>301</v>
      </c>
      <c r="B196" t="s">
        <v>268</v>
      </c>
      <c r="C196">
        <v>4.84</v>
      </c>
      <c r="D196">
        <v>1.59</v>
      </c>
    </row>
    <row r="197" spans="1:4">
      <c r="A197" t="s">
        <v>302</v>
      </c>
      <c r="B197" t="s">
        <v>268</v>
      </c>
      <c r="C197">
        <v>1.3</v>
      </c>
      <c r="D197">
        <v>1.51</v>
      </c>
    </row>
    <row r="198" spans="1:4">
      <c r="A198" t="s">
        <v>303</v>
      </c>
      <c r="B198" t="s">
        <v>268</v>
      </c>
      <c r="C198">
        <v>3.64</v>
      </c>
      <c r="D198">
        <v>1.4</v>
      </c>
    </row>
    <row r="199" spans="1:4">
      <c r="A199" t="s">
        <v>304</v>
      </c>
      <c r="B199" t="s">
        <v>268</v>
      </c>
      <c r="C199">
        <v>0.61</v>
      </c>
      <c r="D199">
        <v>1.37</v>
      </c>
    </row>
    <row r="200" spans="1:4">
      <c r="A200" t="s">
        <v>305</v>
      </c>
      <c r="B200" t="s">
        <v>268</v>
      </c>
      <c r="C200">
        <v>3.67</v>
      </c>
      <c r="D200">
        <v>1.24</v>
      </c>
    </row>
    <row r="201" spans="1:4">
      <c r="A201" t="s">
        <v>306</v>
      </c>
      <c r="B201" t="s">
        <v>268</v>
      </c>
      <c r="C201">
        <v>1.6</v>
      </c>
      <c r="D201">
        <v>1.0900000000000001</v>
      </c>
    </row>
    <row r="202" spans="1:4">
      <c r="A202" t="s">
        <v>307</v>
      </c>
      <c r="B202" t="s">
        <v>268</v>
      </c>
      <c r="C202">
        <v>1.66</v>
      </c>
      <c r="D202">
        <v>0.94</v>
      </c>
    </row>
    <row r="203" spans="1:4">
      <c r="A203" t="s">
        <v>308</v>
      </c>
      <c r="B203" t="s">
        <v>268</v>
      </c>
      <c r="C203">
        <v>1.1100000000000001</v>
      </c>
      <c r="D203">
        <v>0.89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48"/>
  <sheetViews>
    <sheetView zoomScaleNormal="100" workbookViewId="0">
      <pane ySplit="3" topLeftCell="A4" activePane="bottomLeft" state="frozen"/>
      <selection pane="bottomLeft"/>
    </sheetView>
  </sheetViews>
  <sheetFormatPr defaultColWidth="9.140625" defaultRowHeight="15"/>
  <cols>
    <col min="1" max="1" width="34" customWidth="1"/>
    <col min="2" max="2" width="20" customWidth="1"/>
    <col min="3" max="3" width="25" customWidth="1"/>
    <col min="4" max="4" width="17" customWidth="1"/>
    <col min="5" max="5" width="24" customWidth="1"/>
    <col min="6" max="6" width="25" customWidth="1"/>
    <col min="7" max="7" width="50" customWidth="1"/>
    <col min="9" max="9" width="22" customWidth="1"/>
    <col min="10" max="10" width="25" customWidth="1"/>
  </cols>
  <sheetData>
    <row r="1" spans="1:10" ht="24.75" customHeight="1">
      <c r="A1" s="3" t="s">
        <v>364</v>
      </c>
      <c r="B1" s="3"/>
      <c r="C1" s="3"/>
      <c r="D1" s="3"/>
      <c r="E1" s="3"/>
      <c r="F1" s="3"/>
      <c r="G1" s="3"/>
    </row>
    <row r="2" spans="1:10" ht="24.75" customHeight="1">
      <c r="A2" s="3"/>
      <c r="B2" s="3"/>
      <c r="C2" s="3"/>
      <c r="D2" s="3"/>
      <c r="E2" s="3"/>
      <c r="F2" s="3"/>
      <c r="G2" s="3"/>
    </row>
    <row r="3" spans="1:10" ht="24.75" customHeight="1">
      <c r="A3" s="46" t="s">
        <v>365</v>
      </c>
      <c r="B3" s="46"/>
      <c r="C3" s="46"/>
      <c r="D3" s="46"/>
      <c r="E3" s="46"/>
      <c r="F3" s="46"/>
      <c r="G3" s="46"/>
    </row>
    <row r="5" spans="1:10">
      <c r="A5" t="s">
        <v>366</v>
      </c>
      <c r="B5" s="32">
        <v>560695</v>
      </c>
      <c r="C5" t="s">
        <v>367</v>
      </c>
      <c r="D5" s="47" t="s">
        <v>368</v>
      </c>
      <c r="E5" s="47"/>
      <c r="F5" s="47"/>
      <c r="G5" s="47"/>
    </row>
    <row r="6" spans="1:10" ht="27.75" customHeight="1">
      <c r="A6" t="s">
        <v>369</v>
      </c>
      <c r="B6" s="32">
        <f>J19</f>
        <v>198449</v>
      </c>
      <c r="C6" t="s">
        <v>370</v>
      </c>
      <c r="D6" s="47" t="s">
        <v>371</v>
      </c>
      <c r="E6" s="47"/>
      <c r="F6" s="47"/>
      <c r="G6" s="47"/>
      <c r="I6" s="33" t="s">
        <v>372</v>
      </c>
      <c r="J6" s="33" t="s">
        <v>373</v>
      </c>
    </row>
    <row r="7" spans="1:10">
      <c r="A7" t="s">
        <v>374</v>
      </c>
      <c r="B7" s="32">
        <v>198446</v>
      </c>
      <c r="C7" t="s">
        <v>370</v>
      </c>
      <c r="D7" s="47" t="s">
        <v>375</v>
      </c>
      <c r="E7" s="47"/>
      <c r="F7" s="47"/>
      <c r="G7" s="47"/>
      <c r="I7" t="s">
        <v>376</v>
      </c>
      <c r="J7" s="13">
        <v>17945</v>
      </c>
    </row>
    <row r="8" spans="1:10">
      <c r="A8" t="s">
        <v>377</v>
      </c>
      <c r="B8" s="32">
        <f>B6-B7</f>
        <v>3</v>
      </c>
      <c r="C8" t="s">
        <v>370</v>
      </c>
      <c r="D8" s="47" t="s">
        <v>378</v>
      </c>
      <c r="E8" s="47"/>
      <c r="F8" s="47"/>
      <c r="G8" s="47"/>
      <c r="I8" t="s">
        <v>379</v>
      </c>
      <c r="J8" s="13">
        <v>15275</v>
      </c>
    </row>
    <row r="9" spans="1:10">
      <c r="A9" t="s">
        <v>380</v>
      </c>
      <c r="B9" s="18">
        <f>B6/B5</f>
        <v>0.35393395696412489</v>
      </c>
      <c r="C9" t="s">
        <v>381</v>
      </c>
      <c r="D9" s="47" t="s">
        <v>382</v>
      </c>
      <c r="E9" s="47"/>
      <c r="F9" s="47"/>
      <c r="G9" s="47"/>
      <c r="I9" t="s">
        <v>383</v>
      </c>
      <c r="J9" s="13">
        <v>17206</v>
      </c>
    </row>
    <row r="10" spans="1:10">
      <c r="A10" t="s">
        <v>384</v>
      </c>
      <c r="B10" s="18">
        <f>B24</f>
        <v>0.28499999999999998</v>
      </c>
      <c r="C10" t="s">
        <v>385</v>
      </c>
      <c r="D10" s="47" t="s">
        <v>386</v>
      </c>
      <c r="E10" s="47"/>
      <c r="F10" s="47"/>
      <c r="G10" s="47"/>
      <c r="I10" t="s">
        <v>387</v>
      </c>
      <c r="J10" s="13">
        <v>15613</v>
      </c>
    </row>
    <row r="11" spans="1:10">
      <c r="A11" t="s">
        <v>388</v>
      </c>
      <c r="B11" s="18">
        <f>E24</f>
        <v>0.10087117773477559</v>
      </c>
      <c r="C11" t="s">
        <v>381</v>
      </c>
      <c r="D11" s="47" t="s">
        <v>389</v>
      </c>
      <c r="E11" s="47"/>
      <c r="F11" s="47"/>
      <c r="G11" s="47"/>
      <c r="I11" t="s">
        <v>390</v>
      </c>
      <c r="J11" s="13">
        <v>16528</v>
      </c>
    </row>
    <row r="12" spans="1:10">
      <c r="A12" t="s">
        <v>391</v>
      </c>
      <c r="B12" s="18">
        <f>F24</f>
        <v>56557.965000000004</v>
      </c>
      <c r="C12" t="s">
        <v>392</v>
      </c>
      <c r="D12" s="47" t="s">
        <v>393</v>
      </c>
      <c r="E12" s="47"/>
      <c r="F12" s="47"/>
      <c r="G12" s="47"/>
      <c r="I12" t="s">
        <v>394</v>
      </c>
      <c r="J12" s="13">
        <v>15204</v>
      </c>
    </row>
    <row r="13" spans="1:10">
      <c r="A13" t="s">
        <v>395</v>
      </c>
      <c r="B13" s="34">
        <f>SUM(Sectores!C2:C143)</f>
        <v>560695</v>
      </c>
      <c r="C13" t="s">
        <v>367</v>
      </c>
      <c r="D13" s="47" t="s">
        <v>396</v>
      </c>
      <c r="E13" s="47"/>
      <c r="F13" s="47"/>
      <c r="G13" s="47"/>
      <c r="I13" t="s">
        <v>397</v>
      </c>
      <c r="J13" s="13">
        <v>15162</v>
      </c>
    </row>
    <row r="14" spans="1:10">
      <c r="A14" t="s">
        <v>398</v>
      </c>
      <c r="B14" s="34">
        <f>SUM(Semanas!C2:C53)</f>
        <v>1</v>
      </c>
      <c r="C14" t="s">
        <v>385</v>
      </c>
      <c r="D14" s="47" t="s">
        <v>399</v>
      </c>
      <c r="E14" s="47"/>
      <c r="F14" s="47"/>
      <c r="G14" s="47"/>
      <c r="I14" t="s">
        <v>400</v>
      </c>
      <c r="J14" s="13">
        <v>16641</v>
      </c>
    </row>
    <row r="15" spans="1:10">
      <c r="A15" t="s">
        <v>401</v>
      </c>
      <c r="B15" s="34">
        <f>COUNTA(Generacion!A2:A711)</f>
        <v>710</v>
      </c>
      <c r="C15" t="s">
        <v>402</v>
      </c>
      <c r="D15" s="47" t="s">
        <v>403</v>
      </c>
      <c r="E15" s="47"/>
      <c r="F15" s="47"/>
      <c r="G15" s="47"/>
      <c r="I15" t="s">
        <v>404</v>
      </c>
      <c r="J15" s="13">
        <v>16088</v>
      </c>
    </row>
    <row r="16" spans="1:10">
      <c r="A16" t="s">
        <v>405</v>
      </c>
      <c r="B16" s="34">
        <f>B15-710</f>
        <v>0</v>
      </c>
      <c r="C16" t="s">
        <v>402</v>
      </c>
      <c r="D16" s="47" t="s">
        <v>406</v>
      </c>
      <c r="E16" s="47"/>
      <c r="F16" s="47"/>
      <c r="G16" s="47"/>
      <c r="I16" t="s">
        <v>407</v>
      </c>
      <c r="J16" s="13">
        <v>17304</v>
      </c>
    </row>
    <row r="17" spans="1:10">
      <c r="I17" t="s">
        <v>408</v>
      </c>
      <c r="J17" s="13">
        <v>16900</v>
      </c>
    </row>
    <row r="18" spans="1:10" ht="27.75" customHeight="1">
      <c r="A18" s="35" t="s">
        <v>409</v>
      </c>
      <c r="B18" s="35" t="s">
        <v>410</v>
      </c>
      <c r="C18" s="35" t="s">
        <v>411</v>
      </c>
      <c r="D18" s="35" t="s">
        <v>412</v>
      </c>
      <c r="E18" s="35" t="s">
        <v>413</v>
      </c>
      <c r="F18" s="35" t="s">
        <v>414</v>
      </c>
      <c r="G18" s="35" t="s">
        <v>415</v>
      </c>
      <c r="I18" t="s">
        <v>416</v>
      </c>
      <c r="J18" s="13">
        <v>18583</v>
      </c>
    </row>
    <row r="19" spans="1:10" ht="24" customHeight="1">
      <c r="A19" t="s">
        <v>417</v>
      </c>
      <c r="B19" s="36">
        <v>0.123</v>
      </c>
      <c r="C19" t="s">
        <v>418</v>
      </c>
      <c r="D19" t="s">
        <v>419</v>
      </c>
      <c r="E19" s="18">
        <f>$B$9*B19</f>
        <v>4.3533876706587357E-2</v>
      </c>
      <c r="F19" s="37">
        <f>E19*$B$5</f>
        <v>24409.226999999999</v>
      </c>
      <c r="G19" t="s">
        <v>420</v>
      </c>
      <c r="I19" s="38" t="s">
        <v>421</v>
      </c>
      <c r="J19" s="39">
        <f>SUM(J7:J18)</f>
        <v>198449</v>
      </c>
    </row>
    <row r="20" spans="1:10">
      <c r="A20" t="s">
        <v>422</v>
      </c>
      <c r="B20" s="36">
        <v>0.107</v>
      </c>
      <c r="C20" t="s">
        <v>418</v>
      </c>
      <c r="D20" t="s">
        <v>419</v>
      </c>
      <c r="E20" s="18">
        <f>$B$9*B20</f>
        <v>3.7870933395161364E-2</v>
      </c>
      <c r="F20" s="37">
        <f>E20*$B$5</f>
        <v>21234.043000000001</v>
      </c>
      <c r="G20" t="s">
        <v>420</v>
      </c>
    </row>
    <row r="21" spans="1:10">
      <c r="A21" t="s">
        <v>423</v>
      </c>
      <c r="B21" s="36">
        <v>3.7999999999999999E-2</v>
      </c>
      <c r="C21" t="s">
        <v>418</v>
      </c>
      <c r="D21" t="s">
        <v>419</v>
      </c>
      <c r="E21" s="18">
        <f>$B$9*B21</f>
        <v>1.3449490364636746E-2</v>
      </c>
      <c r="F21" s="37">
        <f>E21*$B$5</f>
        <v>7541.0619999999999</v>
      </c>
      <c r="G21" t="s">
        <v>420</v>
      </c>
    </row>
    <row r="22" spans="1:10">
      <c r="A22" t="s">
        <v>424</v>
      </c>
      <c r="B22" s="36">
        <v>0.01</v>
      </c>
      <c r="C22" t="s">
        <v>418</v>
      </c>
      <c r="D22" t="s">
        <v>419</v>
      </c>
      <c r="E22" s="18">
        <f>$B$9*B22</f>
        <v>3.539339569641249E-3</v>
      </c>
      <c r="F22" s="37">
        <f>E22*$B$5</f>
        <v>1984.49</v>
      </c>
      <c r="G22" t="s">
        <v>420</v>
      </c>
    </row>
    <row r="23" spans="1:10">
      <c r="A23" t="s">
        <v>425</v>
      </c>
      <c r="B23" s="36">
        <v>7.0000000000000001E-3</v>
      </c>
      <c r="C23" t="s">
        <v>426</v>
      </c>
      <c r="D23" t="s">
        <v>427</v>
      </c>
      <c r="E23" s="18">
        <f>$B$9*B23</f>
        <v>2.4775376987488744E-3</v>
      </c>
      <c r="F23" s="37">
        <f>E23*$B$5</f>
        <v>1389.1430000000003</v>
      </c>
      <c r="G23" t="s">
        <v>428</v>
      </c>
    </row>
    <row r="24" spans="1:10" ht="24" customHeight="1">
      <c r="A24" s="40" t="s">
        <v>429</v>
      </c>
      <c r="B24" s="41">
        <f>SUM(B19:B23)</f>
        <v>0.28499999999999998</v>
      </c>
      <c r="C24" s="40"/>
      <c r="D24" s="40"/>
      <c r="E24" s="42">
        <f>SUM(E19:E23)</f>
        <v>0.10087117773477559</v>
      </c>
      <c r="F24" s="43">
        <f>SUM(F19:F23)</f>
        <v>56557.965000000004</v>
      </c>
      <c r="G24" s="40"/>
    </row>
    <row r="27" spans="1:10" ht="25.5" customHeight="1">
      <c r="A27" s="48" t="s">
        <v>430</v>
      </c>
      <c r="B27" s="48"/>
      <c r="C27" s="48"/>
      <c r="D27" s="48"/>
      <c r="E27" s="48"/>
      <c r="F27" s="48"/>
      <c r="G27" s="48"/>
    </row>
    <row r="28" spans="1:10" ht="30.75" customHeight="1">
      <c r="A28" s="2" t="s">
        <v>431</v>
      </c>
      <c r="B28" s="2"/>
      <c r="C28" s="2"/>
      <c r="D28" s="2"/>
      <c r="E28" s="2"/>
      <c r="F28" s="2"/>
      <c r="G28" s="2"/>
    </row>
    <row r="29" spans="1:10" ht="30.75" customHeight="1">
      <c r="A29" s="1" t="s">
        <v>432</v>
      </c>
      <c r="B29" s="1"/>
      <c r="C29" s="1"/>
      <c r="D29" s="1"/>
      <c r="E29" s="1"/>
      <c r="F29" s="1"/>
      <c r="G29" s="1"/>
    </row>
    <row r="30" spans="1:10" ht="30.75" customHeight="1">
      <c r="A30" s="2" t="s">
        <v>433</v>
      </c>
      <c r="B30" s="2"/>
      <c r="C30" s="2"/>
      <c r="D30" s="2"/>
      <c r="E30" s="2"/>
      <c r="F30" s="2"/>
      <c r="G30" s="2"/>
    </row>
    <row r="31" spans="1:10" ht="30.75" customHeight="1">
      <c r="A31" s="1" t="s">
        <v>434</v>
      </c>
      <c r="B31" s="1"/>
      <c r="C31" s="1"/>
      <c r="D31" s="1"/>
      <c r="E31" s="1"/>
      <c r="F31" s="1"/>
      <c r="G31" s="1"/>
    </row>
    <row r="32" spans="1:10" ht="30.75" customHeight="1">
      <c r="A32" s="2" t="s">
        <v>435</v>
      </c>
      <c r="B32" s="2"/>
      <c r="C32" s="2"/>
      <c r="D32" s="2"/>
      <c r="E32" s="2"/>
      <c r="F32" s="2"/>
      <c r="G32" s="2"/>
    </row>
    <row r="33" spans="1:7" ht="30.75" customHeight="1">
      <c r="A33" s="1" t="s">
        <v>436</v>
      </c>
      <c r="B33" s="1"/>
      <c r="C33" s="1"/>
      <c r="D33" s="1"/>
      <c r="E33" s="1"/>
      <c r="F33" s="1"/>
      <c r="G33" s="1"/>
    </row>
    <row r="34" spans="1:7" ht="30.75" customHeight="1">
      <c r="A34" s="2" t="s">
        <v>437</v>
      </c>
      <c r="B34" s="2"/>
      <c r="C34" s="2"/>
      <c r="D34" s="2"/>
      <c r="E34" s="2"/>
      <c r="F34" s="2"/>
      <c r="G34" s="2"/>
    </row>
    <row r="35" spans="1:7" ht="30.75" customHeight="1">
      <c r="A35" s="1" t="s">
        <v>438</v>
      </c>
      <c r="B35" s="1"/>
      <c r="C35" s="1"/>
      <c r="D35" s="1"/>
      <c r="E35" s="1"/>
      <c r="F35" s="1"/>
      <c r="G35" s="1"/>
    </row>
    <row r="36" spans="1:7" ht="30.75" customHeight="1">
      <c r="A36" s="2" t="s">
        <v>439</v>
      </c>
      <c r="B36" s="2"/>
      <c r="C36" s="2"/>
      <c r="D36" s="2"/>
      <c r="E36" s="2"/>
      <c r="F36" s="2"/>
      <c r="G36" s="2"/>
    </row>
    <row r="37" spans="1:7" ht="30.75" customHeight="1">
      <c r="A37" s="1" t="s">
        <v>440</v>
      </c>
      <c r="B37" s="1"/>
      <c r="C37" s="1"/>
      <c r="D37" s="1"/>
      <c r="E37" s="1"/>
      <c r="F37" s="1"/>
      <c r="G37" s="1"/>
    </row>
    <row r="38" spans="1:7" ht="30.75" customHeight="1">
      <c r="A38" s="2" t="s">
        <v>441</v>
      </c>
      <c r="B38" s="2"/>
      <c r="C38" s="2"/>
      <c r="D38" s="2"/>
      <c r="E38" s="2"/>
      <c r="F38" s="2"/>
      <c r="G38" s="2"/>
    </row>
    <row r="39" spans="1:7" ht="30.75" customHeight="1">
      <c r="A39" s="1" t="s">
        <v>442</v>
      </c>
      <c r="B39" s="1"/>
      <c r="C39" s="1"/>
      <c r="D39" s="1"/>
      <c r="E39" s="1"/>
      <c r="F39" s="1"/>
      <c r="G39" s="1"/>
    </row>
    <row r="40" spans="1:7" ht="30.75" customHeight="1">
      <c r="A40" s="2" t="s">
        <v>443</v>
      </c>
      <c r="B40" s="2"/>
      <c r="C40" s="2"/>
      <c r="D40" s="2"/>
      <c r="E40" s="2"/>
      <c r="F40" s="2"/>
      <c r="G40" s="2"/>
    </row>
    <row r="43" spans="1:7" ht="25.5" customHeight="1">
      <c r="A43" s="48" t="s">
        <v>444</v>
      </c>
      <c r="B43" s="48"/>
      <c r="C43" s="48"/>
      <c r="D43" s="48"/>
      <c r="E43" s="48"/>
      <c r="F43" s="48"/>
      <c r="G43" s="48"/>
    </row>
    <row r="44" spans="1:7" ht="42" customHeight="1">
      <c r="A44" s="44" t="s">
        <v>445</v>
      </c>
      <c r="B44" s="2" t="s">
        <v>446</v>
      </c>
      <c r="C44" s="2"/>
      <c r="D44" s="2"/>
      <c r="E44" s="2" t="s">
        <v>447</v>
      </c>
      <c r="F44" s="2"/>
      <c r="G44" s="2"/>
    </row>
    <row r="45" spans="1:7" ht="42" customHeight="1">
      <c r="A45" s="45" t="s">
        <v>448</v>
      </c>
      <c r="B45" s="1" t="s">
        <v>449</v>
      </c>
      <c r="C45" s="1"/>
      <c r="D45" s="1"/>
      <c r="E45" s="1" t="s">
        <v>420</v>
      </c>
      <c r="F45" s="1"/>
      <c r="G45" s="1"/>
    </row>
    <row r="46" spans="1:7" ht="42" customHeight="1">
      <c r="A46" s="44" t="s">
        <v>450</v>
      </c>
      <c r="B46" s="2" t="s">
        <v>451</v>
      </c>
      <c r="C46" s="2"/>
      <c r="D46" s="2"/>
      <c r="E46" s="2" t="s">
        <v>428</v>
      </c>
      <c r="F46" s="2"/>
      <c r="G46" s="2"/>
    </row>
    <row r="47" spans="1:7" ht="42" customHeight="1">
      <c r="A47" s="45" t="s">
        <v>366</v>
      </c>
      <c r="B47" s="1" t="s">
        <v>452</v>
      </c>
      <c r="C47" s="1"/>
      <c r="D47" s="1"/>
      <c r="E47" s="1" t="s">
        <v>453</v>
      </c>
      <c r="F47" s="1"/>
      <c r="G47" s="1"/>
    </row>
    <row r="48" spans="1:7" ht="42" customHeight="1">
      <c r="A48" s="44" t="s">
        <v>454</v>
      </c>
      <c r="B48" s="2" t="s">
        <v>455</v>
      </c>
      <c r="C48" s="2"/>
      <c r="D48" s="2"/>
      <c r="E48" s="2" t="s">
        <v>453</v>
      </c>
      <c r="F48" s="2"/>
      <c r="G48" s="2"/>
    </row>
  </sheetData>
  <mergeCells count="39">
    <mergeCell ref="B48:D48"/>
    <mergeCell ref="E48:G48"/>
    <mergeCell ref="B45:D45"/>
    <mergeCell ref="E45:G45"/>
    <mergeCell ref="B46:D46"/>
    <mergeCell ref="E46:G46"/>
    <mergeCell ref="B47:D47"/>
    <mergeCell ref="E47:G47"/>
    <mergeCell ref="A38:G38"/>
    <mergeCell ref="A39:G39"/>
    <mergeCell ref="A40:G40"/>
    <mergeCell ref="A43:G43"/>
    <mergeCell ref="B44:D44"/>
    <mergeCell ref="E44:G44"/>
    <mergeCell ref="A33:G33"/>
    <mergeCell ref="A34:G34"/>
    <mergeCell ref="A35:G35"/>
    <mergeCell ref="A36:G36"/>
    <mergeCell ref="A37:G37"/>
    <mergeCell ref="A28:G28"/>
    <mergeCell ref="A29:G29"/>
    <mergeCell ref="A30:G30"/>
    <mergeCell ref="A31:G31"/>
    <mergeCell ref="A32:G32"/>
    <mergeCell ref="D13:G13"/>
    <mergeCell ref="D14:G14"/>
    <mergeCell ref="D15:G15"/>
    <mergeCell ref="D16:G16"/>
    <mergeCell ref="A27:G27"/>
    <mergeCell ref="D8:G8"/>
    <mergeCell ref="D9:G9"/>
    <mergeCell ref="D10:G10"/>
    <mergeCell ref="D11:G11"/>
    <mergeCell ref="D12:G12"/>
    <mergeCell ref="A1:G2"/>
    <mergeCell ref="A3:G3"/>
    <mergeCell ref="D5:G5"/>
    <mergeCell ref="D6:G6"/>
    <mergeCell ref="D7:G7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Matías Díaz-Valdés</cp:lastModifiedBy>
  <cp:revision>0</cp:revision>
  <dcterms:created xsi:type="dcterms:W3CDTF">2026-10-21T03:04:29Z</dcterms:created>
  <dcterms:modified xsi:type="dcterms:W3CDTF">2026-10-23T01:38:38Z</dcterms:modified>
  <cp:category/>
  <cp:contentStatus/>
</cp:coreProperties>
</file>